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C_Attack_Tree_64Combina" sheetId="1" state="visible" r:id="rId3"/>
    <sheet name="SPRV_Mi_to_IPA" sheetId="2" state="visible" r:id="rId4"/>
    <sheet name="IPA_Risk_Rules" sheetId="3" state="visible" r:id="rId5"/>
    <sheet name="SPRV_Source_For_Formulas" sheetId="4" state="visible" r:id="rId6"/>
    <sheet name="Transfer_Readme" sheetId="5" state="visible" r:id="rId7"/>
  </sheets>
  <definedNames>
    <definedName function="false" hidden="true" localSheetId="0" name="_xlnm._FilterDatabase" vbProcedure="false">ScenarioC_Attack_Tree_64Combina!$A$1:$AY$65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<sst xmlns="http://schemas.openxmlformats.org/spreadsheetml/2006/main" count="1627" uniqueCount="173">
  <si>
    <t xml:space="preserve">Step1_TechniqueID</t>
  </si>
  <si>
    <t xml:space="preserve">description</t>
  </si>
  <si>
    <t xml:space="preserve">Business Impact</t>
  </si>
  <si>
    <t xml:space="preserve">Threat</t>
  </si>
  <si>
    <t xml:space="preserve">Mitigation</t>
  </si>
  <si>
    <t xml:space="preserve">Vulnerability</t>
  </si>
  <si>
    <t xml:space="preserve">Risk Score</t>
  </si>
  <si>
    <t xml:space="preserve">対策根拠（既知脆弱性）</t>
  </si>
  <si>
    <t xml:space="preserve">Step2_TechniqueID</t>
  </si>
  <si>
    <t xml:space="preserve">Step3_TechniqueID</t>
  </si>
  <si>
    <t xml:space="preserve">Step4_TechniqueID</t>
  </si>
  <si>
    <t xml:space="preserve">判定根拠</t>
  </si>
  <si>
    <r>
      <rPr>
        <sz val="11"/>
        <color theme="1"/>
        <rFont val="Noto Sans CJK SC"/>
        <family val="2"/>
      </rPr>
      <t xml:space="preserve">攻撃手法の具体化</t>
    </r>
    <r>
      <rPr>
        <sz val="11"/>
        <color theme="1"/>
        <rFont val="游ゴシック"/>
        <family val="2"/>
        <charset val="128"/>
      </rPr>
      <t xml:space="preserve">
</t>
    </r>
    <r>
      <rPr>
        <sz val="11"/>
        <color theme="1"/>
        <rFont val="Noto Sans CJK SC"/>
        <family val="2"/>
      </rPr>
      <t xml:space="preserve">運用管理者が、日常的に利用する 業務関連</t>
    </r>
    <r>
      <rPr>
        <sz val="11"/>
        <color theme="1"/>
        <rFont val="游ゴシック"/>
        <family val="2"/>
        <charset val="128"/>
      </rPr>
      <t xml:space="preserve">Web</t>
    </r>
    <r>
      <rPr>
        <sz val="11"/>
        <color theme="1"/>
        <rFont val="Noto Sans CJK SC"/>
        <family val="2"/>
      </rPr>
      <t xml:space="preserve">ポータル／ガバメントクラウド管理サイト にアクセス。</t>
    </r>
    <r>
      <rPr>
        <sz val="11"/>
        <color theme="1"/>
        <rFont val="游ゴシック"/>
        <family val="2"/>
        <charset val="128"/>
      </rPr>
      <t xml:space="preserve">
</t>
    </r>
    <r>
      <rPr>
        <sz val="11"/>
        <color theme="1"/>
        <rFont val="Noto Sans CJK SC"/>
        <family val="2"/>
      </rPr>
      <t xml:space="preserve">攻撃者が</t>
    </r>
    <r>
      <rPr>
        <sz val="11"/>
        <color theme="1"/>
        <rFont val="游ゴシック"/>
        <family val="2"/>
        <charset val="128"/>
      </rPr>
      <t xml:space="preserve">Web</t>
    </r>
    <r>
      <rPr>
        <sz val="11"/>
        <color theme="1"/>
        <rFont val="Noto Sans CJK SC"/>
        <family val="2"/>
      </rPr>
      <t xml:space="preserve">サイトを改ざんし、マルウェアを仕込んでいる。</t>
    </r>
    <r>
      <rPr>
        <sz val="11"/>
        <color theme="1"/>
        <rFont val="游ゴシック"/>
        <family val="2"/>
        <charset val="128"/>
      </rPr>
      <t xml:space="preserve">
</t>
    </r>
    <r>
      <rPr>
        <sz val="11"/>
        <color theme="1"/>
        <rFont val="Noto Sans CJK SC"/>
        <family val="2"/>
      </rPr>
      <t xml:space="preserve">管理者が 閲覧またはファイルをダウンロードするだけで自動的にマルウェア感染。</t>
    </r>
    <r>
      <rPr>
        <sz val="11"/>
        <color theme="1"/>
        <rFont val="游ゴシック"/>
        <family val="2"/>
        <charset val="128"/>
      </rPr>
      <t xml:space="preserve">
</t>
    </r>
    <r>
      <rPr>
        <sz val="11"/>
        <color theme="1"/>
        <rFont val="Noto Sans CJK SC"/>
        <family val="2"/>
      </rPr>
      <t xml:space="preserve">結果として：</t>
    </r>
    <r>
      <rPr>
        <sz val="11"/>
        <color theme="1"/>
        <rFont val="游ゴシック"/>
        <family val="2"/>
        <charset val="128"/>
      </rPr>
      <t xml:space="preserve">
</t>
    </r>
    <r>
      <rPr>
        <sz val="11"/>
        <color theme="1"/>
        <rFont val="Noto Sans CJK SC"/>
        <family val="2"/>
      </rPr>
      <t xml:space="preserve">管理者端末を初期感染させ、</t>
    </r>
    <r>
      <rPr>
        <sz val="11"/>
        <color theme="1"/>
        <rFont val="游ゴシック"/>
        <family val="2"/>
        <charset val="128"/>
      </rPr>
      <t xml:space="preserve">GovCloud</t>
    </r>
    <r>
      <rPr>
        <sz val="11"/>
        <color theme="1"/>
        <rFont val="Noto Sans CJK SC"/>
        <family val="2"/>
      </rPr>
      <t xml:space="preserve">管理コンソールへの認証情報（セッション</t>
    </r>
    <r>
      <rPr>
        <sz val="11"/>
        <color theme="1"/>
        <rFont val="游ゴシック"/>
        <family val="2"/>
        <charset val="128"/>
      </rPr>
      <t xml:space="preserve">Cookie</t>
    </r>
    <r>
      <rPr>
        <sz val="11"/>
        <color theme="1"/>
        <rFont val="Noto Sans CJK SC"/>
        <family val="2"/>
      </rPr>
      <t xml:space="preserve">、</t>
    </r>
    <r>
      <rPr>
        <sz val="11"/>
        <color theme="1"/>
        <rFont val="游ゴシック"/>
        <family val="2"/>
        <charset val="128"/>
      </rPr>
      <t xml:space="preserve">MFA</t>
    </r>
    <r>
      <rPr>
        <sz val="11"/>
        <color theme="1"/>
        <rFont val="Noto Sans CJK SC"/>
        <family val="2"/>
      </rPr>
      <t xml:space="preserve">トークン等）を窃取</t>
    </r>
    <r>
      <rPr>
        <sz val="11"/>
        <color theme="1"/>
        <rFont val="游ゴシック"/>
        <family val="2"/>
        <charset val="128"/>
      </rPr>
      <t xml:space="preserve">
</t>
    </r>
    <r>
      <rPr>
        <sz val="11"/>
        <color theme="1"/>
        <rFont val="Noto Sans CJK SC"/>
        <family val="2"/>
      </rPr>
      <t xml:space="preserve">その後の クラウドリソース操作権限の奪取 に直結。</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</si>
  <si>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エンドポイント防御（</t>
    </r>
    <r>
      <rPr>
        <sz val="11"/>
        <color theme="1"/>
        <rFont val="游ゴシック"/>
        <family val="2"/>
        <charset val="128"/>
      </rPr>
      <t xml:space="preserve">EDR/AV</t>
    </r>
    <r>
      <rPr>
        <sz val="11"/>
        <color theme="1"/>
        <rFont val="Noto Sans CJK SC"/>
        <family val="2"/>
      </rPr>
      <t xml:space="preserve">） </t>
    </r>
    <r>
      <rPr>
        <sz val="11"/>
        <color theme="1"/>
        <rFont val="游ゴシック"/>
        <family val="2"/>
        <charset val="128"/>
      </rPr>
      <t xml:space="preserve">| EDR</t>
    </r>
    <r>
      <rPr>
        <sz val="11"/>
        <color theme="1"/>
        <rFont val="Noto Sans CJK SC"/>
        <family val="2"/>
      </rPr>
      <t xml:space="preserve">導入済み、シグネチャ更新自動化。未知マルウェアにはふるまい検知依存。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Web</t>
    </r>
    <r>
      <rPr>
        <sz val="11"/>
        <color theme="1"/>
        <rFont val="Noto Sans CJK SC"/>
        <family val="2"/>
      </rPr>
      <t xml:space="preserve">フィルタリング／改ざん検知  </t>
    </r>
    <r>
      <rPr>
        <sz val="11"/>
        <color theme="1"/>
        <rFont val="游ゴシック"/>
        <family val="2"/>
        <charset val="128"/>
      </rPr>
      <t xml:space="preserve">| SWG</t>
    </r>
    <r>
      <rPr>
        <sz val="11"/>
        <color theme="1"/>
        <rFont val="Noto Sans CJK SC"/>
        <family val="2"/>
      </rPr>
      <t xml:space="preserve">導入済。不審サイト遮断可能。ただし正規業務ポータル改ざんのゼロデイ検知は困難。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パッチ管理／ソフト更新       </t>
    </r>
    <r>
      <rPr>
        <sz val="11"/>
        <color theme="1"/>
        <rFont val="游ゴシック"/>
        <family val="2"/>
        <charset val="128"/>
      </rPr>
      <t xml:space="preserve">| </t>
    </r>
    <r>
      <rPr>
        <sz val="11"/>
        <color theme="1"/>
        <rFont val="Noto Sans CJK SC"/>
        <family val="2"/>
      </rPr>
      <t xml:space="preserve">ブラウザ・</t>
    </r>
    <r>
      <rPr>
        <sz val="11"/>
        <color theme="1"/>
        <rFont val="游ゴシック"/>
        <family val="2"/>
        <charset val="128"/>
      </rPr>
      <t xml:space="preserve">OS</t>
    </r>
    <r>
      <rPr>
        <sz val="11"/>
        <color theme="1"/>
        <rFont val="Noto Sans CJK SC"/>
        <family val="2"/>
      </rPr>
      <t xml:space="preserve">は</t>
    </r>
    <r>
      <rPr>
        <sz val="11"/>
        <color theme="1"/>
        <rFont val="游ゴシック"/>
        <family val="2"/>
        <charset val="128"/>
      </rPr>
      <t xml:space="preserve">MDM</t>
    </r>
    <r>
      <rPr>
        <sz val="11"/>
        <color theme="1"/>
        <rFont val="Noto Sans CJK SC"/>
        <family val="2"/>
      </rPr>
      <t xml:space="preserve">で強制更新。</t>
    </r>
    <r>
      <rPr>
        <sz val="11"/>
        <color theme="1"/>
        <rFont val="游ゴシック"/>
        <family val="2"/>
        <charset val="128"/>
      </rPr>
      <t xml:space="preserve">48</t>
    </r>
    <r>
      <rPr>
        <sz val="11"/>
        <color theme="1"/>
        <rFont val="Noto Sans CJK SC"/>
        <family val="2"/>
      </rPr>
      <t xml:space="preserve">時間以内に重大パッチ適用（</t>
    </r>
    <r>
      <rPr>
        <sz val="11"/>
        <color theme="1"/>
        <rFont val="游ゴシック"/>
        <family val="2"/>
        <charset val="128"/>
      </rPr>
      <t xml:space="preserve">β’</t>
    </r>
    <r>
      <rPr>
        <sz val="11"/>
        <color theme="1"/>
        <rFont val="Noto Sans CJK SC"/>
        <family val="2"/>
      </rPr>
      <t xml:space="preserve">モデル準拠）。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アクセス制御（</t>
    </r>
    <r>
      <rPr>
        <sz val="11"/>
        <color theme="1"/>
        <rFont val="游ゴシック"/>
        <family val="2"/>
        <charset val="128"/>
      </rPr>
      <t xml:space="preserve">ZTNA</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管理端末以外からのアクセスは不可。職員</t>
    </r>
    <r>
      <rPr>
        <sz val="11"/>
        <color theme="1"/>
        <rFont val="游ゴシック"/>
        <family val="2"/>
        <charset val="128"/>
      </rPr>
      <t xml:space="preserve">ID</t>
    </r>
    <r>
      <rPr>
        <sz val="11"/>
        <color theme="1"/>
        <rFont val="Noto Sans CJK SC"/>
        <family val="2"/>
      </rPr>
      <t xml:space="preserve">＋</t>
    </r>
    <r>
      <rPr>
        <sz val="11"/>
        <color theme="1"/>
        <rFont val="游ゴシック"/>
        <family val="2"/>
        <charset val="128"/>
      </rPr>
      <t xml:space="preserve">MFA</t>
    </r>
    <r>
      <rPr>
        <sz val="11"/>
        <color theme="1"/>
        <rFont val="Noto Sans CJK SC"/>
        <family val="2"/>
      </rPr>
      <t xml:space="preserve">必須。ただし端末感染時のセッション乗っ取りは残る。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ログ監視・</t>
    </r>
    <r>
      <rPr>
        <sz val="11"/>
        <color theme="1"/>
        <rFont val="游ゴシック"/>
        <family val="2"/>
        <charset val="128"/>
      </rPr>
      <t xml:space="preserve">SOC</t>
    </r>
    <r>
      <rPr>
        <sz val="11"/>
        <color theme="1"/>
        <rFont val="Noto Sans CJK SC"/>
        <family val="2"/>
      </rPr>
      <t xml:space="preserve">連携        </t>
    </r>
    <r>
      <rPr>
        <sz val="11"/>
        <color theme="1"/>
        <rFont val="游ゴシック"/>
        <family val="2"/>
        <charset val="128"/>
      </rPr>
      <t xml:space="preserve">| SOC</t>
    </r>
    <r>
      <rPr>
        <sz val="11"/>
        <color theme="1"/>
        <rFont val="Noto Sans CJK SC"/>
        <family val="2"/>
      </rPr>
      <t xml:space="preserve">監視下にあり、端末挙動ログを</t>
    </r>
    <r>
      <rPr>
        <sz val="11"/>
        <color theme="1"/>
        <rFont val="游ゴシック"/>
        <family val="2"/>
        <charset val="128"/>
      </rPr>
      <t xml:space="preserve">SIEM</t>
    </r>
    <r>
      <rPr>
        <sz val="11"/>
        <color theme="1"/>
        <rFont val="Noto Sans CJK SC"/>
        <family val="2"/>
      </rPr>
      <t xml:space="preserve">で分析。ただし初期感染段階での即時検知は限定的。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2.4 → </t>
    </r>
    <r>
      <rPr>
        <sz val="11"/>
        <color theme="1"/>
        <rFont val="Noto Sans CJK SC"/>
        <family val="2"/>
      </rPr>
      <t xml:space="preserve">切り上げて レベル</t>
    </r>
    <r>
      <rPr>
        <sz val="11"/>
        <color theme="1"/>
        <rFont val="游ゴシック"/>
        <family val="2"/>
        <charset val="128"/>
      </rPr>
      <t xml:space="preserve">3</t>
    </r>
  </si>
  <si>
    <r>
      <rPr>
        <sz val="11"/>
        <color theme="1"/>
        <rFont val="Noto Sans CJK SC"/>
        <family val="2"/>
      </rPr>
      <t xml:space="preserve">クラウド管理権限を悪用し、</t>
    </r>
    <r>
      <rPr>
        <sz val="11"/>
        <color theme="1"/>
        <rFont val="游ゴシック"/>
        <family val="2"/>
        <charset val="128"/>
      </rPr>
      <t xml:space="preserve">Update Server</t>
    </r>
    <r>
      <rPr>
        <sz val="11"/>
        <color theme="1"/>
        <rFont val="Noto Sans CJK SC"/>
        <family val="2"/>
      </rPr>
      <t xml:space="preserve">と同一</t>
    </r>
    <r>
      <rPr>
        <sz val="11"/>
        <color theme="1"/>
        <rFont val="游ゴシック"/>
        <family val="2"/>
        <charset val="128"/>
      </rPr>
      <t xml:space="preserve">VPC</t>
    </r>
    <r>
      <rPr>
        <sz val="11"/>
        <color theme="1"/>
        <rFont val="Noto Sans CJK SC"/>
        <family val="2"/>
      </rPr>
      <t xml:space="preserve">内または他</t>
    </r>
    <r>
      <rPr>
        <sz val="11"/>
        <color theme="1"/>
        <rFont val="游ゴシック"/>
        <family val="2"/>
        <charset val="128"/>
      </rPr>
      <t xml:space="preserve">VPC</t>
    </r>
    <r>
      <rPr>
        <sz val="11"/>
        <color theme="1"/>
        <rFont val="Noto Sans CJK SC"/>
        <family val="2"/>
      </rPr>
      <t xml:space="preserve">に不正なクラウドインスタンス（</t>
    </r>
    <r>
      <rPr>
        <sz val="11"/>
        <color theme="1"/>
        <rFont val="游ゴシック"/>
        <family val="2"/>
        <charset val="128"/>
      </rPr>
      <t xml:space="preserve">C2</t>
    </r>
    <r>
      <rPr>
        <sz val="11"/>
        <color theme="1"/>
        <rFont val="Noto Sans CJK SC"/>
        <family val="2"/>
      </rPr>
      <t xml:space="preserve">やバックドア用）を作成し、横展開を試みる</t>
    </r>
  </si>
  <si>
    <r>
      <rPr>
        <sz val="11"/>
        <color theme="1"/>
        <rFont val="Noto Sans CJK SC"/>
        <family val="2"/>
      </rPr>
      <t xml:space="preserve">評価観点</t>
    </r>
    <r>
      <rPr>
        <sz val="11"/>
        <color theme="1"/>
        <rFont val="游ゴシック"/>
        <family val="2"/>
        <charset val="128"/>
      </rPr>
      <t xml:space="preserve">	</t>
    </r>
    <r>
      <rPr>
        <sz val="11"/>
        <color theme="1"/>
        <rFont val="Noto Sans CJK SC"/>
        <family val="2"/>
      </rPr>
      <t xml:space="preserve">評価内容</t>
    </r>
    <r>
      <rPr>
        <sz val="11"/>
        <color theme="1"/>
        <rFont val="游ゴシック"/>
        <family val="2"/>
        <charset val="128"/>
      </rPr>
      <t xml:space="preserve">	</t>
    </r>
    <r>
      <rPr>
        <sz val="11"/>
        <color theme="1"/>
        <rFont val="Noto Sans CJK SC"/>
        <family val="2"/>
      </rPr>
      <t xml:space="preserve">評価</t>
    </r>
    <r>
      <rPr>
        <sz val="11"/>
        <color theme="1"/>
        <rFont val="游ゴシック"/>
        <family val="2"/>
        <charset val="128"/>
      </rPr>
      <t xml:space="preserve">
</t>
    </r>
    <r>
      <rPr>
        <sz val="11"/>
        <color theme="1"/>
        <rFont val="Noto Sans CJK SC"/>
        <family val="2"/>
      </rPr>
      <t xml:space="preserve">認証管理</t>
    </r>
    <r>
      <rPr>
        <sz val="11"/>
        <color theme="1"/>
        <rFont val="游ゴシック"/>
        <family val="2"/>
        <charset val="128"/>
      </rPr>
      <t xml:space="preserve">	Step1</t>
    </r>
    <r>
      <rPr>
        <sz val="11"/>
        <color theme="1"/>
        <rFont val="Noto Sans CJK SC"/>
        <family val="2"/>
      </rPr>
      <t xml:space="preserve">で</t>
    </r>
    <r>
      <rPr>
        <sz val="11"/>
        <color theme="1"/>
        <rFont val="游ゴシック"/>
        <family val="2"/>
        <charset val="128"/>
      </rPr>
      <t xml:space="preserve">MFA</t>
    </r>
    <r>
      <rPr>
        <sz val="11"/>
        <color theme="1"/>
        <rFont val="Noto Sans CJK SC"/>
        <family val="2"/>
      </rPr>
      <t xml:space="preserve">導入・監視ログ・アラート通知設定済み</t>
    </r>
    <r>
      <rPr>
        <sz val="11"/>
        <color theme="1"/>
        <rFont val="游ゴシック"/>
        <family val="2"/>
        <charset val="128"/>
      </rPr>
      <t xml:space="preserve">	★★★（3</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権限管理（</t>
    </r>
    <r>
      <rPr>
        <sz val="11"/>
        <color theme="1"/>
        <rFont val="游ゴシック"/>
        <family val="2"/>
        <charset val="128"/>
      </rPr>
      <t xml:space="preserve">IAM</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管理者権限の最小化、</t>
    </r>
    <r>
      <rPr>
        <sz val="11"/>
        <color theme="1"/>
        <rFont val="游ゴシック"/>
        <family val="2"/>
        <charset val="128"/>
      </rPr>
      <t xml:space="preserve">RBAC</t>
    </r>
    <r>
      <rPr>
        <sz val="11"/>
        <color theme="1"/>
        <rFont val="Noto Sans CJK SC"/>
        <family val="2"/>
      </rPr>
      <t xml:space="preserve">運用、</t>
    </r>
    <r>
      <rPr>
        <sz val="11"/>
        <color theme="1"/>
        <rFont val="游ゴシック"/>
        <family val="2"/>
        <charset val="128"/>
      </rPr>
      <t xml:space="preserve">Update Server</t>
    </r>
    <r>
      <rPr>
        <sz val="11"/>
        <color theme="1"/>
        <rFont val="Noto Sans CJK SC"/>
        <family val="2"/>
      </rPr>
      <t xml:space="preserve">の</t>
    </r>
    <r>
      <rPr>
        <sz val="11"/>
        <color theme="1"/>
        <rFont val="游ゴシック"/>
        <family val="2"/>
        <charset val="128"/>
      </rPr>
      <t xml:space="preserve">IAM</t>
    </r>
    <r>
      <rPr>
        <sz val="11"/>
        <color theme="1"/>
        <rFont val="Noto Sans CJK SC"/>
        <family val="2"/>
      </rPr>
      <t xml:space="preserve">ロールも定期監査対象</t>
    </r>
    <r>
      <rPr>
        <sz val="11"/>
        <color theme="1"/>
        <rFont val="游ゴシック"/>
        <family val="2"/>
        <charset val="128"/>
      </rPr>
      <t xml:space="preserve">	★★★（3</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インスタンス作成の監視</t>
    </r>
    <r>
      <rPr>
        <sz val="11"/>
        <color theme="1"/>
        <rFont val="游ゴシック"/>
        <family val="2"/>
        <charset val="128"/>
      </rPr>
      <t xml:space="preserve">	CloudTrail</t>
    </r>
    <r>
      <rPr>
        <sz val="11"/>
        <color theme="1"/>
        <rFont val="Noto Sans CJK SC"/>
        <family val="2"/>
      </rPr>
      <t xml:space="preserve">相当のログ収集有効化と</t>
    </r>
    <r>
      <rPr>
        <sz val="11"/>
        <color theme="1"/>
        <rFont val="游ゴシック"/>
        <family val="2"/>
        <charset val="128"/>
      </rPr>
      <t xml:space="preserve">SIEM</t>
    </r>
    <r>
      <rPr>
        <sz val="11"/>
        <color theme="1"/>
        <rFont val="Noto Sans CJK SC"/>
        <family val="2"/>
      </rPr>
      <t xml:space="preserve">連携、異常インスタンス作成アラート設定</t>
    </r>
    <r>
      <rPr>
        <sz val="11"/>
        <color theme="1"/>
        <rFont val="游ゴシック"/>
        <family val="2"/>
        <charset val="128"/>
      </rPr>
      <t xml:space="preserve">	★★★（3</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ガードレール制御</t>
    </r>
    <r>
      <rPr>
        <sz val="11"/>
        <color theme="1"/>
        <rFont val="游ゴシック"/>
        <family val="2"/>
        <charset val="128"/>
      </rPr>
      <t xml:space="preserve">	</t>
    </r>
    <r>
      <rPr>
        <sz val="11"/>
        <color theme="1"/>
        <rFont val="Noto Sans CJK SC"/>
        <family val="2"/>
      </rPr>
      <t xml:space="preserve">テンプレート制限・事前承認フロー未導入（自動インスタンス作成が可能な設定あり）</t>
    </r>
    <r>
      <rPr>
        <sz val="11"/>
        <color theme="1"/>
        <rFont val="游ゴシック"/>
        <family val="2"/>
        <charset val="128"/>
      </rPr>
      <t xml:space="preserve">	★★☆（2</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構成ミスの検出自動化</t>
    </r>
    <r>
      <rPr>
        <sz val="11"/>
        <color theme="1"/>
        <rFont val="游ゴシック"/>
        <family val="2"/>
        <charset val="128"/>
      </rPr>
      <t xml:space="preserve">	CSPM</t>
    </r>
    <r>
      <rPr>
        <sz val="11"/>
        <color theme="1"/>
        <rFont val="Noto Sans CJK SC"/>
        <family val="2"/>
      </rPr>
      <t xml:space="preserve">は導入済、ただし</t>
    </r>
    <r>
      <rPr>
        <sz val="11"/>
        <color theme="1"/>
        <rFont val="游ゴシック"/>
        <family val="2"/>
        <charset val="128"/>
      </rPr>
      <t xml:space="preserve">SSPM</t>
    </r>
    <r>
      <rPr>
        <sz val="11"/>
        <color theme="1"/>
        <rFont val="Noto Sans CJK SC"/>
        <family val="2"/>
      </rPr>
      <t xml:space="preserve">は未導入</t>
    </r>
    <r>
      <rPr>
        <sz val="11"/>
        <color theme="1"/>
        <rFont val="游ゴシック"/>
        <family val="2"/>
        <charset val="128"/>
      </rPr>
      <t xml:space="preserve">	★★☆（2</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監査と事後対応</t>
    </r>
    <r>
      <rPr>
        <sz val="11"/>
        <color theme="1"/>
        <rFont val="游ゴシック"/>
        <family val="2"/>
        <charset val="128"/>
      </rPr>
      <t xml:space="preserve">	</t>
    </r>
    <r>
      <rPr>
        <sz val="11"/>
        <color theme="1"/>
        <rFont val="Noto Sans CJK SC"/>
        <family val="2"/>
      </rPr>
      <t xml:space="preserve">月次の操作監査あり。外部監査は年</t>
    </r>
    <r>
      <rPr>
        <sz val="11"/>
        <color theme="1"/>
        <rFont val="游ゴシック"/>
        <family val="2"/>
        <charset val="128"/>
      </rPr>
      <t xml:space="preserve">1</t>
    </r>
    <r>
      <rPr>
        <sz val="11"/>
        <color theme="1"/>
        <rFont val="Noto Sans CJK SC"/>
        <family val="2"/>
      </rPr>
      <t xml:space="preserve">回</t>
    </r>
    <r>
      <rPr>
        <sz val="11"/>
        <color theme="1"/>
        <rFont val="游ゴシック"/>
        <family val="2"/>
        <charset val="128"/>
      </rPr>
      <t xml:space="preserve">	★★☆（2</t>
    </r>
    <r>
      <rPr>
        <sz val="11"/>
        <color theme="1"/>
        <rFont val="Noto Sans CJK SC"/>
        <family val="2"/>
      </rPr>
      <t xml:space="preserve">）</t>
    </r>
    <r>
      <rPr>
        <sz val="11"/>
        <color theme="1"/>
        <rFont val="游ゴシック"/>
        <family val="2"/>
        <charset val="128"/>
      </rPr>
      <t xml:space="preserve">
→ </t>
    </r>
    <r>
      <rPr>
        <sz val="11"/>
        <color theme="1"/>
        <rFont val="Noto Sans CJK SC"/>
        <family val="2"/>
      </rPr>
      <t xml:space="preserve">総合評価：</t>
    </r>
    <r>
      <rPr>
        <sz val="11"/>
        <color theme="1"/>
        <rFont val="游ゴシック"/>
        <family val="2"/>
        <charset val="128"/>
      </rPr>
      <t xml:space="preserve">2.5 → </t>
    </r>
    <r>
      <rPr>
        <sz val="11"/>
        <color theme="1"/>
        <rFont val="Noto Sans CJK SC"/>
        <family val="2"/>
      </rPr>
      <t xml:space="preserve">切り上げて </t>
    </r>
    <r>
      <rPr>
        <sz val="11"/>
        <color theme="1"/>
        <rFont val="游ゴシック"/>
        <family val="2"/>
        <charset val="128"/>
      </rPr>
      <t xml:space="preserve">3</t>
    </r>
    <r>
      <rPr>
        <sz val="11"/>
        <color theme="1"/>
        <rFont val="Noto Sans CJK SC"/>
        <family val="2"/>
      </rPr>
      <t xml:space="preserve">（レベル</t>
    </r>
    <r>
      <rPr>
        <sz val="11"/>
        <color theme="1"/>
        <rFont val="游ゴシック"/>
        <family val="2"/>
        <charset val="128"/>
      </rPr>
      <t xml:space="preserve">3</t>
    </r>
    <r>
      <rPr>
        <sz val="11"/>
        <color theme="1"/>
        <rFont val="Noto Sans CJK SC"/>
        <family val="2"/>
      </rPr>
      <t xml:space="preserve">）</t>
    </r>
  </si>
  <si>
    <r>
      <rPr>
        <sz val="11"/>
        <color theme="1"/>
        <rFont val="Noto Sans CJK SC"/>
        <family val="2"/>
      </rPr>
      <t xml:space="preserve">クラウド</t>
    </r>
    <r>
      <rPr>
        <sz val="11"/>
        <color theme="1"/>
        <rFont val="游ゴシック"/>
        <family val="2"/>
        <charset val="128"/>
      </rPr>
      <t xml:space="preserve">API/CLI</t>
    </r>
    <r>
      <rPr>
        <sz val="11"/>
        <color theme="1"/>
        <rFont val="Noto Sans CJK SC"/>
        <family val="2"/>
      </rPr>
      <t xml:space="preserve">を利用してマイナンバー系業務システムに対し、スナップショット取得・設定変更・証拠隠滅などの攻撃的管理コマンドを実行</t>
    </r>
  </si>
  <si>
    <r>
      <rPr>
        <sz val="11"/>
        <color theme="1"/>
        <rFont val="游ゴシック"/>
        <family val="2"/>
        <charset val="128"/>
      </rPr>
      <t xml:space="preserve">| </t>
    </r>
    <r>
      <rPr>
        <sz val="11"/>
        <color theme="1"/>
        <rFont val="Noto Sans CJK SC"/>
        <family val="2"/>
      </rPr>
      <t xml:space="preserve">評価項目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認証管理（</t>
    </r>
    <r>
      <rPr>
        <sz val="11"/>
        <color theme="1"/>
        <rFont val="游ゴシック"/>
        <family val="2"/>
        <charset val="128"/>
      </rPr>
      <t xml:space="preserve">MFA</t>
    </r>
    <r>
      <rPr>
        <sz val="11"/>
        <color theme="1"/>
        <rFont val="Noto Sans CJK SC"/>
        <family val="2"/>
      </rPr>
      <t xml:space="preserve">）   </t>
    </r>
    <r>
      <rPr>
        <sz val="11"/>
        <color theme="1"/>
        <rFont val="游ゴシック"/>
        <family val="2"/>
        <charset val="128"/>
      </rPr>
      <t xml:space="preserve">| CLI/API</t>
    </r>
    <r>
      <rPr>
        <sz val="11"/>
        <color theme="1"/>
        <rFont val="Noto Sans CJK SC"/>
        <family val="2"/>
      </rPr>
      <t xml:space="preserve">アクセスにも</t>
    </r>
    <r>
      <rPr>
        <sz val="11"/>
        <color theme="1"/>
        <rFont val="游ゴシック"/>
        <family val="2"/>
        <charset val="128"/>
      </rPr>
      <t xml:space="preserve">MFA</t>
    </r>
    <r>
      <rPr>
        <sz val="11"/>
        <color theme="1"/>
        <rFont val="Noto Sans CJK SC"/>
        <family val="2"/>
      </rPr>
      <t xml:space="preserve">必須。</t>
    </r>
    <r>
      <rPr>
        <sz val="11"/>
        <color theme="1"/>
        <rFont val="游ゴシック"/>
        <family val="2"/>
        <charset val="128"/>
      </rPr>
      <t xml:space="preserve">IAM</t>
    </r>
    <r>
      <rPr>
        <sz val="11"/>
        <color theme="1"/>
        <rFont val="Noto Sans CJK SC"/>
        <family val="2"/>
      </rPr>
      <t xml:space="preserve">ユーザではなくロールベースの一時トークンを使用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ログ監視・改ざん防止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WORM</t>
    </r>
    <r>
      <rPr>
        <sz val="11"/>
        <color theme="1"/>
        <rFont val="Noto Sans CJK SC"/>
        <family val="2"/>
      </rPr>
      <t xml:space="preserve">ストレージでログ改ざん防止。ただし外部</t>
    </r>
    <r>
      <rPr>
        <sz val="11"/>
        <color theme="1"/>
        <rFont val="游ゴシック"/>
        <family val="2"/>
        <charset val="128"/>
      </rPr>
      <t xml:space="preserve">SIEM</t>
    </r>
    <r>
      <rPr>
        <sz val="11"/>
        <color theme="1"/>
        <rFont val="Noto Sans CJK SC"/>
        <family val="2"/>
      </rPr>
      <t xml:space="preserve">連携は一部の操作のみ対象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操作の定型化      </t>
    </r>
    <r>
      <rPr>
        <sz val="11"/>
        <color theme="1"/>
        <rFont val="游ゴシック"/>
        <family val="2"/>
        <charset val="128"/>
      </rPr>
      <t xml:space="preserve">| Terraform</t>
    </r>
    <r>
      <rPr>
        <sz val="11"/>
        <color theme="1"/>
        <rFont val="Noto Sans CJK SC"/>
        <family val="2"/>
      </rPr>
      <t xml:space="preserve">による</t>
    </r>
    <r>
      <rPr>
        <sz val="11"/>
        <color theme="1"/>
        <rFont val="游ゴシック"/>
        <family val="2"/>
        <charset val="128"/>
      </rPr>
      <t xml:space="preserve">Infrastructure as Code</t>
    </r>
    <r>
      <rPr>
        <sz val="11"/>
        <color theme="1"/>
        <rFont val="Noto Sans CJK SC"/>
        <family val="2"/>
      </rPr>
      <t xml:space="preserve">はマイナンバー系でも導入済。ただし一部</t>
    </r>
    <r>
      <rPr>
        <sz val="11"/>
        <color theme="1"/>
        <rFont val="游ゴシック"/>
        <family val="2"/>
        <charset val="128"/>
      </rPr>
      <t xml:space="preserve">GUI</t>
    </r>
    <r>
      <rPr>
        <sz val="11"/>
        <color theme="1"/>
        <rFont val="Noto Sans CJK SC"/>
        <family val="2"/>
      </rPr>
      <t xml:space="preserve">設定残存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RBAC</t>
    </r>
    <r>
      <rPr>
        <sz val="11"/>
        <color theme="1"/>
        <rFont val="Noto Sans CJK SC"/>
        <family val="2"/>
      </rPr>
      <t xml:space="preserve">とワークフロー </t>
    </r>
    <r>
      <rPr>
        <sz val="11"/>
        <color theme="1"/>
        <rFont val="游ゴシック"/>
        <family val="2"/>
        <charset val="128"/>
      </rPr>
      <t xml:space="preserve">| </t>
    </r>
    <r>
      <rPr>
        <sz val="11"/>
        <color theme="1"/>
        <rFont val="Noto Sans CJK SC"/>
        <family val="2"/>
      </rPr>
      <t xml:space="preserve">管理者権限の委譲に承認フローあり。</t>
    </r>
    <r>
      <rPr>
        <sz val="11"/>
        <color theme="1"/>
        <rFont val="游ゴシック"/>
        <family val="2"/>
        <charset val="128"/>
      </rPr>
      <t xml:space="preserve">CLI</t>
    </r>
    <r>
      <rPr>
        <sz val="11"/>
        <color theme="1"/>
        <rFont val="Noto Sans CJK SC"/>
        <family val="2"/>
      </rPr>
      <t xml:space="preserve">操作には内部発番のチケット必要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検知・リアルタイム対応 </t>
    </r>
    <r>
      <rPr>
        <sz val="11"/>
        <color theme="1"/>
        <rFont val="游ゴシック"/>
        <family val="2"/>
        <charset val="128"/>
      </rPr>
      <t xml:space="preserve">| GuardDuty</t>
    </r>
    <r>
      <rPr>
        <sz val="11"/>
        <color theme="1"/>
        <rFont val="Noto Sans CJK SC"/>
        <family val="2"/>
      </rPr>
      <t xml:space="preserve">相当の異常</t>
    </r>
    <r>
      <rPr>
        <sz val="11"/>
        <color theme="1"/>
        <rFont val="游ゴシック"/>
        <family val="2"/>
        <charset val="128"/>
      </rPr>
      <t xml:space="preserve">API</t>
    </r>
    <r>
      <rPr>
        <sz val="11"/>
        <color theme="1"/>
        <rFont val="Noto Sans CJK SC"/>
        <family val="2"/>
      </rPr>
      <t xml:space="preserve">検知機能は未導入（導入予定あり）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1</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2.2 → </t>
    </r>
    <r>
      <rPr>
        <sz val="11"/>
        <color theme="1"/>
        <rFont val="Noto Sans CJK SC"/>
        <family val="2"/>
      </rPr>
      <t xml:space="preserve">切り下げて ★★（</t>
    </r>
    <r>
      <rPr>
        <sz val="11"/>
        <color theme="1"/>
        <rFont val="游ゴシック"/>
        <family val="2"/>
        <charset val="128"/>
      </rPr>
      <t xml:space="preserve">2</t>
    </r>
    <r>
      <rPr>
        <sz val="11"/>
        <color theme="1"/>
        <rFont val="Noto Sans CJK SC"/>
        <family val="2"/>
      </rPr>
      <t xml:space="preserve">）</t>
    </r>
  </si>
  <si>
    <r>
      <rPr>
        <sz val="11"/>
        <color theme="1"/>
        <rFont val="Noto Sans CJK SC"/>
        <family val="2"/>
      </rPr>
      <t xml:space="preserve">クラウドリソース（仮想マシン等）を乗っ取り、暗号資産マイニング</t>
    </r>
    <r>
      <rPr>
        <sz val="11"/>
        <color theme="1"/>
        <rFont val="游ゴシック"/>
        <family val="2"/>
        <charset val="128"/>
      </rPr>
      <t xml:space="preserve">/DDoS</t>
    </r>
    <r>
      <rPr>
        <sz val="11"/>
        <color theme="1"/>
        <rFont val="Noto Sans CJK SC"/>
        <family val="2"/>
      </rPr>
      <t xml:space="preserve">中継に悪用。</t>
    </r>
  </si>
  <si>
    <r>
      <rPr>
        <sz val="12"/>
        <color rgb="FF222222"/>
        <rFont val="Arial"/>
        <family val="2"/>
        <charset val="1"/>
      </rPr>
      <t xml:space="preserve">CSPM</t>
    </r>
    <r>
      <rPr>
        <sz val="12"/>
        <color rgb="FF222222"/>
        <rFont val="Noto Sans CJK SC"/>
        <family val="2"/>
      </rPr>
      <t xml:space="preserve">によるリソース使用率監視、アラート設定が有効（</t>
    </r>
    <r>
      <rPr>
        <sz val="12"/>
        <color rgb="FF222222"/>
        <rFont val="Arial"/>
        <family val="2"/>
        <charset val="1"/>
      </rPr>
      <t xml:space="preserve">β’3.4.3</t>
    </r>
    <r>
      <rPr>
        <sz val="12"/>
        <color rgb="FF222222"/>
        <rFont val="Noto Sans CJK SC"/>
        <family val="2"/>
      </rPr>
      <t xml:space="preserve">相当）。</t>
    </r>
  </si>
  <si>
    <r>
      <rPr>
        <sz val="11"/>
        <color theme="1"/>
        <rFont val="Noto Sans CJK SC"/>
        <family val="2"/>
      </rPr>
      <t xml:space="preserve">計算リソースを秘匿的に不正利用（</t>
    </r>
    <r>
      <rPr>
        <sz val="11"/>
        <color theme="1"/>
        <rFont val="游ゴシック"/>
        <family val="2"/>
        <charset val="128"/>
      </rPr>
      <t xml:space="preserve">Compute Hijacking</t>
    </r>
    <r>
      <rPr>
        <sz val="11"/>
        <color theme="1"/>
        <rFont val="Noto Sans CJK SC"/>
        <family val="2"/>
      </rPr>
      <t xml:space="preserve">）。</t>
    </r>
  </si>
  <si>
    <r>
      <rPr>
        <sz val="12"/>
        <color rgb="FF222222"/>
        <rFont val="Noto Sans CJK SC"/>
        <family val="2"/>
      </rPr>
      <t xml:space="preserve">モニタリング＋しきい値制限（</t>
    </r>
    <r>
      <rPr>
        <sz val="12"/>
        <color rgb="FF222222"/>
        <rFont val="Arial"/>
        <family val="2"/>
        <charset val="128"/>
      </rPr>
      <t xml:space="preserve">Azure Monitor</t>
    </r>
    <r>
      <rPr>
        <sz val="12"/>
        <color rgb="FF222222"/>
        <rFont val="Noto Sans CJK SC"/>
        <family val="2"/>
      </rPr>
      <t xml:space="preserve">等）で抑止可能。</t>
    </r>
  </si>
  <si>
    <r>
      <rPr>
        <sz val="11"/>
        <color theme="1"/>
        <rFont val="Noto Sans CJK SC"/>
        <family val="2"/>
      </rPr>
      <t xml:space="preserve">クラウド</t>
    </r>
    <r>
      <rPr>
        <sz val="11"/>
        <color theme="1"/>
        <rFont val="游ゴシック"/>
        <family val="2"/>
        <charset val="128"/>
      </rPr>
      <t xml:space="preserve">API</t>
    </r>
    <r>
      <rPr>
        <sz val="11"/>
        <color theme="1"/>
        <rFont val="Noto Sans CJK SC"/>
        <family val="2"/>
      </rPr>
      <t xml:space="preserve">経由で </t>
    </r>
    <r>
      <rPr>
        <sz val="11"/>
        <color theme="1"/>
        <rFont val="游ゴシック"/>
        <family val="2"/>
        <charset val="128"/>
      </rPr>
      <t xml:space="preserve">Proxy Server on GovCloud </t>
    </r>
    <r>
      <rPr>
        <sz val="11"/>
        <color theme="1"/>
        <rFont val="Noto Sans CJK SC"/>
        <family val="2"/>
      </rPr>
      <t xml:space="preserve">に対して以下を実施：</t>
    </r>
    <r>
      <rPr>
        <sz val="11"/>
        <color theme="1"/>
        <rFont val="游ゴシック"/>
        <family val="2"/>
        <charset val="128"/>
      </rPr>
      <t xml:space="preserve">
EC2/EBS</t>
    </r>
    <r>
      <rPr>
        <sz val="11"/>
        <color theme="1"/>
        <rFont val="Noto Sans CJK SC"/>
        <family val="2"/>
      </rPr>
      <t xml:space="preserve">などのストレージを暗号化（</t>
    </r>
    <r>
      <rPr>
        <sz val="11"/>
        <color theme="1"/>
        <rFont val="游ゴシック"/>
        <family val="2"/>
        <charset val="128"/>
      </rPr>
      <t xml:space="preserve">KMS</t>
    </r>
    <r>
      <rPr>
        <sz val="11"/>
        <color theme="1"/>
        <rFont val="Noto Sans CJK SC"/>
        <family val="2"/>
      </rPr>
      <t xml:space="preserve">キーを使って再暗号化または</t>
    </r>
    <r>
      <rPr>
        <sz val="11"/>
        <color theme="1"/>
        <rFont val="游ゴシック"/>
        <family val="2"/>
        <charset val="128"/>
      </rPr>
      <t xml:space="preserve">KMS</t>
    </r>
    <r>
      <rPr>
        <sz val="11"/>
        <color theme="1"/>
        <rFont val="Noto Sans CJK SC"/>
        <family val="2"/>
      </rPr>
      <t xml:space="preserve">キーを削除）</t>
    </r>
    <r>
      <rPr>
        <sz val="11"/>
        <color theme="1"/>
        <rFont val="游ゴシック"/>
        <family val="2"/>
        <charset val="128"/>
      </rPr>
      <t xml:space="preserve">
OS</t>
    </r>
    <r>
      <rPr>
        <sz val="11"/>
        <color theme="1"/>
        <rFont val="Noto Sans CJK SC"/>
        <family val="2"/>
      </rPr>
      <t xml:space="preserve">レベルでスクリプトを投入し、ボリュームを</t>
    </r>
    <r>
      <rPr>
        <sz val="11"/>
        <color theme="1"/>
        <rFont val="游ゴシック"/>
        <family val="2"/>
        <charset val="128"/>
      </rPr>
      <t xml:space="preserve">BitLocker</t>
    </r>
    <r>
      <rPr>
        <sz val="11"/>
        <color theme="1"/>
        <rFont val="Noto Sans CJK SC"/>
        <family val="2"/>
      </rPr>
      <t xml:space="preserve">や</t>
    </r>
    <r>
      <rPr>
        <sz val="11"/>
        <color theme="1"/>
        <rFont val="游ゴシック"/>
        <family val="2"/>
        <charset val="128"/>
      </rPr>
      <t xml:space="preserve">Linux</t>
    </r>
    <r>
      <rPr>
        <sz val="11"/>
        <color theme="1"/>
        <rFont val="Noto Sans CJK SC"/>
        <family val="2"/>
      </rPr>
      <t xml:space="preserve">の</t>
    </r>
    <r>
      <rPr>
        <sz val="11"/>
        <color theme="1"/>
        <rFont val="游ゴシック"/>
        <family val="2"/>
        <charset val="128"/>
      </rPr>
      <t xml:space="preserve">LUKS</t>
    </r>
    <r>
      <rPr>
        <sz val="11"/>
        <color theme="1"/>
        <rFont val="Noto Sans CJK SC"/>
        <family val="2"/>
      </rPr>
      <t xml:space="preserve">等で暗号化</t>
    </r>
    <r>
      <rPr>
        <sz val="11"/>
        <color theme="1"/>
        <rFont val="游ゴシック"/>
        <family val="2"/>
        <charset val="128"/>
      </rPr>
      <t xml:space="preserve">
</t>
    </r>
    <r>
      <rPr>
        <sz val="11"/>
        <color theme="1"/>
        <rFont val="Noto Sans CJK SC"/>
        <family val="2"/>
      </rPr>
      <t xml:space="preserve">システムログやスナップショットの削除による復旧妨害</t>
    </r>
    <r>
      <rPr>
        <sz val="11"/>
        <color theme="1"/>
        <rFont val="游ゴシック"/>
        <family val="2"/>
        <charset val="128"/>
      </rPr>
      <t xml:space="preserve">
IAM</t>
    </r>
    <r>
      <rPr>
        <sz val="11"/>
        <color theme="1"/>
        <rFont val="Noto Sans CJK SC"/>
        <family val="2"/>
      </rPr>
      <t xml:space="preserve">の一時的制御権を用いた“復旧阻止”工作</t>
    </r>
    <r>
      <rPr>
        <sz val="11"/>
        <color theme="1"/>
        <rFont val="游ゴシック"/>
        <family val="2"/>
        <charset val="128"/>
      </rPr>
      <t xml:space="preserve">
</t>
    </r>
    <r>
      <rPr>
        <sz val="11"/>
        <color theme="1"/>
        <rFont val="Noto Sans CJK SC"/>
        <family val="2"/>
      </rPr>
      <t xml:space="preserve">ガバメントクラウド内で復旧オプションが封じられた状態にされることで、実質的なデータロックアウトが生じる。</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</si>
  <si>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評価内容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データ暗号化制御      </t>
    </r>
    <r>
      <rPr>
        <sz val="11"/>
        <color theme="1"/>
        <rFont val="游ゴシック"/>
        <family val="2"/>
        <charset val="128"/>
      </rPr>
      <t xml:space="preserve">| KMS</t>
    </r>
    <r>
      <rPr>
        <sz val="11"/>
        <color theme="1"/>
        <rFont val="Noto Sans CJK SC"/>
        <family val="2"/>
      </rPr>
      <t xml:space="preserve">のアクセス制御や</t>
    </r>
    <r>
      <rPr>
        <sz val="11"/>
        <color theme="1"/>
        <rFont val="游ゴシック"/>
        <family val="2"/>
        <charset val="128"/>
      </rPr>
      <t xml:space="preserve">EBS</t>
    </r>
    <r>
      <rPr>
        <sz val="11"/>
        <color theme="1"/>
        <rFont val="Noto Sans CJK SC"/>
        <family val="2"/>
      </rPr>
      <t xml:space="preserve">暗号化ポリシーは一部導入。ただし</t>
    </r>
    <r>
      <rPr>
        <sz val="11"/>
        <color theme="1"/>
        <rFont val="游ゴシック"/>
        <family val="2"/>
        <charset val="128"/>
      </rPr>
      <t xml:space="preserve">Proxy Server</t>
    </r>
    <r>
      <rPr>
        <sz val="11"/>
        <color theme="1"/>
        <rFont val="Noto Sans CJK SC"/>
        <family val="2"/>
      </rPr>
      <t xml:space="preserve">単体の制御は未記載。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ログ・スナップショット保全 </t>
    </r>
    <r>
      <rPr>
        <sz val="11"/>
        <color theme="1"/>
        <rFont val="游ゴシック"/>
        <family val="2"/>
        <charset val="128"/>
      </rPr>
      <t xml:space="preserve">| CloudTrail</t>
    </r>
    <r>
      <rPr>
        <sz val="11"/>
        <color theme="1"/>
        <rFont val="Noto Sans CJK SC"/>
        <family val="2"/>
      </rPr>
      <t xml:space="preserve">ログ保全は一部設定あり。スナップショット削除阻止や整合性保全策は記載なし。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API</t>
    </r>
    <r>
      <rPr>
        <sz val="11"/>
        <color theme="1"/>
        <rFont val="Noto Sans CJK SC"/>
        <family val="2"/>
      </rPr>
      <t xml:space="preserve">実行制御       </t>
    </r>
    <r>
      <rPr>
        <sz val="11"/>
        <color theme="1"/>
        <rFont val="游ゴシック"/>
        <family val="2"/>
        <charset val="128"/>
      </rPr>
      <t xml:space="preserve">| Step3</t>
    </r>
    <r>
      <rPr>
        <sz val="11"/>
        <color theme="1"/>
        <rFont val="Noto Sans CJK SC"/>
        <family val="2"/>
      </rPr>
      <t xml:space="preserve">で</t>
    </r>
    <r>
      <rPr>
        <sz val="11"/>
        <color theme="1"/>
        <rFont val="游ゴシック"/>
        <family val="2"/>
        <charset val="128"/>
      </rPr>
      <t xml:space="preserve">API</t>
    </r>
    <r>
      <rPr>
        <sz val="11"/>
        <color theme="1"/>
        <rFont val="Noto Sans CJK SC"/>
        <family val="2"/>
      </rPr>
      <t xml:space="preserve">攻撃が成立済のため、</t>
    </r>
    <r>
      <rPr>
        <sz val="11"/>
        <color theme="1"/>
        <rFont val="游ゴシック"/>
        <family val="2"/>
        <charset val="128"/>
      </rPr>
      <t xml:space="preserve">IAM/API</t>
    </r>
    <r>
      <rPr>
        <sz val="11"/>
        <color theme="1"/>
        <rFont val="Noto Sans CJK SC"/>
        <family val="2"/>
      </rPr>
      <t xml:space="preserve">制御に抜けあり。</t>
    </r>
    <r>
      <rPr>
        <sz val="11"/>
        <color theme="1"/>
        <rFont val="游ゴシック"/>
        <family val="2"/>
        <charset val="128"/>
      </rPr>
      <t xml:space="preserve">SSPM</t>
    </r>
    <r>
      <rPr>
        <sz val="11"/>
        <color theme="1"/>
        <rFont val="Noto Sans CJK SC"/>
        <family val="2"/>
      </rPr>
      <t xml:space="preserve">未導入。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1</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1.7 → </t>
    </r>
    <r>
      <rPr>
        <sz val="11"/>
        <color theme="1"/>
        <rFont val="Noto Sans CJK SC"/>
        <family val="2"/>
      </rPr>
      <t xml:space="preserve">切り捨てて「レベル</t>
    </r>
    <r>
      <rPr>
        <sz val="11"/>
        <color theme="1"/>
        <rFont val="游ゴシック"/>
        <family val="2"/>
        <charset val="128"/>
      </rPr>
      <t xml:space="preserve">1</t>
    </r>
    <r>
      <rPr>
        <sz val="11"/>
        <color theme="1"/>
        <rFont val="Noto Sans CJK SC"/>
        <family val="2"/>
      </rPr>
      <t xml:space="preserve">」</t>
    </r>
  </si>
  <si>
    <r>
      <rPr>
        <sz val="11"/>
        <color theme="1"/>
        <rFont val="Noto Sans CJK SC"/>
        <family val="2"/>
      </rPr>
      <t xml:space="preserve">侵入済みのクラウド環境において、プロキシサーバの帯域を意図的に消費（例：大量データ送信、仮想マイニングノードの設置など）することで、ガバメントクラウドや</t>
    </r>
    <r>
      <rPr>
        <sz val="11"/>
        <color theme="1"/>
        <rFont val="游ゴシック"/>
        <family val="2"/>
        <charset val="128"/>
      </rPr>
      <t xml:space="preserve">VPN</t>
    </r>
    <r>
      <rPr>
        <sz val="11"/>
        <color theme="1"/>
        <rFont val="Noto Sans CJK SC"/>
        <family val="2"/>
      </rPr>
      <t xml:space="preserve">経路の通信品質を劣化させ、他の通信遅延・業務妨害を引き起こす</t>
    </r>
    <r>
      <rPr>
        <sz val="11"/>
        <color theme="1"/>
        <rFont val="游ゴシック"/>
        <family val="2"/>
        <charset val="128"/>
      </rPr>
      <t xml:space="preserve">DoS</t>
    </r>
    <r>
      <rPr>
        <sz val="11"/>
        <color theme="1"/>
        <rFont val="Noto Sans CJK SC"/>
        <family val="2"/>
      </rPr>
      <t xml:space="preserve">型の資源枯渇攻撃に該当。システム停止を伴わずに“リソース占有”による間接的な被害を狙う</t>
    </r>
  </si>
  <si>
    <r>
      <rPr>
        <sz val="11"/>
        <color theme="1"/>
        <rFont val="游ゴシック"/>
        <family val="2"/>
        <charset val="128"/>
      </rPr>
      <t xml:space="preserve">| </t>
    </r>
    <r>
      <rPr>
        <sz val="11"/>
        <color theme="1"/>
        <rFont val="Noto Sans CJK SC"/>
        <family val="2"/>
      </rPr>
      <t xml:space="preserve">評価カテゴリ            </t>
    </r>
    <r>
      <rPr>
        <sz val="11"/>
        <color theme="1"/>
        <rFont val="游ゴシック"/>
        <family val="2"/>
        <charset val="128"/>
      </rPr>
      <t xml:space="preserve">| </t>
    </r>
    <r>
      <rPr>
        <sz val="11"/>
        <color theme="1"/>
        <rFont val="Noto Sans CJK SC"/>
        <family val="2"/>
      </rPr>
      <t xml:space="preserve">対策内容（遵守済と仮定）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プロキシ通信監視</t>
    </r>
    <r>
      <rPr>
        <sz val="11"/>
        <color theme="1"/>
        <rFont val="游ゴシック"/>
        <family val="2"/>
        <charset val="128"/>
      </rPr>
      <t xml:space="preserve">**      | SWG</t>
    </r>
    <r>
      <rPr>
        <sz val="11"/>
        <color theme="1"/>
        <rFont val="Noto Sans CJK SC"/>
        <family val="2"/>
      </rPr>
      <t xml:space="preserve">・</t>
    </r>
    <r>
      <rPr>
        <sz val="11"/>
        <color theme="1"/>
        <rFont val="游ゴシック"/>
        <family val="2"/>
        <charset val="128"/>
      </rPr>
      <t xml:space="preserve">Proxy</t>
    </r>
    <r>
      <rPr>
        <sz val="11"/>
        <color theme="1"/>
        <rFont val="Noto Sans CJK SC"/>
        <family val="2"/>
      </rPr>
      <t xml:space="preserve">ログは収集済、</t>
    </r>
    <r>
      <rPr>
        <sz val="11"/>
        <color theme="1"/>
        <rFont val="游ゴシック"/>
        <family val="2"/>
        <charset val="128"/>
      </rPr>
      <t xml:space="preserve">SIEM</t>
    </r>
    <r>
      <rPr>
        <sz val="11"/>
        <color theme="1"/>
        <rFont val="Noto Sans CJK SC"/>
        <family val="2"/>
      </rPr>
      <t xml:space="preserve">連携も実施。</t>
    </r>
    <r>
      <rPr>
        <sz val="11"/>
        <color theme="1"/>
        <rFont val="游ゴシック"/>
        <family val="2"/>
        <charset val="128"/>
      </rPr>
      <t xml:space="preserve">DNS</t>
    </r>
    <r>
      <rPr>
        <sz val="11"/>
        <color theme="1"/>
        <rFont val="Noto Sans CJK SC"/>
        <family val="2"/>
      </rPr>
      <t xml:space="preserve">や宛先</t>
    </r>
    <r>
      <rPr>
        <sz val="11"/>
        <color theme="1"/>
        <rFont val="游ゴシック"/>
        <family val="2"/>
        <charset val="128"/>
      </rPr>
      <t xml:space="preserve">IP</t>
    </r>
    <r>
      <rPr>
        <sz val="11"/>
        <color theme="1"/>
        <rFont val="Noto Sans CJK SC"/>
        <family val="2"/>
      </rPr>
      <t xml:space="preserve">でのトラフィック可視化が可能。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異常帯域検出とアラート</t>
    </r>
    <r>
      <rPr>
        <sz val="11"/>
        <color theme="1"/>
        <rFont val="游ゴシック"/>
        <family val="2"/>
        <charset val="128"/>
      </rPr>
      <t xml:space="preserve">**   | GuardDuty</t>
    </r>
    <r>
      <rPr>
        <sz val="11"/>
        <color theme="1"/>
        <rFont val="Noto Sans CJK SC"/>
        <family val="2"/>
      </rPr>
      <t xml:space="preserve">相当で異常通信のアラートはあるが、</t>
    </r>
    <r>
      <rPr>
        <sz val="11"/>
        <color theme="1"/>
        <rFont val="游ゴシック"/>
        <family val="2"/>
        <charset val="128"/>
      </rPr>
      <t xml:space="preserve">**</t>
    </r>
    <r>
      <rPr>
        <sz val="11"/>
        <color theme="1"/>
        <rFont val="Noto Sans CJK SC"/>
        <family val="2"/>
      </rPr>
      <t xml:space="preserve">帯域使用量ベースのしきい値監視は未設定</t>
    </r>
    <r>
      <rPr>
        <sz val="11"/>
        <color theme="1"/>
        <rFont val="游ゴシック"/>
        <family val="2"/>
        <charset val="128"/>
      </rPr>
      <t xml:space="preserve">**        |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アウトバウンド制御</t>
    </r>
    <r>
      <rPr>
        <sz val="11"/>
        <color theme="1"/>
        <rFont val="游ゴシック"/>
        <family val="2"/>
        <charset val="128"/>
      </rPr>
      <t xml:space="preserve">**     | Egress</t>
    </r>
    <r>
      <rPr>
        <sz val="11"/>
        <color theme="1"/>
        <rFont val="Noto Sans CJK SC"/>
        <family val="2"/>
      </rPr>
      <t xml:space="preserve">制御ポリシーあり（国別や</t>
    </r>
    <r>
      <rPr>
        <sz val="11"/>
        <color theme="1"/>
        <rFont val="游ゴシック"/>
        <family val="2"/>
        <charset val="128"/>
      </rPr>
      <t xml:space="preserve">FQDN</t>
    </r>
    <r>
      <rPr>
        <sz val="11"/>
        <color theme="1"/>
        <rFont val="Noto Sans CJK SC"/>
        <family val="2"/>
      </rPr>
      <t xml:space="preserve">制限）。ただし動的アノマリー検知は未導入。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構成ミス・ルーティング検知</t>
    </r>
    <r>
      <rPr>
        <sz val="11"/>
        <color theme="1"/>
        <rFont val="游ゴシック"/>
        <family val="2"/>
        <charset val="128"/>
      </rPr>
      <t xml:space="preserve">** | CSPM</t>
    </r>
    <r>
      <rPr>
        <sz val="11"/>
        <color theme="1"/>
        <rFont val="Noto Sans CJK SC"/>
        <family val="2"/>
      </rPr>
      <t xml:space="preserve">は導入済。</t>
    </r>
    <r>
      <rPr>
        <sz val="11"/>
        <color theme="1"/>
        <rFont val="游ゴシック"/>
        <family val="2"/>
        <charset val="128"/>
      </rPr>
      <t xml:space="preserve">SWG</t>
    </r>
    <r>
      <rPr>
        <sz val="11"/>
        <color theme="1"/>
        <rFont val="Noto Sans CJK SC"/>
        <family val="2"/>
      </rPr>
      <t xml:space="preserve">の過剰許可設定については検出対象。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サービス間通信制限</t>
    </r>
    <r>
      <rPr>
        <sz val="11"/>
        <color theme="1"/>
        <rFont val="游ゴシック"/>
        <family val="2"/>
        <charset val="128"/>
      </rPr>
      <t xml:space="preserve">**     | VPC</t>
    </r>
    <r>
      <rPr>
        <sz val="11"/>
        <color theme="1"/>
        <rFont val="Noto Sans CJK SC"/>
        <family val="2"/>
      </rPr>
      <t xml:space="preserve">ピアリングやプロキシ経路の制限は設計上存在。ただし、</t>
    </r>
    <r>
      <rPr>
        <sz val="11"/>
        <color theme="1"/>
        <rFont val="游ゴシック"/>
        <family val="2"/>
        <charset val="128"/>
      </rPr>
      <t xml:space="preserve">**</t>
    </r>
    <r>
      <rPr>
        <sz val="11"/>
        <color theme="1"/>
        <rFont val="Noto Sans CJK SC"/>
        <family val="2"/>
      </rPr>
      <t xml:space="preserve">運用上の例外が散見される</t>
    </r>
    <r>
      <rPr>
        <sz val="11"/>
        <color theme="1"/>
        <rFont val="游ゴシック"/>
        <family val="2"/>
        <charset val="128"/>
      </rPr>
      <t xml:space="preserve">**</t>
    </r>
    <r>
      <rPr>
        <sz val="11"/>
        <color theme="1"/>
        <rFont val="Noto Sans CJK SC"/>
        <family val="2"/>
      </rPr>
      <t xml:space="preserve">（一部緩いルールあり）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t>
    </r>
    <r>
      <rPr>
        <sz val="11"/>
        <color theme="1"/>
        <rFont val="Noto Sans CJK SC"/>
        <family val="2"/>
      </rPr>
      <t xml:space="preserve">総合評価（レベル判定）</t>
    </r>
    <r>
      <rPr>
        <sz val="11"/>
        <color theme="1"/>
        <rFont val="游ゴシック"/>
        <family val="2"/>
        <charset val="128"/>
      </rPr>
      <t xml:space="preserve">
</t>
    </r>
    <r>
      <rPr>
        <sz val="11"/>
        <color theme="1"/>
        <rFont val="Noto Sans CJK SC"/>
        <family val="2"/>
      </rPr>
      <t xml:space="preserve">評価平均：約 </t>
    </r>
    <r>
      <rPr>
        <sz val="11"/>
        <color theme="1"/>
        <rFont val="游ゴシック"/>
        <family val="2"/>
        <charset val="128"/>
      </rPr>
      <t xml:space="preserve">2.4
→ </t>
    </r>
    <r>
      <rPr>
        <sz val="11"/>
        <color theme="1"/>
        <rFont val="Noto Sans CJK SC"/>
        <family val="2"/>
      </rPr>
      <t xml:space="preserve">切り上げ処理により</t>
    </r>
    <r>
      <rPr>
        <sz val="11"/>
        <color theme="1"/>
        <rFont val="游ゴシック"/>
        <family val="2"/>
        <charset val="128"/>
      </rPr>
      <t xml:space="preserve">
</t>
    </r>
    <r>
      <rPr>
        <sz val="11"/>
        <color theme="1"/>
        <rFont val="Noto Sans CJK SC"/>
        <family val="2"/>
      </rPr>
      <t xml:space="preserve">レベル：★★★（</t>
    </r>
    <r>
      <rPr>
        <sz val="11"/>
        <color theme="1"/>
        <rFont val="游ゴシック"/>
        <family val="2"/>
        <charset val="128"/>
      </rPr>
      <t xml:space="preserve">3</t>
    </r>
    <r>
      <rPr>
        <sz val="11"/>
        <color theme="1"/>
        <rFont val="Noto Sans CJK SC"/>
        <family val="2"/>
      </rPr>
      <t xml:space="preserve">）</t>
    </r>
  </si>
  <si>
    <r>
      <rPr>
        <sz val="11"/>
        <color theme="1"/>
        <rFont val="游ゴシック"/>
        <family val="2"/>
        <charset val="128"/>
      </rPr>
      <t xml:space="preserve">Secrets Manager</t>
    </r>
    <r>
      <rPr>
        <sz val="11"/>
        <color theme="1"/>
        <rFont val="Noto Sans CJK SC"/>
        <family val="2"/>
      </rPr>
      <t xml:space="preserve">や</t>
    </r>
    <r>
      <rPr>
        <sz val="11"/>
        <color theme="1"/>
        <rFont val="游ゴシック"/>
        <family val="2"/>
        <charset val="128"/>
      </rPr>
      <t xml:space="preserve">Key Vault</t>
    </r>
    <r>
      <rPr>
        <sz val="11"/>
        <color theme="1"/>
        <rFont val="Noto Sans CJK SC"/>
        <family val="2"/>
      </rPr>
      <t xml:space="preserve">から</t>
    </r>
    <r>
      <rPr>
        <sz val="11"/>
        <color theme="1"/>
        <rFont val="游ゴシック"/>
        <family val="2"/>
        <charset val="128"/>
      </rPr>
      <t xml:space="preserve">DB</t>
    </r>
    <r>
      <rPr>
        <sz val="11"/>
        <color theme="1"/>
        <rFont val="Noto Sans CJK SC"/>
        <family val="2"/>
      </rPr>
      <t xml:space="preserve">パスワードや</t>
    </r>
    <r>
      <rPr>
        <sz val="11"/>
        <color theme="1"/>
        <rFont val="游ゴシック"/>
        <family val="2"/>
        <charset val="128"/>
      </rPr>
      <t xml:space="preserve">API</t>
    </r>
    <r>
      <rPr>
        <sz val="11"/>
        <color theme="1"/>
        <rFont val="Noto Sans CJK SC"/>
        <family val="2"/>
      </rPr>
      <t xml:space="preserve">鍵を抽出し、</t>
    </r>
    <r>
      <rPr>
        <sz val="11"/>
        <color theme="1"/>
        <rFont val="游ゴシック"/>
        <family val="2"/>
        <charset val="128"/>
      </rPr>
      <t xml:space="preserve">My Number</t>
    </r>
    <r>
      <rPr>
        <sz val="11"/>
        <color theme="1"/>
        <rFont val="Noto Sans CJK SC"/>
        <family val="2"/>
      </rPr>
      <t xml:space="preserve">系システムへの認証回避を試みる高度なクラウド認証情報窃取攻撃。</t>
    </r>
  </si>
  <si>
    <r>
      <rPr>
        <sz val="11"/>
        <color theme="1"/>
        <rFont val="游ゴシック"/>
        <family val="2"/>
        <charset val="128"/>
      </rPr>
      <t xml:space="preserve">| </t>
    </r>
    <r>
      <rPr>
        <sz val="11"/>
        <color theme="1"/>
        <rFont val="Noto Sans CJK SC"/>
        <family val="2"/>
      </rPr>
      <t xml:space="preserve">評価項目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Secrets</t>
    </r>
    <r>
      <rPr>
        <sz val="11"/>
        <color theme="1"/>
        <rFont val="Noto Sans CJK SC"/>
        <family val="2"/>
      </rPr>
      <t xml:space="preserve">アクセス制御 </t>
    </r>
    <r>
      <rPr>
        <sz val="11"/>
        <color theme="1"/>
        <rFont val="游ゴシック"/>
        <family val="2"/>
        <charset val="128"/>
      </rPr>
      <t xml:space="preserve">| IAM</t>
    </r>
    <r>
      <rPr>
        <sz val="11"/>
        <color theme="1"/>
        <rFont val="Noto Sans CJK SC"/>
        <family val="2"/>
      </rPr>
      <t xml:space="preserve">にて</t>
    </r>
    <r>
      <rPr>
        <sz val="11"/>
        <color theme="1"/>
        <rFont val="游ゴシック"/>
        <family val="2"/>
        <charset val="128"/>
      </rPr>
      <t xml:space="preserve">Secrets</t>
    </r>
    <r>
      <rPr>
        <sz val="11"/>
        <color theme="1"/>
        <rFont val="Noto Sans CJK SC"/>
        <family val="2"/>
      </rPr>
      <t xml:space="preserve">ごとにアクセス制御が設定されている。ただし一部ロールは広範囲に許可されている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Secrets</t>
    </r>
    <r>
      <rPr>
        <sz val="11"/>
        <color theme="1"/>
        <rFont val="Noto Sans CJK SC"/>
        <family val="2"/>
      </rPr>
      <t xml:space="preserve">の暗号化   </t>
    </r>
    <r>
      <rPr>
        <sz val="11"/>
        <color theme="1"/>
        <rFont val="游ゴシック"/>
        <family val="2"/>
        <charset val="128"/>
      </rPr>
      <t xml:space="preserve">| KMS</t>
    </r>
    <r>
      <rPr>
        <sz val="11"/>
        <color theme="1"/>
        <rFont val="Noto Sans CJK SC"/>
        <family val="2"/>
      </rPr>
      <t xml:space="preserve">による暗号化は実施済み。</t>
    </r>
    <r>
      <rPr>
        <sz val="11"/>
        <color theme="1"/>
        <rFont val="游ゴシック"/>
        <family val="2"/>
        <charset val="128"/>
      </rPr>
      <t xml:space="preserve">KMS</t>
    </r>
    <r>
      <rPr>
        <sz val="11"/>
        <color theme="1"/>
        <rFont val="Noto Sans CJK SC"/>
        <family val="2"/>
      </rPr>
      <t xml:space="preserve">キーは別ロールで管理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アクセス監視・検知     </t>
    </r>
    <r>
      <rPr>
        <sz val="11"/>
        <color theme="1"/>
        <rFont val="游ゴシック"/>
        <family val="2"/>
        <charset val="128"/>
      </rPr>
      <t xml:space="preserve">| CloudTrail</t>
    </r>
    <r>
      <rPr>
        <sz val="11"/>
        <color theme="1"/>
        <rFont val="Noto Sans CJK SC"/>
        <family val="2"/>
      </rPr>
      <t xml:space="preserve">有効だが、</t>
    </r>
    <r>
      <rPr>
        <sz val="11"/>
        <color theme="1"/>
        <rFont val="游ゴシック"/>
        <family val="2"/>
        <charset val="128"/>
      </rPr>
      <t xml:space="preserve">**Secrets</t>
    </r>
    <r>
      <rPr>
        <sz val="11"/>
        <color theme="1"/>
        <rFont val="Noto Sans CJK SC"/>
        <family val="2"/>
      </rPr>
      <t xml:space="preserve">への読み取りに対する即時アラート設定が不完全</t>
    </r>
    <r>
      <rPr>
        <sz val="11"/>
        <color theme="1"/>
        <rFont val="游ゴシック"/>
        <family val="2"/>
        <charset val="128"/>
      </rPr>
      <t xml:space="preserve">**   |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ローテーション運用     </t>
    </r>
    <r>
      <rPr>
        <sz val="11"/>
        <color theme="1"/>
        <rFont val="游ゴシック"/>
        <family val="2"/>
        <charset val="128"/>
      </rPr>
      <t xml:space="preserve">| </t>
    </r>
    <r>
      <rPr>
        <sz val="11"/>
        <color theme="1"/>
        <rFont val="Noto Sans CJK SC"/>
        <family val="2"/>
      </rPr>
      <t xml:space="preserve">自動ローテーションは一部適用（</t>
    </r>
    <r>
      <rPr>
        <sz val="11"/>
        <color theme="1"/>
        <rFont val="游ゴシック"/>
        <family val="2"/>
        <charset val="128"/>
      </rPr>
      <t xml:space="preserve">API</t>
    </r>
    <r>
      <rPr>
        <sz val="11"/>
        <color theme="1"/>
        <rFont val="Noto Sans CJK SC"/>
        <family val="2"/>
      </rPr>
      <t xml:space="preserve">キー等）。</t>
    </r>
    <r>
      <rPr>
        <sz val="11"/>
        <color theme="1"/>
        <rFont val="游ゴシック"/>
        <family val="2"/>
        <charset val="128"/>
      </rPr>
      <t xml:space="preserve">DB</t>
    </r>
    <r>
      <rPr>
        <sz val="11"/>
        <color theme="1"/>
        <rFont val="Noto Sans CJK SC"/>
        <family val="2"/>
      </rPr>
      <t xml:space="preserve">パスワードは手動更新ベース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SSPM</t>
    </r>
    <r>
      <rPr>
        <sz val="11"/>
        <color theme="1"/>
        <rFont val="Noto Sans CJK SC"/>
        <family val="2"/>
      </rPr>
      <t xml:space="preserve">などの逸脱検知   </t>
    </r>
    <r>
      <rPr>
        <sz val="11"/>
        <color theme="1"/>
        <rFont val="游ゴシック"/>
        <family val="2"/>
        <charset val="128"/>
      </rPr>
      <t xml:space="preserve">| CSPM</t>
    </r>
    <r>
      <rPr>
        <sz val="11"/>
        <color theme="1"/>
        <rFont val="Noto Sans CJK SC"/>
        <family val="2"/>
      </rPr>
      <t xml:space="preserve">導入済、</t>
    </r>
    <r>
      <rPr>
        <sz val="11"/>
        <color theme="1"/>
        <rFont val="游ゴシック"/>
        <family val="2"/>
        <charset val="128"/>
      </rPr>
      <t xml:space="preserve">SSPM</t>
    </r>
    <r>
      <rPr>
        <sz val="11"/>
        <color theme="1"/>
        <rFont val="Noto Sans CJK SC"/>
        <family val="2"/>
      </rPr>
      <t xml:space="preserve">は評価中。ルールベース検知は整備途上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2.2 → </t>
    </r>
    <r>
      <rPr>
        <sz val="11"/>
        <color theme="1"/>
        <rFont val="Noto Sans CJK SC"/>
        <family val="2"/>
      </rPr>
      <t xml:space="preserve">切り下げて ★★（</t>
    </r>
    <r>
      <rPr>
        <sz val="11"/>
        <color theme="1"/>
        <rFont val="游ゴシック"/>
        <family val="2"/>
        <charset val="128"/>
      </rPr>
      <t xml:space="preserve">2</t>
    </r>
    <r>
      <rPr>
        <sz val="11"/>
        <color theme="1"/>
        <rFont val="Noto Sans CJK SC"/>
        <family val="2"/>
      </rPr>
      <t xml:space="preserve">）</t>
    </r>
  </si>
  <si>
    <r>
      <rPr>
        <sz val="11"/>
        <color theme="1"/>
        <rFont val="游ゴシック"/>
        <family val="2"/>
        <charset val="128"/>
      </rPr>
      <t xml:space="preserve">	
</t>
    </r>
    <r>
      <rPr>
        <sz val="11"/>
        <color theme="1"/>
        <rFont val="Noto Sans CJK SC"/>
        <family val="2"/>
      </rPr>
      <t xml:space="preserve">クラウド</t>
    </r>
    <r>
      <rPr>
        <sz val="11"/>
        <color theme="1"/>
        <rFont val="游ゴシック"/>
        <family val="2"/>
        <charset val="128"/>
      </rPr>
      <t xml:space="preserve">API</t>
    </r>
    <r>
      <rPr>
        <sz val="11"/>
        <color theme="1"/>
        <rFont val="Noto Sans CJK SC"/>
        <family val="2"/>
      </rPr>
      <t xml:space="preserve">を使ってスクリプトを遠隔実行し設定変更やマルウェア展開。</t>
    </r>
  </si>
  <si>
    <r>
      <rPr>
        <sz val="11"/>
        <color theme="1"/>
        <rFont val="游ゴシック"/>
        <family val="2"/>
        <charset val="128"/>
      </rPr>
      <t xml:space="preserve">| </t>
    </r>
    <r>
      <rPr>
        <sz val="11"/>
        <color theme="1"/>
        <rFont val="Noto Sans CJK SC"/>
        <family val="2"/>
      </rPr>
      <t xml:space="preserve">観点           </t>
    </r>
    <r>
      <rPr>
        <sz val="11"/>
        <color theme="1"/>
        <rFont val="游ゴシック"/>
        <family val="2"/>
        <charset val="128"/>
      </rPr>
      <t xml:space="preserve">| </t>
    </r>
    <r>
      <rPr>
        <sz val="11"/>
        <color theme="1"/>
        <rFont val="Noto Sans CJK SC"/>
        <family val="2"/>
      </rPr>
      <t xml:space="preserve">内容                                                                      </t>
    </r>
    <r>
      <rPr>
        <sz val="11"/>
        <color theme="1"/>
        <rFont val="游ゴシック"/>
        <family val="2"/>
        <charset val="128"/>
      </rPr>
      <t xml:space="preserve">|
| ------------ | ----------------------------------------------------------------------- |
| ? IAM</t>
    </r>
    <r>
      <rPr>
        <sz val="11"/>
        <color theme="1"/>
        <rFont val="Noto Sans CJK SC"/>
        <family val="2"/>
      </rPr>
      <t xml:space="preserve">制御      </t>
    </r>
    <r>
      <rPr>
        <sz val="11"/>
        <color theme="1"/>
        <rFont val="游ゴシック"/>
        <family val="2"/>
        <charset val="128"/>
      </rPr>
      <t xml:space="preserve">| IAM</t>
    </r>
    <r>
      <rPr>
        <sz val="11"/>
        <color theme="1"/>
        <rFont val="Noto Sans CJK SC"/>
        <family val="2"/>
      </rPr>
      <t xml:space="preserve">最小権限ポリシー、ロールベースアクセス制御（</t>
    </r>
    <r>
      <rPr>
        <sz val="11"/>
        <color theme="1"/>
        <rFont val="游ゴシック"/>
        <family val="2"/>
        <charset val="128"/>
      </rPr>
      <t xml:space="preserve">RBAC</t>
    </r>
    <r>
      <rPr>
        <sz val="11"/>
        <color theme="1"/>
        <rFont val="Noto Sans CJK SC"/>
        <family val="2"/>
      </rPr>
      <t xml:space="preserve">）の適用が前提となっており、基本的な対策は講じられていると考えられる         </t>
    </r>
    <r>
      <rPr>
        <sz val="11"/>
        <color theme="1"/>
        <rFont val="游ゴシック"/>
        <family val="2"/>
        <charset val="128"/>
      </rPr>
      <t xml:space="preserve">|
| ? API</t>
    </r>
    <r>
      <rPr>
        <sz val="11"/>
        <color theme="1"/>
        <rFont val="Noto Sans CJK SC"/>
        <family val="2"/>
      </rPr>
      <t xml:space="preserve">監視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AWS</t>
    </r>
    <r>
      <rPr>
        <sz val="11"/>
        <color theme="1"/>
        <rFont val="Noto Sans CJK SC"/>
        <family val="2"/>
      </rPr>
      <t xml:space="preserve">）や</t>
    </r>
    <r>
      <rPr>
        <sz val="11"/>
        <color theme="1"/>
        <rFont val="游ゴシック"/>
        <family val="2"/>
        <charset val="128"/>
      </rPr>
      <t xml:space="preserve">Audit Log</t>
    </r>
    <r>
      <rPr>
        <sz val="11"/>
        <color theme="1"/>
        <rFont val="Noto Sans CJK SC"/>
        <family val="2"/>
      </rPr>
      <t xml:space="preserve">（</t>
    </r>
    <r>
      <rPr>
        <sz val="11"/>
        <color theme="1"/>
        <rFont val="游ゴシック"/>
        <family val="2"/>
        <charset val="128"/>
      </rPr>
      <t xml:space="preserve">GCP</t>
    </r>
    <r>
      <rPr>
        <sz val="11"/>
        <color theme="1"/>
        <rFont val="Noto Sans CJK SC"/>
        <family val="2"/>
      </rPr>
      <t xml:space="preserve">）等による</t>
    </r>
    <r>
      <rPr>
        <sz val="11"/>
        <color theme="1"/>
        <rFont val="游ゴシック"/>
        <family val="2"/>
        <charset val="128"/>
      </rPr>
      <t xml:space="preserve">**API</t>
    </r>
    <r>
      <rPr>
        <sz val="11"/>
        <color theme="1"/>
        <rFont val="Noto Sans CJK SC"/>
        <family val="2"/>
      </rPr>
      <t xml:space="preserve">呼び出しログの記録と分析</t>
    </r>
    <r>
      <rPr>
        <sz val="11"/>
        <color theme="1"/>
        <rFont val="游ゴシック"/>
        <family val="2"/>
        <charset val="128"/>
      </rPr>
      <t xml:space="preserve">**</t>
    </r>
    <r>
      <rPr>
        <sz val="11"/>
        <color theme="1"/>
        <rFont val="Noto Sans CJK SC"/>
        <family val="2"/>
      </rPr>
      <t xml:space="preserve">も想定されている           </t>
    </r>
    <r>
      <rPr>
        <sz val="11"/>
        <color theme="1"/>
        <rFont val="游ゴシック"/>
        <family val="2"/>
        <charset val="128"/>
      </rPr>
      <t xml:space="preserve">|
| ? </t>
    </r>
    <r>
      <rPr>
        <sz val="11"/>
        <color theme="1"/>
        <rFont val="Noto Sans CJK SC"/>
        <family val="2"/>
      </rPr>
      <t xml:space="preserve">不安要素       </t>
    </r>
    <r>
      <rPr>
        <sz val="11"/>
        <color theme="1"/>
        <rFont val="游ゴシック"/>
        <family val="2"/>
        <charset val="128"/>
      </rPr>
      <t xml:space="preserve">| </t>
    </r>
    <r>
      <rPr>
        <sz val="11"/>
        <color theme="1"/>
        <rFont val="Noto Sans CJK SC"/>
        <family val="2"/>
      </rPr>
      <t xml:space="preserve">クラウド</t>
    </r>
    <r>
      <rPr>
        <sz val="11"/>
        <color theme="1"/>
        <rFont val="游ゴシック"/>
        <family val="2"/>
        <charset val="128"/>
      </rPr>
      <t xml:space="preserve">API</t>
    </r>
    <r>
      <rPr>
        <sz val="11"/>
        <color theme="1"/>
        <rFont val="Noto Sans CJK SC"/>
        <family val="2"/>
      </rPr>
      <t xml:space="preserve">は「正規操作」として処理されやすいため、不正利用が</t>
    </r>
    <r>
      <rPr>
        <sz val="11"/>
        <color theme="1"/>
        <rFont val="游ゴシック"/>
        <family val="2"/>
        <charset val="128"/>
      </rPr>
      <t xml:space="preserve">**</t>
    </r>
    <r>
      <rPr>
        <sz val="11"/>
        <color theme="1"/>
        <rFont val="Noto Sans CJK SC"/>
        <family val="2"/>
      </rPr>
      <t xml:space="preserve">異常検知で気付きにくい</t>
    </r>
    <r>
      <rPr>
        <sz val="11"/>
        <color theme="1"/>
        <rFont val="游ゴシック"/>
        <family val="2"/>
        <charset val="128"/>
      </rPr>
      <t xml:space="preserve">**&lt;br&gt;⇒ </t>
    </r>
    <r>
      <rPr>
        <sz val="11"/>
        <color theme="1"/>
        <rFont val="Noto Sans CJK SC"/>
        <family val="2"/>
      </rPr>
      <t xml:space="preserve">監視設定が甘いと侵害が長期化しやすい </t>
    </r>
    <r>
      <rPr>
        <sz val="11"/>
        <color theme="1"/>
        <rFont val="游ゴシック"/>
        <family val="2"/>
        <charset val="128"/>
      </rPr>
      <t xml:space="preserve">|
| ? </t>
    </r>
    <r>
      <rPr>
        <sz val="11"/>
        <color theme="1"/>
        <rFont val="Noto Sans CJK SC"/>
        <family val="2"/>
      </rPr>
      <t xml:space="preserve">利用頻度       </t>
    </r>
    <r>
      <rPr>
        <sz val="11"/>
        <color theme="1"/>
        <rFont val="游ゴシック"/>
        <family val="2"/>
        <charset val="128"/>
      </rPr>
      <t xml:space="preserve">| </t>
    </r>
    <r>
      <rPr>
        <sz val="11"/>
        <color theme="1"/>
        <rFont val="Noto Sans CJK SC"/>
        <family val="2"/>
      </rPr>
      <t xml:space="preserve">管理者も通常業務で</t>
    </r>
    <r>
      <rPr>
        <sz val="11"/>
        <color theme="1"/>
        <rFont val="游ゴシック"/>
        <family val="2"/>
        <charset val="128"/>
      </rPr>
      <t xml:space="preserve">API</t>
    </r>
    <r>
      <rPr>
        <sz val="11"/>
        <color theme="1"/>
        <rFont val="Noto Sans CJK SC"/>
        <family val="2"/>
      </rPr>
      <t xml:space="preserve">を使うため、攻撃と区別が困難（例：異常な時間帯や</t>
    </r>
    <r>
      <rPr>
        <sz val="11"/>
        <color theme="1"/>
        <rFont val="游ゴシック"/>
        <family val="2"/>
        <charset val="128"/>
      </rPr>
      <t xml:space="preserve">IP</t>
    </r>
    <r>
      <rPr>
        <sz val="11"/>
        <color theme="1"/>
        <rFont val="Noto Sans CJK SC"/>
        <family val="2"/>
      </rPr>
      <t xml:space="preserve">での利用を監視できるかどうかが鍵）                 </t>
    </r>
    <r>
      <rPr>
        <sz val="11"/>
        <color theme="1"/>
        <rFont val="游ゴシック"/>
        <family val="2"/>
        <charset val="128"/>
      </rPr>
      <t xml:space="preserve">|
| ? </t>
    </r>
    <r>
      <rPr>
        <sz val="11"/>
        <color theme="1"/>
        <rFont val="Noto Sans CJK SC"/>
        <family val="2"/>
      </rPr>
      <t xml:space="preserve">自治体側の技術成熟度 </t>
    </r>
    <r>
      <rPr>
        <sz val="11"/>
        <color theme="1"/>
        <rFont val="游ゴシック"/>
        <family val="2"/>
        <charset val="128"/>
      </rPr>
      <t xml:space="preserve">| </t>
    </r>
    <r>
      <rPr>
        <sz val="11"/>
        <color theme="1"/>
        <rFont val="Noto Sans CJK SC"/>
        <family val="2"/>
      </rPr>
      <t xml:space="preserve">クラウドセキュリティに不慣れな自治体では</t>
    </r>
    <r>
      <rPr>
        <sz val="11"/>
        <color theme="1"/>
        <rFont val="游ゴシック"/>
        <family val="2"/>
        <charset val="128"/>
      </rPr>
      <t xml:space="preserve">API</t>
    </r>
    <r>
      <rPr>
        <sz val="11"/>
        <color theme="1"/>
        <rFont val="Noto Sans CJK SC"/>
        <family val="2"/>
      </rPr>
      <t xml:space="preserve">監査設定が</t>
    </r>
    <r>
      <rPr>
        <sz val="11"/>
        <color theme="1"/>
        <rFont val="游ゴシック"/>
        <family val="2"/>
        <charset val="128"/>
      </rPr>
      <t xml:space="preserve">**</t>
    </r>
    <r>
      <rPr>
        <sz val="11"/>
        <color theme="1"/>
        <rFont val="Noto Sans CJK SC"/>
        <family val="2"/>
      </rPr>
      <t xml:space="preserve">未設定または過剰権限のまま</t>
    </r>
    <r>
      <rPr>
        <sz val="11"/>
        <color theme="1"/>
        <rFont val="游ゴシック"/>
        <family val="2"/>
        <charset val="128"/>
      </rPr>
      <t xml:space="preserve">**</t>
    </r>
    <r>
      <rPr>
        <sz val="11"/>
        <color theme="1"/>
        <rFont val="Noto Sans CJK SC"/>
        <family val="2"/>
      </rPr>
      <t xml:space="preserve">であるケースが懸念される               </t>
    </r>
    <r>
      <rPr>
        <sz val="11"/>
        <color theme="1"/>
        <rFont val="游ゴシック"/>
        <family val="2"/>
        <charset val="128"/>
      </rPr>
      <t xml:space="preserve">|</t>
    </r>
    <r>
      <rPr>
        <sz val="11"/>
        <color theme="1"/>
        <rFont val="Noto Sans CJK SC"/>
        <family val="2"/>
      </rPr>
      <t xml:space="preserve">リスクをさらに下げる効果的な対策は、</t>
    </r>
    <r>
      <rPr>
        <sz val="11"/>
        <color theme="1"/>
        <rFont val="游ゴシック"/>
        <family val="2"/>
        <charset val="128"/>
      </rPr>
      <t xml:space="preserve">| </t>
    </r>
    <r>
      <rPr>
        <sz val="11"/>
        <color theme="1"/>
        <rFont val="Noto Sans CJK SC"/>
        <family val="2"/>
      </rPr>
      <t xml:space="preserve">項目    </t>
    </r>
    <r>
      <rPr>
        <sz val="11"/>
        <color theme="1"/>
        <rFont val="游ゴシック"/>
        <family val="2"/>
        <charset val="128"/>
      </rPr>
      <t xml:space="preserve">| </t>
    </r>
    <r>
      <rPr>
        <sz val="11"/>
        <color theme="1"/>
        <rFont val="Noto Sans CJK SC"/>
        <family val="2"/>
      </rPr>
      <t xml:space="preserve">推奨構成（ベンダ中立）                                   </t>
    </r>
    <r>
      <rPr>
        <sz val="11"/>
        <color theme="1"/>
        <rFont val="游ゴシック"/>
        <family val="2"/>
        <charset val="128"/>
      </rPr>
      <t xml:space="preserve">|
| ----- | --------------------------------------------- |
| </t>
    </r>
    <r>
      <rPr>
        <sz val="11"/>
        <color theme="1"/>
        <rFont val="Noto Sans CJK SC"/>
        <family val="2"/>
      </rPr>
      <t xml:space="preserve">ログ取得  </t>
    </r>
    <r>
      <rPr>
        <sz val="11"/>
        <color theme="1"/>
        <rFont val="游ゴシック"/>
        <family val="2"/>
        <charset val="128"/>
      </rPr>
      <t xml:space="preserve">| CloudTrail / Audit Logs + </t>
    </r>
    <r>
      <rPr>
        <sz val="11"/>
        <color theme="1"/>
        <rFont val="Noto Sans CJK SC"/>
        <family val="2"/>
      </rPr>
      <t xml:space="preserve">長期保管                </t>
    </r>
    <r>
      <rPr>
        <sz val="11"/>
        <color theme="1"/>
        <rFont val="游ゴシック"/>
        <family val="2"/>
        <charset val="128"/>
      </rPr>
      <t xml:space="preserve">|
| </t>
    </r>
    <r>
      <rPr>
        <sz val="11"/>
        <color theme="1"/>
        <rFont val="Noto Sans CJK SC"/>
        <family val="2"/>
      </rPr>
      <t xml:space="preserve">検知・分析 </t>
    </r>
    <r>
      <rPr>
        <sz val="11"/>
        <color theme="1"/>
        <rFont val="游ゴシック"/>
        <family val="2"/>
        <charset val="128"/>
      </rPr>
      <t xml:space="preserve">| GuardDuty / SCC / Defender for Cloud + SIEM</t>
    </r>
    <r>
      <rPr>
        <sz val="11"/>
        <color theme="1"/>
        <rFont val="Noto Sans CJK SC"/>
        <family val="2"/>
      </rPr>
      <t xml:space="preserve">連携 </t>
    </r>
    <r>
      <rPr>
        <sz val="11"/>
        <color theme="1"/>
        <rFont val="游ゴシック"/>
        <family val="2"/>
        <charset val="128"/>
      </rPr>
      <t xml:space="preserve">|
| </t>
    </r>
    <r>
      <rPr>
        <sz val="11"/>
        <color theme="1"/>
        <rFont val="Noto Sans CJK SC"/>
        <family val="2"/>
      </rPr>
      <t xml:space="preserve">統制    </t>
    </r>
    <r>
      <rPr>
        <sz val="11"/>
        <color theme="1"/>
        <rFont val="游ゴシック"/>
        <family val="2"/>
        <charset val="128"/>
      </rPr>
      <t xml:space="preserve">| IAM</t>
    </r>
    <r>
      <rPr>
        <sz val="11"/>
        <color theme="1"/>
        <rFont val="Noto Sans CJK SC"/>
        <family val="2"/>
      </rPr>
      <t xml:space="preserve">最小権限 </t>
    </r>
    <r>
      <rPr>
        <sz val="11"/>
        <color theme="1"/>
        <rFont val="游ゴシック"/>
        <family val="2"/>
        <charset val="128"/>
      </rPr>
      <t xml:space="preserve">+ </t>
    </r>
    <r>
      <rPr>
        <sz val="11"/>
        <color theme="1"/>
        <rFont val="Noto Sans CJK SC"/>
        <family val="2"/>
      </rPr>
      <t xml:space="preserve">条件付きアクセス </t>
    </r>
    <r>
      <rPr>
        <sz val="11"/>
        <color theme="1"/>
        <rFont val="游ゴシック"/>
        <family val="2"/>
        <charset val="128"/>
      </rPr>
      <t xml:space="preserve">+ </t>
    </r>
    <r>
      <rPr>
        <sz val="11"/>
        <color theme="1"/>
        <rFont val="Noto Sans CJK SC"/>
        <family val="2"/>
      </rPr>
      <t xml:space="preserve">定期レビューワークフロー             </t>
    </r>
    <r>
      <rPr>
        <sz val="11"/>
        <color theme="1"/>
        <rFont val="游ゴシック"/>
        <family val="2"/>
        <charset val="128"/>
      </rPr>
      <t xml:space="preserve">|
| </t>
    </r>
    <r>
      <rPr>
        <sz val="11"/>
        <color theme="1"/>
        <rFont val="Noto Sans CJK SC"/>
        <family val="2"/>
      </rPr>
      <t xml:space="preserve">ツール連携 </t>
    </r>
    <r>
      <rPr>
        <sz val="11"/>
        <color theme="1"/>
        <rFont val="游ゴシック"/>
        <family val="2"/>
        <charset val="128"/>
      </rPr>
      <t xml:space="preserve">| EDR</t>
    </r>
    <r>
      <rPr>
        <sz val="11"/>
        <color theme="1"/>
        <rFont val="Noto Sans CJK SC"/>
        <family val="2"/>
      </rPr>
      <t xml:space="preserve">や</t>
    </r>
    <r>
      <rPr>
        <sz val="11"/>
        <color theme="1"/>
        <rFont val="游ゴシック"/>
        <family val="2"/>
        <charset val="128"/>
      </rPr>
      <t xml:space="preserve">PAM</t>
    </r>
    <r>
      <rPr>
        <sz val="11"/>
        <color theme="1"/>
        <rFont val="Noto Sans CJK SC"/>
        <family val="2"/>
      </rPr>
      <t xml:space="preserve">、</t>
    </r>
    <r>
      <rPr>
        <sz val="11"/>
        <color theme="1"/>
        <rFont val="游ゴシック"/>
        <family val="2"/>
        <charset val="128"/>
      </rPr>
      <t xml:space="preserve">SIEM</t>
    </r>
    <r>
      <rPr>
        <sz val="11"/>
        <color theme="1"/>
        <rFont val="Noto Sans CJK SC"/>
        <family val="2"/>
      </rPr>
      <t xml:space="preserve">と</t>
    </r>
    <r>
      <rPr>
        <sz val="11"/>
        <color theme="1"/>
        <rFont val="游ゴシック"/>
        <family val="2"/>
        <charset val="128"/>
      </rPr>
      <t xml:space="preserve">CNApp</t>
    </r>
    <r>
      <rPr>
        <sz val="11"/>
        <color theme="1"/>
        <rFont val="Noto Sans CJK SC"/>
        <family val="2"/>
      </rPr>
      <t xml:space="preserve">と連携して</t>
    </r>
    <r>
      <rPr>
        <sz val="11"/>
        <color theme="1"/>
        <rFont val="游ゴシック"/>
        <family val="2"/>
        <charset val="128"/>
      </rPr>
      <t xml:space="preserve">**</t>
    </r>
    <r>
      <rPr>
        <sz val="11"/>
        <color theme="1"/>
        <rFont val="Noto Sans CJK SC"/>
        <family val="2"/>
      </rPr>
      <t xml:space="preserve">誤用や内部不正</t>
    </r>
    <r>
      <rPr>
        <sz val="11"/>
        <color theme="1"/>
        <rFont val="游ゴシック"/>
        <family val="2"/>
        <charset val="128"/>
      </rPr>
      <t xml:space="preserve">**</t>
    </r>
    <r>
      <rPr>
        <sz val="11"/>
        <color theme="1"/>
        <rFont val="Noto Sans CJK SC"/>
        <family val="2"/>
      </rPr>
      <t xml:space="preserve">にも対応                   </t>
    </r>
    <r>
      <rPr>
        <sz val="11"/>
        <color theme="1"/>
        <rFont val="游ゴシック"/>
        <family val="2"/>
        <charset val="128"/>
      </rPr>
      <t xml:space="preserve">|</t>
    </r>
  </si>
  <si>
    <r>
      <rPr>
        <sz val="11"/>
        <color theme="1"/>
        <rFont val="游ゴシック"/>
        <family val="2"/>
        <charset val="128"/>
      </rPr>
      <t xml:space="preserve">GPO</t>
    </r>
    <r>
      <rPr>
        <sz val="11"/>
        <color theme="1"/>
        <rFont val="Noto Sans CJK SC"/>
        <family val="2"/>
      </rPr>
      <t xml:space="preserve">などを再度改変し、持続的侵入を確保。</t>
    </r>
  </si>
  <si>
    <r>
      <rPr>
        <sz val="11"/>
        <color theme="1"/>
        <rFont val="游ゴシック"/>
        <family val="2"/>
        <charset val="128"/>
      </rPr>
      <t xml:space="preserve">| </t>
    </r>
    <r>
      <rPr>
        <sz val="11"/>
        <color theme="1"/>
        <rFont val="Noto Sans CJK SC"/>
        <family val="2"/>
      </rPr>
      <t xml:space="preserve">対策カテゴリ              </t>
    </r>
    <r>
      <rPr>
        <sz val="11"/>
        <color theme="1"/>
        <rFont val="游ゴシック"/>
        <family val="2"/>
        <charset val="128"/>
      </rPr>
      <t xml:space="preserve">| </t>
    </r>
    <r>
      <rPr>
        <sz val="11"/>
        <color theme="1"/>
        <rFont val="Noto Sans CJK SC"/>
        <family val="2"/>
      </rPr>
      <t xml:space="preserve">記載内容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**IAM</t>
    </r>
    <r>
      <rPr>
        <sz val="11"/>
        <color theme="1"/>
        <rFont val="Noto Sans CJK SC"/>
        <family val="2"/>
      </rPr>
      <t xml:space="preserve">権限制御の厳格化</t>
    </r>
    <r>
      <rPr>
        <sz val="11"/>
        <color theme="1"/>
        <rFont val="游ゴシック"/>
        <family val="2"/>
        <charset val="128"/>
      </rPr>
      <t xml:space="preserve">**     | </t>
    </r>
    <r>
      <rPr>
        <sz val="11"/>
        <color theme="1"/>
        <rFont val="Noto Sans CJK SC"/>
        <family val="2"/>
      </rPr>
      <t xml:space="preserve">「特権ロールは必要最小限に限定」「特定職員のみ管理可能」     </t>
    </r>
    <r>
      <rPr>
        <sz val="11"/>
        <color theme="1"/>
        <rFont val="游ゴシック"/>
        <family val="2"/>
        <charset val="128"/>
      </rPr>
      <t xml:space="preserve">| </t>
    </r>
    <r>
      <rPr>
        <sz val="11"/>
        <color theme="1"/>
        <rFont val="Noto Sans CJK SC"/>
        <family val="2"/>
      </rPr>
      <t xml:space="preserve">実施済     </t>
    </r>
    <r>
      <rPr>
        <sz val="11"/>
        <color theme="1"/>
        <rFont val="游ゴシック"/>
        <family val="2"/>
        <charset val="128"/>
      </rPr>
      <t xml:space="preserve">|
| **</t>
    </r>
    <r>
      <rPr>
        <sz val="11"/>
        <color theme="1"/>
        <rFont val="Noto Sans CJK SC"/>
        <family val="2"/>
      </rPr>
      <t xml:space="preserve">クラウド設定の変更履歴の監査</t>
    </r>
    <r>
      <rPr>
        <sz val="11"/>
        <color theme="1"/>
        <rFont val="游ゴシック"/>
        <family val="2"/>
        <charset val="128"/>
      </rPr>
      <t xml:space="preserve">**  | </t>
    </r>
    <r>
      <rPr>
        <sz val="11"/>
        <color theme="1"/>
        <rFont val="Noto Sans CJK SC"/>
        <family val="2"/>
      </rPr>
      <t xml:space="preserve">「</t>
    </r>
    <r>
      <rPr>
        <sz val="11"/>
        <color theme="1"/>
        <rFont val="游ゴシック"/>
        <family val="2"/>
        <charset val="128"/>
      </rPr>
      <t xml:space="preserve">CloudTrail</t>
    </r>
    <r>
      <rPr>
        <sz val="11"/>
        <color theme="1"/>
        <rFont val="Noto Sans CJK SC"/>
        <family val="2"/>
      </rPr>
      <t xml:space="preserve">等を用いた変更記録」「月次で変更レビュー」 </t>
    </r>
    <r>
      <rPr>
        <sz val="11"/>
        <color theme="1"/>
        <rFont val="游ゴシック"/>
        <family val="2"/>
        <charset val="128"/>
      </rPr>
      <t xml:space="preserve">| </t>
    </r>
    <r>
      <rPr>
        <sz val="11"/>
        <color theme="1"/>
        <rFont val="Noto Sans CJK SC"/>
        <family val="2"/>
      </rPr>
      <t xml:space="preserve">実施（</t>
    </r>
    <r>
      <rPr>
        <sz val="11"/>
        <color theme="1"/>
        <rFont val="游ゴシック"/>
        <family val="2"/>
        <charset val="128"/>
      </rPr>
      <t xml:space="preserve">GovCloud</t>
    </r>
    <r>
      <rPr>
        <sz val="11"/>
        <color theme="1"/>
        <rFont val="Noto Sans CJK SC"/>
        <family val="2"/>
      </rPr>
      <t xml:space="preserve">要件） </t>
    </r>
    <r>
      <rPr>
        <sz val="11"/>
        <color theme="1"/>
        <rFont val="游ゴシック"/>
        <family val="2"/>
        <charset val="128"/>
      </rPr>
      <t xml:space="preserve">|
| **SaaS</t>
    </r>
    <r>
      <rPr>
        <sz val="11"/>
        <color theme="1"/>
        <rFont val="Noto Sans CJK SC"/>
        <family val="2"/>
      </rPr>
      <t xml:space="preserve">側のロール分離</t>
    </r>
    <r>
      <rPr>
        <sz val="11"/>
        <color theme="1"/>
        <rFont val="游ゴシック"/>
        <family val="2"/>
        <charset val="128"/>
      </rPr>
      <t xml:space="preserve">**     | </t>
    </r>
    <r>
      <rPr>
        <sz val="11"/>
        <color theme="1"/>
        <rFont val="Noto Sans CJK SC"/>
        <family val="2"/>
      </rPr>
      <t xml:space="preserve">「システム管理者とデータ閲覧者の分離」              </t>
    </r>
    <r>
      <rPr>
        <sz val="11"/>
        <color theme="1"/>
        <rFont val="游ゴシック"/>
        <family val="2"/>
        <charset val="128"/>
      </rPr>
      <t xml:space="preserve">| </t>
    </r>
    <r>
      <rPr>
        <sz val="11"/>
        <color theme="1"/>
        <rFont val="Noto Sans CJK SC"/>
        <family val="2"/>
      </rPr>
      <t xml:space="preserve">一部</t>
    </r>
    <r>
      <rPr>
        <sz val="11"/>
        <color theme="1"/>
        <rFont val="游ゴシック"/>
        <family val="2"/>
        <charset val="128"/>
      </rPr>
      <t xml:space="preserve">SaaS</t>
    </r>
    <r>
      <rPr>
        <sz val="11"/>
        <color theme="1"/>
        <rFont val="Noto Sans CJK SC"/>
        <family val="2"/>
      </rPr>
      <t xml:space="preserve">で未対応     </t>
    </r>
    <r>
      <rPr>
        <sz val="11"/>
        <color theme="1"/>
        <rFont val="游ゴシック"/>
        <family val="2"/>
        <charset val="128"/>
      </rPr>
      <t xml:space="preserve">|
| **</t>
    </r>
    <r>
      <rPr>
        <sz val="11"/>
        <color theme="1"/>
        <rFont val="Noto Sans CJK SC"/>
        <family val="2"/>
      </rPr>
      <t xml:space="preserve">クラウド構成管理</t>
    </r>
    <r>
      <rPr>
        <sz val="11"/>
        <color theme="1"/>
        <rFont val="游ゴシック"/>
        <family val="2"/>
        <charset val="128"/>
      </rPr>
      <t xml:space="preserve">**</t>
    </r>
    <r>
      <rPr>
        <sz val="11"/>
        <color theme="1"/>
        <rFont val="Noto Sans CJK SC"/>
        <family val="2"/>
      </rPr>
      <t xml:space="preserve">（</t>
    </r>
    <r>
      <rPr>
        <sz val="11"/>
        <color theme="1"/>
        <rFont val="游ゴシック"/>
        <family val="2"/>
        <charset val="128"/>
      </rPr>
      <t xml:space="preserve">CSPM</t>
    </r>
    <r>
      <rPr>
        <sz val="11"/>
        <color theme="1"/>
        <rFont val="Noto Sans CJK SC"/>
        <family val="2"/>
      </rPr>
      <t xml:space="preserve">等） </t>
    </r>
    <r>
      <rPr>
        <sz val="11"/>
        <color theme="1"/>
        <rFont val="游ゴシック"/>
        <family val="2"/>
        <charset val="128"/>
      </rPr>
      <t xml:space="preserve">| </t>
    </r>
    <r>
      <rPr>
        <sz val="11"/>
        <color theme="1"/>
        <rFont val="Noto Sans CJK SC"/>
        <family val="2"/>
      </rPr>
      <t xml:space="preserve">「自動でポリシー逸脱を検知・可視化」               </t>
    </r>
    <r>
      <rPr>
        <sz val="11"/>
        <color theme="1"/>
        <rFont val="游ゴシック"/>
        <family val="2"/>
        <charset val="128"/>
      </rPr>
      <t xml:space="preserve">| </t>
    </r>
    <r>
      <rPr>
        <sz val="11"/>
        <color theme="1"/>
        <rFont val="Noto Sans CJK SC"/>
        <family val="2"/>
      </rPr>
      <t xml:space="preserve">一部導入（推奨構成ベース）  </t>
    </r>
    <r>
      <rPr>
        <sz val="11"/>
        <color theme="1"/>
        <rFont val="游ゴシック"/>
        <family val="2"/>
        <charset val="128"/>
      </rPr>
      <t xml:space="preserve">|
| **</t>
    </r>
    <r>
      <rPr>
        <sz val="11"/>
        <color theme="1"/>
        <rFont val="Noto Sans CJK SC"/>
        <family val="2"/>
      </rPr>
      <t xml:space="preserve">異常挙動検知（</t>
    </r>
    <r>
      <rPr>
        <sz val="11"/>
        <color theme="1"/>
        <rFont val="游ゴシック"/>
        <family val="2"/>
        <charset val="128"/>
      </rPr>
      <t xml:space="preserve">UEBA</t>
    </r>
    <r>
      <rPr>
        <sz val="11"/>
        <color theme="1"/>
        <rFont val="Noto Sans CJK SC"/>
        <family val="2"/>
      </rPr>
      <t xml:space="preserve">）</t>
    </r>
    <r>
      <rPr>
        <sz val="11"/>
        <color theme="1"/>
        <rFont val="游ゴシック"/>
        <family val="2"/>
        <charset val="128"/>
      </rPr>
      <t xml:space="preserve">**    | </t>
    </r>
    <r>
      <rPr>
        <sz val="11"/>
        <color theme="1"/>
        <rFont val="Noto Sans CJK SC"/>
        <family val="2"/>
      </rPr>
      <t xml:space="preserve">「</t>
    </r>
    <r>
      <rPr>
        <sz val="11"/>
        <color theme="1"/>
        <rFont val="游ゴシック"/>
        <family val="2"/>
        <charset val="128"/>
      </rPr>
      <t xml:space="preserve">IAM</t>
    </r>
    <r>
      <rPr>
        <sz val="11"/>
        <color theme="1"/>
        <rFont val="Noto Sans CJK SC"/>
        <family val="2"/>
      </rPr>
      <t xml:space="preserve">操作ログの異常行動監視」                 </t>
    </r>
    <r>
      <rPr>
        <sz val="11"/>
        <color theme="1"/>
        <rFont val="游ゴシック"/>
        <family val="2"/>
        <charset val="128"/>
      </rPr>
      <t xml:space="preserve">| </t>
    </r>
    <r>
      <rPr>
        <sz val="11"/>
        <color theme="1"/>
        <rFont val="Noto Sans CJK SC"/>
        <family val="2"/>
      </rPr>
      <t xml:space="preserve">導入未確実（明記なし）    </t>
    </r>
    <r>
      <rPr>
        <sz val="11"/>
        <color theme="1"/>
        <rFont val="游ゴシック"/>
        <family val="2"/>
        <charset val="128"/>
      </rPr>
      <t xml:space="preserve">|</t>
    </r>
    <r>
      <rPr>
        <sz val="11"/>
        <color theme="1"/>
        <rFont val="Noto Sans CJK SC"/>
        <family val="2"/>
      </rPr>
      <t xml:space="preserve">　　　　　　　　　　　　　　　　　　　　　　　　　さらなる効果的な対策は、</t>
    </r>
    <r>
      <rPr>
        <sz val="11"/>
        <color theme="1"/>
        <rFont val="游ゴシック"/>
        <family val="2"/>
        <charset val="128"/>
      </rPr>
      <t xml:space="preserve">UEBA</t>
    </r>
    <r>
      <rPr>
        <sz val="11"/>
        <color theme="1"/>
        <rFont val="Noto Sans CJK SC"/>
        <family val="2"/>
      </rPr>
      <t xml:space="preserve">（ユーザー行動分析）や</t>
    </r>
    <r>
      <rPr>
        <sz val="11"/>
        <color theme="1"/>
        <rFont val="游ゴシック"/>
        <family val="2"/>
        <charset val="128"/>
      </rPr>
      <t xml:space="preserve">CNAPP</t>
    </r>
    <r>
      <rPr>
        <sz val="11"/>
        <color theme="1"/>
        <rFont val="Noto Sans CJK SC"/>
        <family val="2"/>
      </rPr>
      <t xml:space="preserve">の導入強化により、意図しないポリシー変更の「兆候検知」が可能</t>
    </r>
    <r>
      <rPr>
        <sz val="11"/>
        <color theme="1"/>
        <rFont val="游ゴシック"/>
        <family val="2"/>
        <charset val="128"/>
      </rPr>
      <t xml:space="preserve">
**SaaS</t>
    </r>
    <r>
      <rPr>
        <sz val="11"/>
        <color theme="1"/>
        <rFont val="Noto Sans CJK SC"/>
        <family val="2"/>
      </rPr>
      <t xml:space="preserve">基盤側の</t>
    </r>
    <r>
      <rPr>
        <sz val="11"/>
        <color theme="1"/>
        <rFont val="游ゴシック"/>
        <family val="2"/>
        <charset val="128"/>
      </rPr>
      <t xml:space="preserve">IAM</t>
    </r>
    <r>
      <rPr>
        <sz val="11"/>
        <color theme="1"/>
        <rFont val="Noto Sans CJK SC"/>
        <family val="2"/>
      </rPr>
      <t xml:space="preserve">制御精度向上（管理者ロールの細分化）</t>
    </r>
    <r>
      <rPr>
        <sz val="11"/>
        <color theme="1"/>
        <rFont val="游ゴシック"/>
        <family val="2"/>
        <charset val="128"/>
      </rPr>
      <t xml:space="preserve">**</t>
    </r>
    <r>
      <rPr>
        <sz val="11"/>
        <color theme="1"/>
        <rFont val="Noto Sans CJK SC"/>
        <family val="2"/>
      </rPr>
      <t xml:space="preserve">は今後の課題</t>
    </r>
    <r>
      <rPr>
        <sz val="11"/>
        <color theme="1"/>
        <rFont val="游ゴシック"/>
        <family val="2"/>
        <charset val="128"/>
      </rPr>
      <t xml:space="preserve">
**</t>
    </r>
    <r>
      <rPr>
        <sz val="11"/>
        <color theme="1"/>
        <rFont val="Noto Sans CJK SC"/>
        <family val="2"/>
      </rPr>
      <t xml:space="preserve">構成管理の自動逸脱修正（</t>
    </r>
    <r>
      <rPr>
        <sz val="11"/>
        <color theme="1"/>
        <rFont val="游ゴシック"/>
        <family val="2"/>
        <charset val="128"/>
      </rPr>
      <t xml:space="preserve">Auto Remediation</t>
    </r>
    <r>
      <rPr>
        <sz val="11"/>
        <color theme="1"/>
        <rFont val="Noto Sans CJK SC"/>
        <family val="2"/>
      </rPr>
      <t xml:space="preserve">）</t>
    </r>
    <r>
      <rPr>
        <sz val="11"/>
        <color theme="1"/>
        <rFont val="游ゴシック"/>
        <family val="2"/>
        <charset val="128"/>
      </rPr>
      <t xml:space="preserve">**</t>
    </r>
    <r>
      <rPr>
        <sz val="11"/>
        <color theme="1"/>
        <rFont val="Noto Sans CJK SC"/>
        <family val="2"/>
      </rPr>
      <t xml:space="preserve">の仕組み導入が望まれる</t>
    </r>
  </si>
  <si>
    <r>
      <rPr>
        <sz val="11"/>
        <color theme="1"/>
        <rFont val="Noto Sans CJK SC"/>
        <family val="2"/>
      </rPr>
      <t xml:space="preserve">初期侵入済みの攻撃者が</t>
    </r>
    <r>
      <rPr>
        <sz val="11"/>
        <color theme="1"/>
        <rFont val="游ゴシック"/>
        <family val="2"/>
        <charset val="128"/>
      </rPr>
      <t xml:space="preserve">Cloud CLI/API</t>
    </r>
    <r>
      <rPr>
        <sz val="11"/>
        <color theme="1"/>
        <rFont val="Noto Sans CJK SC"/>
        <family val="2"/>
      </rPr>
      <t xml:space="preserve">経由で</t>
    </r>
    <r>
      <rPr>
        <sz val="11"/>
        <color theme="1"/>
        <rFont val="游ゴシック"/>
        <family val="2"/>
        <charset val="128"/>
      </rPr>
      <t xml:space="preserve">Update Server</t>
    </r>
    <r>
      <rPr>
        <sz val="11"/>
        <color theme="1"/>
        <rFont val="Noto Sans CJK SC"/>
        <family val="2"/>
      </rPr>
      <t xml:space="preserve">に対し設定変更・悪性操作を行う。クラウド</t>
    </r>
    <r>
      <rPr>
        <sz val="11"/>
        <color theme="1"/>
        <rFont val="游ゴシック"/>
        <family val="2"/>
        <charset val="128"/>
      </rPr>
      <t xml:space="preserve">API</t>
    </r>
    <r>
      <rPr>
        <sz val="11"/>
        <color theme="1"/>
        <rFont val="Noto Sans CJK SC"/>
        <family val="2"/>
      </rPr>
      <t xml:space="preserve">のリモート操作悪用型の横展開攻撃。</t>
    </r>
  </si>
  <si>
    <r>
      <rPr>
        <sz val="11"/>
        <color theme="1"/>
        <rFont val="Noto Sans CJK SC"/>
        <family val="2"/>
      </rPr>
      <t xml:space="preserve">評価項目</t>
    </r>
    <r>
      <rPr>
        <sz val="11"/>
        <color theme="1"/>
        <rFont val="游ゴシック"/>
        <family val="2"/>
        <charset val="128"/>
      </rPr>
      <t xml:space="preserve">	</t>
    </r>
    <r>
      <rPr>
        <sz val="11"/>
        <color theme="1"/>
        <rFont val="Noto Sans CJK SC"/>
        <family val="2"/>
      </rPr>
      <t xml:space="preserve">状況・施策内容例</t>
    </r>
    <r>
      <rPr>
        <sz val="11"/>
        <color theme="1"/>
        <rFont val="游ゴシック"/>
        <family val="2"/>
        <charset val="128"/>
      </rPr>
      <t xml:space="preserve">	</t>
    </r>
    <r>
      <rPr>
        <sz val="11"/>
        <color theme="1"/>
        <rFont val="Noto Sans CJK SC"/>
        <family val="2"/>
      </rPr>
      <t xml:space="preserve">評価</t>
    </r>
    <r>
      <rPr>
        <sz val="11"/>
        <color theme="1"/>
        <rFont val="游ゴシック"/>
        <family val="2"/>
        <charset val="128"/>
      </rPr>
      <t xml:space="preserve">
</t>
    </r>
    <r>
      <rPr>
        <sz val="11"/>
        <color theme="1"/>
        <rFont val="Noto Sans CJK SC"/>
        <family val="2"/>
      </rPr>
      <t xml:space="preserve">認証管理（</t>
    </r>
    <r>
      <rPr>
        <sz val="11"/>
        <color theme="1"/>
        <rFont val="游ゴシック"/>
        <family val="2"/>
        <charset val="128"/>
      </rPr>
      <t xml:space="preserve">MFA</t>
    </r>
    <r>
      <rPr>
        <sz val="11"/>
        <color theme="1"/>
        <rFont val="Noto Sans CJK SC"/>
        <family val="2"/>
      </rPr>
      <t xml:space="preserve">）</t>
    </r>
    <r>
      <rPr>
        <sz val="11"/>
        <color theme="1"/>
        <rFont val="游ゴシック"/>
        <family val="2"/>
        <charset val="128"/>
      </rPr>
      <t xml:space="preserve">	API</t>
    </r>
    <r>
      <rPr>
        <sz val="11"/>
        <color theme="1"/>
        <rFont val="Noto Sans CJK SC"/>
        <family val="2"/>
      </rPr>
      <t xml:space="preserve">キー発行に</t>
    </r>
    <r>
      <rPr>
        <sz val="11"/>
        <color theme="1"/>
        <rFont val="游ゴシック"/>
        <family val="2"/>
        <charset val="128"/>
      </rPr>
      <t xml:space="preserve">MFA</t>
    </r>
    <r>
      <rPr>
        <sz val="11"/>
        <color theme="1"/>
        <rFont val="Noto Sans CJK SC"/>
        <family val="2"/>
      </rPr>
      <t xml:space="preserve">が必須。</t>
    </r>
    <r>
      <rPr>
        <sz val="11"/>
        <color theme="1"/>
        <rFont val="游ゴシック"/>
        <family val="2"/>
        <charset val="128"/>
      </rPr>
      <t xml:space="preserve">CLI</t>
    </r>
    <r>
      <rPr>
        <sz val="11"/>
        <color theme="1"/>
        <rFont val="Noto Sans CJK SC"/>
        <family val="2"/>
      </rPr>
      <t xml:space="preserve">操作は基本的に制限されており、利用には承認が必要</t>
    </r>
    <r>
      <rPr>
        <sz val="11"/>
        <color theme="1"/>
        <rFont val="游ゴシック"/>
        <family val="2"/>
        <charset val="128"/>
      </rPr>
      <t xml:space="preserve">	★★★（3</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ログ取得と保管</t>
    </r>
    <r>
      <rPr>
        <sz val="11"/>
        <color theme="1"/>
        <rFont val="游ゴシック"/>
        <family val="2"/>
        <charset val="128"/>
      </rPr>
      <t xml:space="preserve">	CloudTrail</t>
    </r>
    <r>
      <rPr>
        <sz val="11"/>
        <color theme="1"/>
        <rFont val="Noto Sans CJK SC"/>
        <family val="2"/>
      </rPr>
      <t xml:space="preserve">相当で</t>
    </r>
    <r>
      <rPr>
        <sz val="11"/>
        <color theme="1"/>
        <rFont val="游ゴシック"/>
        <family val="2"/>
        <charset val="128"/>
      </rPr>
      <t xml:space="preserve">API</t>
    </r>
    <r>
      <rPr>
        <sz val="11"/>
        <color theme="1"/>
        <rFont val="Noto Sans CJK SC"/>
        <family val="2"/>
      </rPr>
      <t xml:space="preserve">操作は全て記録。保管期間</t>
    </r>
    <r>
      <rPr>
        <sz val="11"/>
        <color theme="1"/>
        <rFont val="游ゴシック"/>
        <family val="2"/>
        <charset val="128"/>
      </rPr>
      <t xml:space="preserve">6</t>
    </r>
    <r>
      <rPr>
        <sz val="11"/>
        <color theme="1"/>
        <rFont val="Noto Sans CJK SC"/>
        <family val="2"/>
      </rPr>
      <t xml:space="preserve">ヶ月（推奨</t>
    </r>
    <r>
      <rPr>
        <sz val="11"/>
        <color theme="1"/>
        <rFont val="游ゴシック"/>
        <family val="2"/>
        <charset val="128"/>
      </rPr>
      <t xml:space="preserve">1</t>
    </r>
    <r>
      <rPr>
        <sz val="11"/>
        <color theme="1"/>
        <rFont val="Noto Sans CJK SC"/>
        <family val="2"/>
      </rPr>
      <t xml:space="preserve">年には未達）</t>
    </r>
    <r>
      <rPr>
        <sz val="11"/>
        <color theme="1"/>
        <rFont val="游ゴシック"/>
        <family val="2"/>
        <charset val="128"/>
      </rPr>
      <t xml:space="preserve">	★★☆（2</t>
    </r>
    <r>
      <rPr>
        <sz val="11"/>
        <color theme="1"/>
        <rFont val="Noto Sans CJK SC"/>
        <family val="2"/>
      </rPr>
      <t xml:space="preserve">）</t>
    </r>
    <r>
      <rPr>
        <sz val="11"/>
        <color theme="1"/>
        <rFont val="游ゴシック"/>
        <family val="2"/>
        <charset val="128"/>
      </rPr>
      <t xml:space="preserve">
IAM</t>
    </r>
    <r>
      <rPr>
        <sz val="11"/>
        <color theme="1"/>
        <rFont val="Noto Sans CJK SC"/>
        <family val="2"/>
      </rPr>
      <t xml:space="preserve">権限制御</t>
    </r>
    <r>
      <rPr>
        <sz val="11"/>
        <color theme="1"/>
        <rFont val="游ゴシック"/>
        <family val="2"/>
        <charset val="128"/>
      </rPr>
      <t xml:space="preserve">	Update Server</t>
    </r>
    <r>
      <rPr>
        <sz val="11"/>
        <color theme="1"/>
        <rFont val="Noto Sans CJK SC"/>
        <family val="2"/>
      </rPr>
      <t xml:space="preserve">は固定権限ロールを使用、外部からの</t>
    </r>
    <r>
      <rPr>
        <sz val="11"/>
        <color theme="1"/>
        <rFont val="游ゴシック"/>
        <family val="2"/>
        <charset val="128"/>
      </rPr>
      <t xml:space="preserve">CLI</t>
    </r>
    <r>
      <rPr>
        <sz val="11"/>
        <color theme="1"/>
        <rFont val="Noto Sans CJK SC"/>
        <family val="2"/>
      </rPr>
      <t xml:space="preserve">操作は組織内</t>
    </r>
    <r>
      <rPr>
        <sz val="11"/>
        <color theme="1"/>
        <rFont val="游ゴシック"/>
        <family val="2"/>
        <charset val="128"/>
      </rPr>
      <t xml:space="preserve">VPN</t>
    </r>
    <r>
      <rPr>
        <sz val="11"/>
        <color theme="1"/>
        <rFont val="Noto Sans CJK SC"/>
        <family val="2"/>
      </rPr>
      <t xml:space="preserve">からのみ許可</t>
    </r>
    <r>
      <rPr>
        <sz val="11"/>
        <color theme="1"/>
        <rFont val="游ゴシック"/>
        <family val="2"/>
        <charset val="128"/>
      </rPr>
      <t xml:space="preserve">	★★★（3</t>
    </r>
    <r>
      <rPr>
        <sz val="11"/>
        <color theme="1"/>
        <rFont val="Noto Sans CJK SC"/>
        <family val="2"/>
      </rPr>
      <t xml:space="preserve">）</t>
    </r>
    <r>
      <rPr>
        <sz val="11"/>
        <color theme="1"/>
        <rFont val="游ゴシック"/>
        <family val="2"/>
        <charset val="128"/>
      </rPr>
      <t xml:space="preserve">
SIEM</t>
    </r>
    <r>
      <rPr>
        <sz val="11"/>
        <color theme="1"/>
        <rFont val="Noto Sans CJK SC"/>
        <family val="2"/>
      </rPr>
      <t xml:space="preserve">およびアラート</t>
    </r>
    <r>
      <rPr>
        <sz val="11"/>
        <color theme="1"/>
        <rFont val="游ゴシック"/>
        <family val="2"/>
        <charset val="128"/>
      </rPr>
      <t xml:space="preserve">	API</t>
    </r>
    <r>
      <rPr>
        <sz val="11"/>
        <color theme="1"/>
        <rFont val="Noto Sans CJK SC"/>
        <family val="2"/>
      </rPr>
      <t xml:space="preserve">経由で</t>
    </r>
    <r>
      <rPr>
        <sz val="11"/>
        <color theme="1"/>
        <rFont val="游ゴシック"/>
        <family val="2"/>
        <charset val="128"/>
      </rPr>
      <t xml:space="preserve">Update Server</t>
    </r>
    <r>
      <rPr>
        <sz val="11"/>
        <color theme="1"/>
        <rFont val="Noto Sans CJK SC"/>
        <family val="2"/>
      </rPr>
      <t xml:space="preserve">が操作された場合はアラート設定あり。ただしアラートルールは手動更新</t>
    </r>
    <r>
      <rPr>
        <sz val="11"/>
        <color theme="1"/>
        <rFont val="游ゴシック"/>
        <family val="2"/>
        <charset val="128"/>
      </rPr>
      <t xml:space="preserve">	★★☆（2</t>
    </r>
    <r>
      <rPr>
        <sz val="11"/>
        <color theme="1"/>
        <rFont val="Noto Sans CJK SC"/>
        <family val="2"/>
      </rPr>
      <t xml:space="preserve">）</t>
    </r>
    <r>
      <rPr>
        <sz val="11"/>
        <color theme="1"/>
        <rFont val="游ゴシック"/>
        <family val="2"/>
        <charset val="128"/>
      </rPr>
      <t xml:space="preserve">
</t>
    </r>
    <r>
      <rPr>
        <sz val="11"/>
        <color theme="1"/>
        <rFont val="Noto Sans CJK SC"/>
        <family val="2"/>
      </rPr>
      <t xml:space="preserve">インフラ構成管理</t>
    </r>
    <r>
      <rPr>
        <sz val="11"/>
        <color theme="1"/>
        <rFont val="游ゴシック"/>
        <family val="2"/>
        <charset val="128"/>
      </rPr>
      <t xml:space="preserve">	IaC</t>
    </r>
    <r>
      <rPr>
        <sz val="11"/>
        <color theme="1"/>
        <rFont val="Noto Sans CJK SC"/>
        <family val="2"/>
      </rPr>
      <t xml:space="preserve">運用は一部実施（</t>
    </r>
    <r>
      <rPr>
        <sz val="11"/>
        <color theme="1"/>
        <rFont val="游ゴシック"/>
        <family val="2"/>
        <charset val="128"/>
      </rPr>
      <t xml:space="preserve">Terraform/Azure ARM</t>
    </r>
    <r>
      <rPr>
        <sz val="11"/>
        <color theme="1"/>
        <rFont val="Noto Sans CJK SC"/>
        <family val="2"/>
      </rPr>
      <t xml:space="preserve">）、まだ一部手動設定が残る</t>
    </r>
    <r>
      <rPr>
        <sz val="11"/>
        <color theme="1"/>
        <rFont val="游ゴシック"/>
        <family val="2"/>
        <charset val="128"/>
      </rPr>
      <t xml:space="preserve">	★★☆（2</t>
    </r>
    <r>
      <rPr>
        <sz val="11"/>
        <color theme="1"/>
        <rFont val="Noto Sans CJK SC"/>
        <family val="2"/>
      </rPr>
      <t xml:space="preserve">）</t>
    </r>
    <r>
      <rPr>
        <sz val="11"/>
        <color theme="1"/>
        <rFont val="游ゴシック"/>
        <family val="2"/>
        <charset val="128"/>
      </rPr>
      <t xml:space="preserve">
→ </t>
    </r>
    <r>
      <rPr>
        <sz val="11"/>
        <color theme="1"/>
        <rFont val="Noto Sans CJK SC"/>
        <family val="2"/>
      </rPr>
      <t xml:space="preserve">総合評価：</t>
    </r>
    <r>
      <rPr>
        <sz val="11"/>
        <color theme="1"/>
        <rFont val="游ゴシック"/>
        <family val="2"/>
        <charset val="128"/>
      </rPr>
      <t xml:space="preserve">2.4 → </t>
    </r>
    <r>
      <rPr>
        <sz val="11"/>
        <color theme="1"/>
        <rFont val="Noto Sans CJK SC"/>
        <family val="2"/>
      </rPr>
      <t xml:space="preserve">切り上げて ★★★（</t>
    </r>
    <r>
      <rPr>
        <sz val="11"/>
        <color theme="1"/>
        <rFont val="游ゴシック"/>
        <family val="2"/>
        <charset val="128"/>
      </rPr>
      <t xml:space="preserve">3</t>
    </r>
    <r>
      <rPr>
        <sz val="11"/>
        <color theme="1"/>
        <rFont val="Noto Sans CJK SC"/>
        <family val="2"/>
      </rPr>
      <t xml:space="preserve">）</t>
    </r>
  </si>
  <si>
    <t xml:space="preserve">仮想マシンを過去のスナップショットに復元し、パッチ未適用状態へ巻き戻す。</t>
  </si>
  <si>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スナップショット管理     </t>
    </r>
    <r>
      <rPr>
        <sz val="11"/>
        <color theme="1"/>
        <rFont val="游ゴシック"/>
        <family val="2"/>
        <charset val="128"/>
      </rPr>
      <t xml:space="preserve">| </t>
    </r>
    <r>
      <rPr>
        <sz val="11"/>
        <color theme="1"/>
        <rFont val="Noto Sans CJK SC"/>
        <family val="2"/>
      </rPr>
      <t xml:space="preserve">不要なスナップショットは削除済。ただし一部長期保存分が残存。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権限分離（</t>
    </r>
    <r>
      <rPr>
        <sz val="11"/>
        <color theme="1"/>
        <rFont val="游ゴシック"/>
        <family val="2"/>
        <charset val="128"/>
      </rPr>
      <t xml:space="preserve">IAM</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復元操作は管理者ロールのみに限定。ただし権限過剰ロールが一部残存。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復元操作の監視・検知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SIEM</t>
    </r>
    <r>
      <rPr>
        <sz val="11"/>
        <color theme="1"/>
        <rFont val="Noto Sans CJK SC"/>
        <family val="2"/>
      </rPr>
      <t xml:space="preserve">で監査は有効。ただし即時アラートは限定的。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脆弱性管理（パッチ適用体制） </t>
    </r>
    <r>
      <rPr>
        <sz val="11"/>
        <color theme="1"/>
        <rFont val="游ゴシック"/>
        <family val="2"/>
        <charset val="128"/>
      </rPr>
      <t xml:space="preserve">| β’</t>
    </r>
    <r>
      <rPr>
        <sz val="11"/>
        <color theme="1"/>
        <rFont val="Noto Sans CJK SC"/>
        <family val="2"/>
      </rPr>
      <t xml:space="preserve">モデル準拠で</t>
    </r>
    <r>
      <rPr>
        <sz val="11"/>
        <color theme="1"/>
        <rFont val="游ゴシック"/>
        <family val="2"/>
        <charset val="128"/>
      </rPr>
      <t xml:space="preserve">48</t>
    </r>
    <r>
      <rPr>
        <sz val="11"/>
        <color theme="1"/>
        <rFont val="Noto Sans CJK SC"/>
        <family val="2"/>
      </rPr>
      <t xml:space="preserve">時間以内のパッチ適用体制あり。復元されても再適用可能。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承認フロー・監査       </t>
    </r>
    <r>
      <rPr>
        <sz val="11"/>
        <color theme="1"/>
        <rFont val="游ゴシック"/>
        <family val="2"/>
        <charset val="128"/>
      </rPr>
      <t xml:space="preserve">| </t>
    </r>
    <r>
      <rPr>
        <sz val="11"/>
        <color theme="1"/>
        <rFont val="Noto Sans CJK SC"/>
        <family val="2"/>
      </rPr>
      <t xml:space="preserve">二重承認フローは導入済。ただし内部管理者操作は簡略化ケースあり。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2.2 → </t>
    </r>
    <r>
      <rPr>
        <sz val="11"/>
        <color theme="1"/>
        <rFont val="Noto Sans CJK SC"/>
        <family val="2"/>
      </rPr>
      <t xml:space="preserve">レベル</t>
    </r>
    <r>
      <rPr>
        <sz val="11"/>
        <color theme="1"/>
        <rFont val="游ゴシック"/>
        <family val="2"/>
        <charset val="128"/>
      </rPr>
      <t xml:space="preserve">2</t>
    </r>
  </si>
  <si>
    <r>
      <rPr>
        <sz val="11"/>
        <color theme="1"/>
        <rFont val="Noto Sans CJK SC"/>
        <family val="2"/>
      </rPr>
      <t xml:space="preserve">ドメイン</t>
    </r>
    <r>
      <rPr>
        <sz val="11"/>
        <color theme="1"/>
        <rFont val="游ゴシック"/>
        <family val="2"/>
        <charset val="128"/>
      </rPr>
      <t xml:space="preserve">/</t>
    </r>
    <r>
      <rPr>
        <sz val="11"/>
        <color theme="1"/>
        <rFont val="Noto Sans CJK SC"/>
        <family val="2"/>
      </rPr>
      <t xml:space="preserve">テナントの</t>
    </r>
    <r>
      <rPr>
        <sz val="11"/>
        <color theme="1"/>
        <rFont val="游ゴシック"/>
        <family val="2"/>
        <charset val="128"/>
      </rPr>
      <t xml:space="preserve">GPO</t>
    </r>
    <r>
      <rPr>
        <sz val="11"/>
        <color theme="1"/>
        <rFont val="Noto Sans CJK SC"/>
        <family val="2"/>
      </rPr>
      <t xml:space="preserve">を改変し、防御機能を無効化。</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</si>
  <si>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ポリシー変更権限の分離         </t>
    </r>
    <r>
      <rPr>
        <sz val="11"/>
        <color theme="1"/>
        <rFont val="游ゴシック"/>
        <family val="2"/>
        <charset val="128"/>
      </rPr>
      <t xml:space="preserve">| </t>
    </r>
    <r>
      <rPr>
        <sz val="11"/>
        <color theme="1"/>
        <rFont val="Noto Sans CJK SC"/>
        <family val="2"/>
      </rPr>
      <t xml:space="preserve">管理者ロールに限定されており、通常は多要素認証＋職務分掌。ただし一部例外ロールが残存。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承認フロー・変更管理          </t>
    </r>
    <r>
      <rPr>
        <sz val="11"/>
        <color theme="1"/>
        <rFont val="游ゴシック"/>
        <family val="2"/>
        <charset val="128"/>
      </rPr>
      <t xml:space="preserve">| GPO</t>
    </r>
    <r>
      <rPr>
        <sz val="11"/>
        <color theme="1"/>
        <rFont val="Noto Sans CJK SC"/>
        <family val="2"/>
      </rPr>
      <t xml:space="preserve">改変はチケット制で承認必須。ただし緊急対応手順ではリアルタイム承認を省略可能。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改変検知（</t>
    </r>
    <r>
      <rPr>
        <sz val="11"/>
        <color theme="1"/>
        <rFont val="游ゴシック"/>
        <family val="2"/>
        <charset val="128"/>
      </rPr>
      <t xml:space="preserve">CSPM/CIEM/IaC</t>
    </r>
    <r>
      <rPr>
        <sz val="11"/>
        <color theme="1"/>
        <rFont val="Noto Sans CJK SC"/>
        <family val="2"/>
      </rPr>
      <t xml:space="preserve">） </t>
    </r>
    <r>
      <rPr>
        <sz val="11"/>
        <color theme="1"/>
        <rFont val="游ゴシック"/>
        <family val="2"/>
        <charset val="128"/>
      </rPr>
      <t xml:space="preserve">| CSPM</t>
    </r>
    <r>
      <rPr>
        <sz val="11"/>
        <color theme="1"/>
        <rFont val="Noto Sans CJK SC"/>
        <family val="2"/>
      </rPr>
      <t xml:space="preserve">監査によりポリシー無効化を検出可能。</t>
    </r>
    <r>
      <rPr>
        <sz val="11"/>
        <color theme="1"/>
        <rFont val="游ゴシック"/>
        <family val="2"/>
        <charset val="128"/>
      </rPr>
      <t xml:space="preserve">IaC</t>
    </r>
    <r>
      <rPr>
        <sz val="11"/>
        <color theme="1"/>
        <rFont val="Noto Sans CJK SC"/>
        <family val="2"/>
      </rPr>
      <t xml:space="preserve">で差分検知。ただしリアルタイム性は限定的。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エンドポイント防御の強制適用      </t>
    </r>
    <r>
      <rPr>
        <sz val="11"/>
        <color theme="1"/>
        <rFont val="游ゴシック"/>
        <family val="2"/>
        <charset val="128"/>
      </rPr>
      <t xml:space="preserve">| EDR/Defender</t>
    </r>
    <r>
      <rPr>
        <sz val="11"/>
        <color theme="1"/>
        <rFont val="Noto Sans CJK SC"/>
        <family val="2"/>
      </rPr>
      <t xml:space="preserve">は必須導入。無効化を試みるとアラート生成。ただし完全阻止は困難。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ログ監視・</t>
    </r>
    <r>
      <rPr>
        <sz val="11"/>
        <color theme="1"/>
        <rFont val="游ゴシック"/>
        <family val="2"/>
        <charset val="128"/>
      </rPr>
      <t xml:space="preserve">SOC</t>
    </r>
    <r>
      <rPr>
        <sz val="11"/>
        <color theme="1"/>
        <rFont val="Noto Sans CJK SC"/>
        <family val="2"/>
      </rPr>
      <t xml:space="preserve">連携          </t>
    </r>
    <r>
      <rPr>
        <sz val="11"/>
        <color theme="1"/>
        <rFont val="游ゴシック"/>
        <family val="2"/>
        <charset val="128"/>
      </rPr>
      <t xml:space="preserve">| </t>
    </r>
    <r>
      <rPr>
        <sz val="11"/>
        <color theme="1"/>
        <rFont val="Noto Sans CJK SC"/>
        <family val="2"/>
      </rPr>
      <t xml:space="preserve">ポリシー変更操作は</t>
    </r>
    <r>
      <rPr>
        <sz val="11"/>
        <color theme="1"/>
        <rFont val="游ゴシック"/>
        <family val="2"/>
        <charset val="128"/>
      </rPr>
      <t xml:space="preserve">SIEM</t>
    </r>
    <r>
      <rPr>
        <sz val="11"/>
        <color theme="1"/>
        <rFont val="Noto Sans CJK SC"/>
        <family val="2"/>
      </rPr>
      <t xml:space="preserve">で収集。</t>
    </r>
    <r>
      <rPr>
        <sz val="11"/>
        <color theme="1"/>
        <rFont val="游ゴシック"/>
        <family val="2"/>
        <charset val="128"/>
      </rPr>
      <t xml:space="preserve">SOC</t>
    </r>
    <r>
      <rPr>
        <sz val="11"/>
        <color theme="1"/>
        <rFont val="Noto Sans CJK SC"/>
        <family val="2"/>
      </rPr>
      <t xml:space="preserve">が監視しているが、攻撃直後の検知は遅延あり。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2.0 → </t>
    </r>
    <r>
      <rPr>
        <sz val="11"/>
        <color theme="1"/>
        <rFont val="Noto Sans CJK SC"/>
        <family val="2"/>
      </rPr>
      <t xml:space="preserve">レベル</t>
    </r>
    <r>
      <rPr>
        <sz val="11"/>
        <color theme="1"/>
        <rFont val="游ゴシック"/>
        <family val="2"/>
        <charset val="128"/>
      </rPr>
      <t xml:space="preserve">2</t>
    </r>
  </si>
  <si>
    <t xml:space="preserve">This workbook now references sheet 'SPRV_Source_For_Formulas' as the authoritative SPRV source.</t>
  </si>
  <si>
    <t xml:space="preserve">Convert SPRV Pi/Mi to IPA Threat/Mitigation (3-level)</t>
  </si>
  <si>
    <t xml:space="preserve">Threat rule</t>
  </si>
  <si>
    <t xml:space="preserve">Pi&lt;=0.2 =&gt; 1 ; 0.2&lt;Pi&lt;=0.5 =&gt; 2 ; Pi&gt;0.5 =&gt; 3</t>
  </si>
  <si>
    <t xml:space="preserve">Mitigation rule</t>
  </si>
  <si>
    <t xml:space="preserve">Mi&lt;=0.2 =&gt; 3 ; 0.2&lt;Mi&lt;=0.5 =&gt; 2 ; Mi&gt;0.5 =&gt; 1</t>
  </si>
  <si>
    <t xml:space="preserve">Overall rule</t>
  </si>
  <si>
    <t xml:space="preserve">Business Impact / Threat / Mitigation are each the maximum across Step1-Step4</t>
  </si>
  <si>
    <t xml:space="preserve">AttackPathRow</t>
  </si>
  <si>
    <t xml:space="preserve">StepNo</t>
  </si>
  <si>
    <t xml:space="preserve">IPA_Technique_Cell</t>
  </si>
  <si>
    <t xml:space="preserve">Technique_ID_norm</t>
  </si>
  <si>
    <t xml:space="preserve">Source_Pi</t>
  </si>
  <si>
    <t xml:space="preserve">IPA_Threat</t>
  </si>
  <si>
    <t xml:space="preserve">Source_Mi</t>
  </si>
  <si>
    <t xml:space="preserve">IPA_Mitigation</t>
  </si>
  <si>
    <t xml:space="preserve">T1189_Management Console for GovCloud</t>
  </si>
  <si>
    <t xml:space="preserve">T1189</t>
  </si>
  <si>
    <t xml:space="preserve"> T1578.002_Update Server on GovCloud</t>
  </si>
  <si>
    <t xml:space="preserve">T1578.002</t>
  </si>
  <si>
    <t xml:space="preserve"> T1651_My Number Administrative System on GovCloud</t>
  </si>
  <si>
    <t xml:space="preserve">T1651</t>
  </si>
  <si>
    <t xml:space="preserve">T1496.004_Proxy Server on GovCloud</t>
  </si>
  <si>
    <t xml:space="preserve">T1496.004</t>
  </si>
  <si>
    <t xml:space="preserve">T1496.001_Proxy Server on GovCloud</t>
  </si>
  <si>
    <t xml:space="preserve">T1496.001</t>
  </si>
  <si>
    <t xml:space="preserve">T1486_Proxy Server on GovCloud</t>
  </si>
  <si>
    <t xml:space="preserve">T1486</t>
  </si>
  <si>
    <t xml:space="preserve">T1496.002_Proxy Server on GovCloud</t>
  </si>
  <si>
    <t xml:space="preserve">T1496.002</t>
  </si>
  <si>
    <t xml:space="preserve">T1555.006_My Number Administrative System on GovCloud</t>
  </si>
  <si>
    <t xml:space="preserve">T1555.006</t>
  </si>
  <si>
    <t xml:space="preserve">T1059.009_My Number Administrative System on GovCloud</t>
  </si>
  <si>
    <t xml:space="preserve">T1059.009</t>
  </si>
  <si>
    <t xml:space="preserve">T1484.002_My Number Administrative System on GovCloud</t>
  </si>
  <si>
    <t xml:space="preserve">T1484.002</t>
  </si>
  <si>
    <t xml:space="preserve">T1021.007_Update Server on GovCloud</t>
  </si>
  <si>
    <t xml:space="preserve">T1021.007</t>
  </si>
  <si>
    <t xml:space="preserve">T1578.004_Update Server on GovCloud</t>
  </si>
  <si>
    <t xml:space="preserve">T1578.004</t>
  </si>
  <si>
    <t xml:space="preserve">T1484.002_Update Server on GovCloud</t>
  </si>
  <si>
    <t xml:space="preserve">総合採点ルール</t>
  </si>
  <si>
    <r>
      <rPr>
        <sz val="11"/>
        <color theme="1"/>
        <rFont val="Noto Sans CJK SC"/>
        <family val="2"/>
      </rPr>
      <t xml:space="preserve">各攻撃ツリーの</t>
    </r>
    <r>
      <rPr>
        <sz val="11"/>
        <color theme="1"/>
        <rFont val="游ゴシック"/>
        <family val="2"/>
        <charset val="128"/>
      </rPr>
      <t xml:space="preserve">4</t>
    </r>
    <r>
      <rPr>
        <sz val="11"/>
        <color theme="1"/>
        <rFont val="Noto Sans CJK SC"/>
        <family val="2"/>
      </rPr>
      <t xml:space="preserve">つの攻撃ステップのうち最大値を採用</t>
    </r>
  </si>
  <si>
    <r>
      <rPr>
        <sz val="11"/>
        <color theme="1"/>
        <rFont val="游ゴシック"/>
        <family val="2"/>
        <charset val="128"/>
      </rPr>
      <t xml:space="preserve">SPRV</t>
    </r>
    <r>
      <rPr>
        <sz val="11"/>
        <color theme="1"/>
        <rFont val="Noto Sans CJK SC"/>
        <family val="2"/>
      </rPr>
      <t xml:space="preserve">の</t>
    </r>
    <r>
      <rPr>
        <sz val="11"/>
        <color theme="1"/>
        <rFont val="游ゴシック"/>
        <family val="2"/>
        <charset val="128"/>
      </rPr>
      <t xml:space="preserve">Pi</t>
    </r>
    <r>
      <rPr>
        <sz val="11"/>
        <color theme="1"/>
        <rFont val="Noto Sans CJK SC"/>
        <family val="2"/>
      </rPr>
      <t xml:space="preserve">を</t>
    </r>
    <r>
      <rPr>
        <sz val="11"/>
        <color theme="1"/>
        <rFont val="游ゴシック"/>
        <family val="2"/>
        <charset val="128"/>
      </rPr>
      <t xml:space="preserve">3</t>
    </r>
    <r>
      <rPr>
        <sz val="11"/>
        <color theme="1"/>
        <rFont val="Noto Sans CJK SC"/>
        <family val="2"/>
      </rPr>
      <t xml:space="preserve">段階変換した各</t>
    </r>
    <r>
      <rPr>
        <sz val="11"/>
        <color theme="1"/>
        <rFont val="游ゴシック"/>
        <family val="2"/>
        <charset val="128"/>
      </rPr>
      <t xml:space="preserve">Step</t>
    </r>
    <r>
      <rPr>
        <sz val="11"/>
        <color theme="1"/>
        <rFont val="Noto Sans CJK SC"/>
        <family val="2"/>
      </rPr>
      <t xml:space="preserve">値のうち最大値を採用</t>
    </r>
  </si>
  <si>
    <r>
      <rPr>
        <sz val="11"/>
        <color theme="1"/>
        <rFont val="游ゴシック"/>
        <family val="2"/>
        <charset val="128"/>
      </rPr>
      <t xml:space="preserve">SPRV</t>
    </r>
    <r>
      <rPr>
        <sz val="11"/>
        <color theme="1"/>
        <rFont val="Noto Sans CJK SC"/>
        <family val="2"/>
      </rPr>
      <t xml:space="preserve">の</t>
    </r>
    <r>
      <rPr>
        <sz val="11"/>
        <color theme="1"/>
        <rFont val="游ゴシック"/>
        <family val="2"/>
        <charset val="128"/>
      </rPr>
      <t xml:space="preserve">Mi</t>
    </r>
    <r>
      <rPr>
        <sz val="11"/>
        <color theme="1"/>
        <rFont val="Noto Sans CJK SC"/>
        <family val="2"/>
      </rPr>
      <t xml:space="preserve">を</t>
    </r>
    <r>
      <rPr>
        <sz val="11"/>
        <color theme="1"/>
        <rFont val="游ゴシック"/>
        <family val="2"/>
        <charset val="128"/>
      </rPr>
      <t xml:space="preserve">3</t>
    </r>
    <r>
      <rPr>
        <sz val="11"/>
        <color theme="1"/>
        <rFont val="Noto Sans CJK SC"/>
        <family val="2"/>
      </rPr>
      <t xml:space="preserve">段階変換した各</t>
    </r>
    <r>
      <rPr>
        <sz val="11"/>
        <color theme="1"/>
        <rFont val="游ゴシック"/>
        <family val="2"/>
        <charset val="128"/>
      </rPr>
      <t xml:space="preserve">Step</t>
    </r>
    <r>
      <rPr>
        <sz val="11"/>
        <color theme="1"/>
        <rFont val="Noto Sans CJK SC"/>
        <family val="2"/>
      </rPr>
      <t xml:space="preserve">値のうち最大値を採用</t>
    </r>
  </si>
  <si>
    <t xml:space="preserve">Vulnerability = 4 - Mitigation</t>
  </si>
  <si>
    <r>
      <rPr>
        <sz val="11"/>
        <color theme="1"/>
        <rFont val="游ゴシック"/>
        <family val="2"/>
        <charset val="128"/>
      </rPr>
      <t xml:space="preserve">Pi→Threat</t>
    </r>
    <r>
      <rPr>
        <sz val="11"/>
        <color theme="1"/>
        <rFont val="Noto Sans CJK SC"/>
        <family val="2"/>
      </rPr>
      <t xml:space="preserve">変換</t>
    </r>
  </si>
  <si>
    <r>
      <rPr>
        <sz val="11"/>
        <color theme="1"/>
        <rFont val="游ゴシック"/>
        <family val="2"/>
        <charset val="128"/>
      </rPr>
      <t xml:space="preserve">Mi→Mitigation</t>
    </r>
    <r>
      <rPr>
        <sz val="11"/>
        <color theme="1"/>
        <rFont val="Noto Sans CJK SC"/>
        <family val="2"/>
      </rPr>
      <t xml:space="preserve">変換</t>
    </r>
  </si>
  <si>
    <t xml:space="preserve">リスク判定</t>
  </si>
  <si>
    <t xml:space="preserve">A</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</si>
  <si>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6&lt;=Threat×Vulnerability&lt;=9</t>
    </r>
  </si>
  <si>
    <t xml:space="preserve">B</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</si>
  <si>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3&lt;=Threat×Vulnerability&lt;6, </t>
    </r>
    <r>
      <rPr>
        <sz val="11"/>
        <color theme="1"/>
        <rFont val="Noto Sans CJK SC"/>
        <family val="2"/>
      </rPr>
      <t xml:space="preserve">または </t>
    </r>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6&lt;=Threat×Vulnerability&lt;=9</t>
    </r>
  </si>
  <si>
    <t xml:space="preserve">C</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</si>
  <si>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Threat×Vulnerability&lt;3, </t>
    </r>
    <r>
      <rPr>
        <sz val="11"/>
        <color theme="1"/>
        <rFont val="Noto Sans CJK SC"/>
        <family val="2"/>
      </rPr>
      <t xml:space="preserve">または </t>
    </r>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3&lt;=Threat×Vulnerability&lt;6, </t>
    </r>
    <r>
      <rPr>
        <sz val="11"/>
        <color theme="1"/>
        <rFont val="Noto Sans CJK SC"/>
        <family val="2"/>
      </rPr>
      <t xml:space="preserve">または </t>
    </r>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6&lt;=Threat×Vulnerability&lt;=9</t>
    </r>
  </si>
  <si>
    <t xml:space="preserve">D</t>
  </si>
  <si>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Threat×Vulnerability&lt;3, </t>
    </r>
    <r>
      <rPr>
        <sz val="11"/>
        <color theme="1"/>
        <rFont val="Noto Sans CJK SC"/>
        <family val="2"/>
      </rPr>
      <t xml:space="preserve">または </t>
    </r>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3&lt;=Threat×Vulnerability&lt;6</t>
    </r>
  </si>
  <si>
    <t xml:space="preserve">E</t>
  </si>
  <si>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Threat×Vulnerability&lt;3</t>
    </r>
  </si>
  <si>
    <t xml:space="preserve">AttackTree_ID</t>
  </si>
  <si>
    <t xml:space="preserve">AttackTree_Key</t>
  </si>
  <si>
    <t xml:space="preserve">Step_num</t>
  </si>
  <si>
    <t xml:space="preserve">Technique_ID</t>
  </si>
  <si>
    <t xml:space="preserve">Pi</t>
  </si>
  <si>
    <t xml:space="preserve">Li</t>
  </si>
  <si>
    <t xml:space="preserve">Mi</t>
  </si>
  <si>
    <t xml:space="preserve">C-001</t>
  </si>
  <si>
    <t xml:space="preserve">C-002</t>
  </si>
  <si>
    <t xml:space="preserve">C-003</t>
  </si>
  <si>
    <t xml:space="preserve">C-004</t>
  </si>
  <si>
    <t xml:space="preserve">C-005</t>
  </si>
  <si>
    <t xml:space="preserve">C-006</t>
  </si>
  <si>
    <t xml:space="preserve">C-007</t>
  </si>
  <si>
    <t xml:space="preserve">C-008</t>
  </si>
  <si>
    <t xml:space="preserve">C-009</t>
  </si>
  <si>
    <t xml:space="preserve">C-010</t>
  </si>
  <si>
    <t xml:space="preserve">C-011</t>
  </si>
  <si>
    <t xml:space="preserve">C-012</t>
  </si>
  <si>
    <t xml:space="preserve">C-013</t>
  </si>
  <si>
    <t xml:space="preserve">C-014</t>
  </si>
  <si>
    <t xml:space="preserve">C-015</t>
  </si>
  <si>
    <t xml:space="preserve">C-016</t>
  </si>
  <si>
    <t xml:space="preserve">C-017</t>
  </si>
  <si>
    <t xml:space="preserve">C-018</t>
  </si>
  <si>
    <t xml:space="preserve">C-019</t>
  </si>
  <si>
    <t xml:space="preserve">C-020</t>
  </si>
  <si>
    <t xml:space="preserve">C-021</t>
  </si>
  <si>
    <t xml:space="preserve">C-022</t>
  </si>
  <si>
    <t xml:space="preserve">C-023</t>
  </si>
  <si>
    <t xml:space="preserve">C-024</t>
  </si>
  <si>
    <t xml:space="preserve">C-025</t>
  </si>
  <si>
    <t xml:space="preserve">C-026</t>
  </si>
  <si>
    <t xml:space="preserve">C-027</t>
  </si>
  <si>
    <t xml:space="preserve">C-028</t>
  </si>
  <si>
    <t xml:space="preserve">C-029</t>
  </si>
  <si>
    <t xml:space="preserve">C-030</t>
  </si>
  <si>
    <t xml:space="preserve">C-031</t>
  </si>
  <si>
    <t xml:space="preserve">C-032</t>
  </si>
  <si>
    <t xml:space="preserve">C-033</t>
  </si>
  <si>
    <t xml:space="preserve">C-034</t>
  </si>
  <si>
    <t xml:space="preserve">C-035</t>
  </si>
  <si>
    <t xml:space="preserve">C-036</t>
  </si>
  <si>
    <t xml:space="preserve">C-037</t>
  </si>
  <si>
    <t xml:space="preserve">C-038</t>
  </si>
  <si>
    <t xml:space="preserve">C-039</t>
  </si>
  <si>
    <t xml:space="preserve">C-040</t>
  </si>
  <si>
    <t xml:space="preserve">C-041</t>
  </si>
  <si>
    <t xml:space="preserve">C-042</t>
  </si>
  <si>
    <t xml:space="preserve">C-043</t>
  </si>
  <si>
    <t xml:space="preserve">C-044</t>
  </si>
  <si>
    <t xml:space="preserve">C-045</t>
  </si>
  <si>
    <t xml:space="preserve">C-046</t>
  </si>
  <si>
    <t xml:space="preserve">C-047</t>
  </si>
  <si>
    <t xml:space="preserve">C-048</t>
  </si>
  <si>
    <t xml:space="preserve">C-049</t>
  </si>
  <si>
    <t xml:space="preserve">C-050</t>
  </si>
  <si>
    <t xml:space="preserve">C-051</t>
  </si>
  <si>
    <t xml:space="preserve">C-052</t>
  </si>
  <si>
    <t xml:space="preserve">C-053</t>
  </si>
  <si>
    <t xml:space="preserve">C-054</t>
  </si>
  <si>
    <t xml:space="preserve">C-055</t>
  </si>
  <si>
    <t xml:space="preserve">C-056</t>
  </si>
  <si>
    <t xml:space="preserve">C-057</t>
  </si>
  <si>
    <t xml:space="preserve">C-058</t>
  </si>
  <si>
    <t xml:space="preserve">C-059</t>
  </si>
  <si>
    <t xml:space="preserve">C-060</t>
  </si>
  <si>
    <t xml:space="preserve">C-061</t>
  </si>
  <si>
    <t xml:space="preserve">C-062</t>
  </si>
  <si>
    <t xml:space="preserve">C-063</t>
  </si>
  <si>
    <t xml:space="preserve">C-064</t>
  </si>
  <si>
    <t xml:space="preserve">Scenario C rebuilt from SPRV source with formulas</t>
  </si>
  <si>
    <t xml:space="preserve">Threat = Pi three-level conversion</t>
  </si>
  <si>
    <t xml:space="preserve">Mitigation = Mi three-level conversion</t>
  </si>
  <si>
    <t xml:space="preserve">Step risk follows IPA table for BI=3: 6-9=A, 3-5=B, 1-2=C</t>
  </si>
  <si>
    <t xml:space="preserve">Overall risk = max of Step1-Step4 risks (A &gt; B &gt; C)</t>
  </si>
</sst>
</file>

<file path=xl/styles.xml><?xml version="1.0" encoding="utf-8"?>
<styleSheet xmlns="http://schemas.openxmlformats.org/spreadsheetml/2006/main">
  <numFmts count="4">
    <numFmt numFmtId="164" formatCode="General"/>
    <numFmt numFmtId="165" formatCode="0%"/>
    <numFmt numFmtId="166" formatCode="#,##0_);[RED]\(#,##0\)"/>
    <numFmt numFmtId="167" formatCode="0.0000%"/>
  </numFmts>
  <fonts count="11">
    <font>
      <sz val="11"/>
      <color theme="1"/>
      <name val="游ゴシック"/>
      <family val="2"/>
      <charset val="128"/>
    </font>
    <font>
      <sz val="10"/>
      <name val="Arial"/>
      <family val="0"/>
    </font>
    <font>
      <sz val="10"/>
      <name val="Arial"/>
      <family val="0"/>
    </font>
    <font>
      <sz val="10"/>
      <name val="Arial"/>
      <family val="0"/>
    </font>
    <font>
      <sz val="11"/>
      <color theme="1"/>
      <name val="Noto Sans CJK SC"/>
      <family val="2"/>
    </font>
    <font>
      <sz val="12"/>
      <color rgb="FF222222"/>
      <name val="Arial"/>
      <family val="2"/>
      <charset val="1"/>
    </font>
    <font>
      <sz val="12"/>
      <color rgb="FF222222"/>
      <name val="Noto Sans CJK SC"/>
      <family val="2"/>
    </font>
    <font>
      <sz val="12"/>
      <color rgb="FF222222"/>
      <name val="Arial"/>
      <family val="2"/>
      <charset val="128"/>
    </font>
    <font>
      <b val="true"/>
      <sz val="11"/>
      <name val="游ゴシック"/>
      <family val="3"/>
      <charset val="128"/>
    </font>
    <font>
      <b val="true"/>
      <sz val="11"/>
      <name val="Noto Sans CJK SC"/>
      <family val="2"/>
    </font>
    <font>
      <sz val="11"/>
      <name val="游ゴシック"/>
      <family val="3"/>
      <charset val="128"/>
    </font>
  </fonts>
  <fills count="4">
    <fill>
      <patternFill patternType="none"/>
    </fill>
    <fill>
      <patternFill patternType="gray125"/>
    </fill>
    <fill>
      <patternFill patternType="solid">
        <fgColor rgb="FFFFF2CC"/>
        <bgColor rgb="FFFFFFFF"/>
      </patternFill>
    </fill>
    <fill>
      <patternFill patternType="solid">
        <fgColor rgb="FFD9EA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テーマ">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X67"/>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P1" activeCellId="0" sqref="AP1"/>
    </sheetView>
  </sheetViews>
  <sheetFormatPr defaultColWidth="8.5390625" defaultRowHeight="18" zeroHeight="false" outlineLevelRow="0" outlineLevelCol="0"/>
  <cols>
    <col collapsed="false" customWidth="true" hidden="false" outlineLevel="0" max="1" min="1" style="1" width="42.16"/>
    <col collapsed="false" customWidth="true" hidden="false" outlineLevel="0" max="2" min="2" style="1" width="9"/>
    <col collapsed="false" customWidth="true" hidden="false" outlineLevel="0" max="9" min="9" style="1" width="9"/>
    <col collapsed="false" customWidth="true" hidden="false" outlineLevel="0" max="10" min="10" style="1" width="40.83"/>
    <col collapsed="false" customWidth="true" hidden="false" outlineLevel="0" max="17" min="17" style="1" width="9"/>
    <col collapsed="false" customWidth="true" hidden="false" outlineLevel="0" max="18" min="18" style="1" width="56.25"/>
    <col collapsed="false" customWidth="true" hidden="false" outlineLevel="0" max="26" min="26" style="1" width="34.5"/>
    <col collapsed="false" customWidth="true" hidden="false" outlineLevel="0" max="44" min="44" style="1" width="13.83"/>
    <col collapsed="false" customWidth="true" hidden="false" outlineLevel="0" max="45" min="45" style="1" width="15.08"/>
    <col collapsed="false" customWidth="true" hidden="false" outlineLevel="0" max="47" min="46" style="1" width="15.33"/>
    <col collapsed="false" customWidth="true" hidden="false" outlineLevel="0" max="48" min="48" style="1" width="17.25"/>
    <col collapsed="false" customWidth="true" hidden="false" outlineLevel="0" max="50" min="49" style="1" width="17.83"/>
    <col collapsed="false" customWidth="true" hidden="false" outlineLevel="0" max="51" min="51" style="1" width="15.58"/>
  </cols>
  <sheetData>
    <row r="1" customFormat="false" ht="18" hidden="false" customHeight="false" outlineLevel="0" collapsed="false">
      <c r="A1" s="2" t="s">
        <v>0</v>
      </c>
      <c r="B1" s="2" t="s">
        <v>1</v>
      </c>
      <c r="D1" s="2" t="s">
        <v>2</v>
      </c>
      <c r="E1" s="2" t="s">
        <v>3</v>
      </c>
      <c r="F1" s="2" t="s">
        <v>4</v>
      </c>
      <c r="G1" s="2" t="s">
        <v>5</v>
      </c>
      <c r="H1" s="2" t="s">
        <v>6</v>
      </c>
      <c r="I1" s="3" t="s">
        <v>7</v>
      </c>
      <c r="J1" s="2" t="s">
        <v>8</v>
      </c>
      <c r="K1" s="2" t="s">
        <v>1</v>
      </c>
      <c r="L1" s="2" t="s">
        <v>2</v>
      </c>
      <c r="M1" s="2" t="s">
        <v>3</v>
      </c>
      <c r="N1" s="2" t="s">
        <v>4</v>
      </c>
      <c r="O1" s="2" t="s">
        <v>5</v>
      </c>
      <c r="P1" s="2" t="s">
        <v>6</v>
      </c>
      <c r="Q1" s="3" t="s">
        <v>7</v>
      </c>
      <c r="R1" s="2" t="s">
        <v>9</v>
      </c>
      <c r="S1" s="2" t="s">
        <v>1</v>
      </c>
      <c r="T1" s="2" t="s">
        <v>2</v>
      </c>
      <c r="U1" s="2" t="s">
        <v>3</v>
      </c>
      <c r="V1" s="2" t="s">
        <v>4</v>
      </c>
      <c r="W1" s="2" t="s">
        <v>5</v>
      </c>
      <c r="X1" s="2" t="s">
        <v>6</v>
      </c>
      <c r="Y1" s="3" t="s">
        <v>7</v>
      </c>
      <c r="Z1" s="2" t="s">
        <v>10</v>
      </c>
      <c r="AA1" s="2" t="s">
        <v>1</v>
      </c>
      <c r="AB1" s="2" t="s">
        <v>2</v>
      </c>
      <c r="AC1" s="2" t="s">
        <v>3</v>
      </c>
      <c r="AD1" s="2" t="s">
        <v>4</v>
      </c>
      <c r="AE1" s="2" t="s">
        <v>5</v>
      </c>
      <c r="AF1" s="2" t="s">
        <v>6</v>
      </c>
      <c r="AG1" s="3" t="s">
        <v>7</v>
      </c>
      <c r="AP1" s="2" t="s">
        <v>2</v>
      </c>
      <c r="AQ1" s="2" t="s">
        <v>3</v>
      </c>
      <c r="AR1" s="2" t="s">
        <v>5</v>
      </c>
      <c r="AS1" s="2" t="s">
        <v>4</v>
      </c>
      <c r="AT1" s="2" t="s">
        <v>6</v>
      </c>
      <c r="AU1" s="3" t="s">
        <v>11</v>
      </c>
    </row>
    <row r="2" customFormat="false" ht="19.5" hidden="true" customHeight="true" outlineLevel="0" collapsed="false">
      <c r="A2" s="4" t="str">
        <f aca="false">SPRV_Source_For_Formulas!D2</f>
        <v>T1189</v>
      </c>
      <c r="B2" s="5" t="s">
        <v>12</v>
      </c>
      <c r="C2" s="6"/>
      <c r="D2" s="5" t="n">
        <v>3</v>
      </c>
      <c r="E2" s="4" t="n">
        <v>1</v>
      </c>
      <c r="F2" s="4" t="n">
        <f aca="false">IF(SPRV_Source_For_Formulas!G2&lt;=0.2,3,IF(SPRV_Source_For_Formulas!G2&lt;=0.5,2,1))</f>
        <v>3</v>
      </c>
      <c r="G2" s="4" t="n">
        <f aca="false">4-F2</f>
        <v>1</v>
      </c>
      <c r="H2" s="7" t="str">
        <f aca="false">IF(AND(D2=3,E2*G2&gt;=6),"A",IF(AND(D2=3,E2*G2&gt;=3),"B",IF(AND(D2=3,E2*G2&gt;=1),"C","")))</f>
        <v>C</v>
      </c>
      <c r="I2" s="8" t="s">
        <v>13</v>
      </c>
      <c r="J2" s="4" t="str">
        <f aca="false">SPRV_Source_For_Formulas!D3</f>
        <v>T1578.002</v>
      </c>
      <c r="K2" s="5" t="s">
        <v>14</v>
      </c>
      <c r="L2" s="8" t="n">
        <v>3</v>
      </c>
      <c r="M2" s="4" t="n">
        <v>1</v>
      </c>
      <c r="N2" s="4" t="n">
        <f aca="false">IF(SPRV_Source_For_Formulas!G3&lt;=0.2,3,IF(SPRV_Source_For_Formulas!G3&lt;=0.5,2,1))</f>
        <v>2</v>
      </c>
      <c r="O2" s="4" t="n">
        <f aca="false">4-N2</f>
        <v>2</v>
      </c>
      <c r="P2" s="4" t="str">
        <f aca="false">IF(AND(L2=3,M2*O2&gt;=6),"A",IF(AND(L2=3,M2*O2&gt;=3),"B",IF(AND(L2=3,M2*O2&gt;=1),"C","")))</f>
        <v>C</v>
      </c>
      <c r="Q2" s="5" t="s">
        <v>15</v>
      </c>
      <c r="R2" s="4" t="str">
        <f aca="false">SPRV_Source_For_Formulas!D4</f>
        <v>T1651</v>
      </c>
      <c r="S2" s="5" t="s">
        <v>16</v>
      </c>
      <c r="T2" s="8" t="n">
        <v>3</v>
      </c>
      <c r="U2" s="4" t="n">
        <v>1</v>
      </c>
      <c r="V2" s="4" t="n">
        <f aca="false">IF(SPRV_Source_For_Formulas!G4&lt;=0.2,3,IF(SPRV_Source_For_Formulas!G4&lt;=0.5,2,1))</f>
        <v>3</v>
      </c>
      <c r="W2" s="4" t="n">
        <f aca="false">4-V2</f>
        <v>1</v>
      </c>
      <c r="X2" s="4" t="str">
        <f aca="false">IF(AND(T2=3,U2*W2&gt;=6),"A",IF(AND(T2=3,U2*W2&gt;=3),"B",IF(AND(T2=3,U2*W2&gt;=1),"C","")))</f>
        <v>C</v>
      </c>
      <c r="Y2" s="8" t="s">
        <v>17</v>
      </c>
      <c r="Z2" s="4" t="str">
        <f aca="false">SPRV_Source_For_Formulas!D5</f>
        <v>T1486</v>
      </c>
      <c r="AA2" s="5" t="s">
        <v>18</v>
      </c>
      <c r="AB2" s="8" t="n">
        <v>3</v>
      </c>
      <c r="AC2" s="4" t="n">
        <v>1</v>
      </c>
      <c r="AD2" s="4" t="n">
        <f aca="false">IF(SPRV_Source_For_Formulas!G5&lt;=0.2,3,IF(SPRV_Source_For_Formulas!G5&lt;=0.5,2,1))</f>
        <v>3</v>
      </c>
      <c r="AE2" s="4" t="n">
        <f aca="false">4-AD2</f>
        <v>1</v>
      </c>
      <c r="AF2" s="4" t="str">
        <f aca="false">IF(AND(AB2=3,AC2*AE2&gt;=6),"A",IF(AND(AB2=3,AC2*AE2&gt;=3),"B",IF(AND(AB2=3,AC2*AE2&gt;=1),"C","")))</f>
        <v>C</v>
      </c>
      <c r="AG2" s="9" t="s">
        <v>19</v>
      </c>
      <c r="AP2" s="7" t="n">
        <f aca="false">MAX(D2,L2,T2,AB2)</f>
        <v>3</v>
      </c>
      <c r="AQ2" s="7" t="n">
        <v>1</v>
      </c>
      <c r="AR2" s="7" t="n">
        <f aca="false">4-AS2</f>
        <v>1</v>
      </c>
      <c r="AS2" s="10" t="n">
        <f aca="false">MAX(F2,N2,V2,AD2)</f>
        <v>3</v>
      </c>
      <c r="AT2" s="7" t="str">
        <f aca="false">IF(AND(AP2=3,AQ2*AR2&gt;=6),"A",IF(AND(AP2=3,AQ2*AR2&gt;=3),"B",IF(AND(AP2=3,AQ2*AR2&gt;=1),"C","")))</f>
        <v>C</v>
      </c>
      <c r="AU2" s="4" t="str">
        <f aca="false">"Scenario-level Threat=1; Step1="&amp;H2&amp;" Step2="&amp;P2&amp;" Step3="&amp;X2&amp;" Step4="&amp;AF2&amp;" ; Overall Threat fixed=1, Max Mitigation="&amp;AS2&amp;" =&gt; Overall="&amp;AT2</f>
        <v>Scenario-level Threat=1; Step1=C Step2=C Step3=C Step4=C ; Overall Threat fixed=1, Max Mitigation=3 =&gt; Overall=C</v>
      </c>
      <c r="AV2" s="11"/>
      <c r="AW2" s="11"/>
      <c r="AX2" s="11"/>
    </row>
    <row r="3" customFormat="false" ht="19.5" hidden="false" customHeight="true" outlineLevel="0" collapsed="false">
      <c r="A3" s="4" t="str">
        <f aca="false">SPRV_Source_For_Formulas!D6</f>
        <v>T1189</v>
      </c>
      <c r="B3" s="5" t="s">
        <v>12</v>
      </c>
      <c r="C3" s="6"/>
      <c r="D3" s="8" t="n">
        <v>3</v>
      </c>
      <c r="E3" s="4" t="n">
        <v>1</v>
      </c>
      <c r="F3" s="4" t="n">
        <f aca="false">IF(SPRV_Source_For_Formulas!G6&lt;=0.2,3,IF(SPRV_Source_For_Formulas!G6&lt;=0.5,2,1))</f>
        <v>3</v>
      </c>
      <c r="G3" s="4" t="n">
        <f aca="false">4-F3</f>
        <v>1</v>
      </c>
      <c r="H3" s="7" t="str">
        <f aca="false">IF(AND(D3=3,E3*G3&gt;=6),"A",IF(AND(D3=3,E3*G3&gt;=3),"B",IF(AND(D3=3,E3*G3&gt;=1),"C","")))</f>
        <v>C</v>
      </c>
      <c r="I3" s="8" t="s">
        <v>13</v>
      </c>
      <c r="J3" s="4" t="str">
        <f aca="false">SPRV_Source_For_Formulas!D7</f>
        <v>T1578.002</v>
      </c>
      <c r="K3" s="5" t="s">
        <v>14</v>
      </c>
      <c r="L3" s="8" t="n">
        <v>3</v>
      </c>
      <c r="M3" s="4" t="n">
        <v>1</v>
      </c>
      <c r="N3" s="4" t="n">
        <f aca="false">IF(SPRV_Source_For_Formulas!G7&lt;=0.2,3,IF(SPRV_Source_For_Formulas!G7&lt;=0.5,2,1))</f>
        <v>2</v>
      </c>
      <c r="O3" s="4" t="n">
        <f aca="false">4-N3</f>
        <v>2</v>
      </c>
      <c r="P3" s="4" t="str">
        <f aca="false">IF(AND(L3=3,M3*O3&gt;=6),"A",IF(AND(L3=3,M3*O3&gt;=3),"B",IF(AND(L3=3,M3*O3&gt;=1),"C","")))</f>
        <v>C</v>
      </c>
      <c r="Q3" s="5" t="s">
        <v>15</v>
      </c>
      <c r="R3" s="4" t="str">
        <f aca="false">SPRV_Source_For_Formulas!D8</f>
        <v>T1651</v>
      </c>
      <c r="S3" s="5" t="s">
        <v>16</v>
      </c>
      <c r="T3" s="8" t="n">
        <v>3</v>
      </c>
      <c r="U3" s="4" t="n">
        <v>1</v>
      </c>
      <c r="V3" s="4" t="n">
        <f aca="false">IF(SPRV_Source_For_Formulas!G8&lt;=0.2,3,IF(SPRV_Source_For_Formulas!G8&lt;=0.5,2,1))</f>
        <v>3</v>
      </c>
      <c r="W3" s="4" t="n">
        <f aca="false">4-V3</f>
        <v>1</v>
      </c>
      <c r="X3" s="4" t="str">
        <f aca="false">IF(AND(T3=3,U3*W3&gt;=6),"A",IF(AND(T3=3,U3*W3&gt;=3),"B",IF(AND(T3=3,U3*W3&gt;=1),"C","")))</f>
        <v>C</v>
      </c>
      <c r="Y3" s="8" t="s">
        <v>17</v>
      </c>
      <c r="Z3" s="4" t="str">
        <f aca="false">SPRV_Source_For_Formulas!D9</f>
        <v>T1496.001</v>
      </c>
      <c r="AA3" s="5" t="s">
        <v>20</v>
      </c>
      <c r="AB3" s="8" t="n">
        <v>3</v>
      </c>
      <c r="AC3" s="4" t="n">
        <v>1</v>
      </c>
      <c r="AD3" s="4" t="n">
        <f aca="false">IF(SPRV_Source_For_Formulas!G9&lt;=0.2,3,IF(SPRV_Source_For_Formulas!G9&lt;=0.5,2,1))</f>
        <v>2</v>
      </c>
      <c r="AE3" s="4" t="n">
        <f aca="false">4-AD3</f>
        <v>2</v>
      </c>
      <c r="AF3" s="4" t="str">
        <f aca="false">IF(AND(AB3=3,AC3*AE3&gt;=6),"A",IF(AND(AB3=3,AC3*AE3&gt;=3),"B",IF(AND(AB3=3,AC3*AE3&gt;=1),"C","")))</f>
        <v>C</v>
      </c>
      <c r="AG3" s="12" t="s">
        <v>21</v>
      </c>
      <c r="AP3" s="7" t="n">
        <f aca="false">MAX(D3,L3,T3,AB3)</f>
        <v>3</v>
      </c>
      <c r="AQ3" s="7" t="n">
        <v>1</v>
      </c>
      <c r="AR3" s="7" t="n">
        <f aca="false">4-AS3</f>
        <v>1</v>
      </c>
      <c r="AS3" s="10" t="n">
        <f aca="false">MAX(F3,N3,V3,AD3)</f>
        <v>3</v>
      </c>
      <c r="AT3" s="7" t="str">
        <f aca="false">IF(AND(AP3=3,AQ3*AR3&gt;=6),"A",IF(AND(AP3=3,AQ3*AR3&gt;=3),"B",IF(AND(AP3=3,AQ3*AR3&gt;=1),"C","")))</f>
        <v>C</v>
      </c>
      <c r="AU3" s="4" t="str">
        <f aca="false">"Scenario-level Threat=1; Step1="&amp;H3&amp;" Step2="&amp;P3&amp;" Step3="&amp;X3&amp;" Step4="&amp;AF3&amp;" ; Overall Threat fixed=1, Max Mitigation="&amp;AS3&amp;" =&gt; Overall="&amp;AT3</f>
        <v>Scenario-level Threat=1; Step1=C Step2=C Step3=C Step4=C ; Overall Threat fixed=1, Max Mitigation=3 =&gt; Overall=C</v>
      </c>
      <c r="AV3" s="11"/>
      <c r="AW3" s="11"/>
      <c r="AX3" s="11"/>
    </row>
    <row r="4" customFormat="false" ht="18" hidden="true" customHeight="false" outlineLevel="0" collapsed="false">
      <c r="A4" s="4" t="str">
        <f aca="false">SPRV_Source_For_Formulas!D10</f>
        <v>T1189</v>
      </c>
      <c r="B4" s="5" t="s">
        <v>12</v>
      </c>
      <c r="C4" s="6"/>
      <c r="D4" s="8" t="n">
        <v>3</v>
      </c>
      <c r="E4" s="4" t="n">
        <v>1</v>
      </c>
      <c r="F4" s="4" t="n">
        <f aca="false">IF(SPRV_Source_For_Formulas!G10&lt;=0.2,3,IF(SPRV_Source_For_Formulas!G10&lt;=0.5,2,1))</f>
        <v>3</v>
      </c>
      <c r="G4" s="4" t="n">
        <f aca="false">4-F4</f>
        <v>1</v>
      </c>
      <c r="H4" s="7" t="str">
        <f aca="false">IF(AND(D4=3,E4*G4&gt;=6),"A",IF(AND(D4=3,E4*G4&gt;=3),"B",IF(AND(D4=3,E4*G4&gt;=1),"C","")))</f>
        <v>C</v>
      </c>
      <c r="I4" s="8" t="s">
        <v>13</v>
      </c>
      <c r="J4" s="4" t="str">
        <f aca="false">SPRV_Source_For_Formulas!D11</f>
        <v>T1578.002</v>
      </c>
      <c r="K4" s="5" t="s">
        <v>14</v>
      </c>
      <c r="L4" s="8" t="n">
        <v>3</v>
      </c>
      <c r="M4" s="4" t="n">
        <v>1</v>
      </c>
      <c r="N4" s="4" t="n">
        <f aca="false">IF(SPRV_Source_For_Formulas!G11&lt;=0.2,3,IF(SPRV_Source_For_Formulas!G11&lt;=0.5,2,1))</f>
        <v>2</v>
      </c>
      <c r="O4" s="4" t="n">
        <f aca="false">4-N4</f>
        <v>2</v>
      </c>
      <c r="P4" s="4" t="str">
        <f aca="false">IF(AND(L4=3,M4*O4&gt;=6),"A",IF(AND(L4=3,M4*O4&gt;=3),"B",IF(AND(L4=3,M4*O4&gt;=1),"C","")))</f>
        <v>C</v>
      </c>
      <c r="Q4" s="5" t="s">
        <v>15</v>
      </c>
      <c r="R4" s="4" t="str">
        <f aca="false">SPRV_Source_For_Formulas!D12</f>
        <v>T1651</v>
      </c>
      <c r="S4" s="5" t="s">
        <v>16</v>
      </c>
      <c r="T4" s="8" t="n">
        <v>3</v>
      </c>
      <c r="U4" s="4" t="n">
        <v>1</v>
      </c>
      <c r="V4" s="4" t="n">
        <f aca="false">IF(SPRV_Source_For_Formulas!G12&lt;=0.2,3,IF(SPRV_Source_For_Formulas!G12&lt;=0.5,2,1))</f>
        <v>3</v>
      </c>
      <c r="W4" s="4" t="n">
        <f aca="false">4-V4</f>
        <v>1</v>
      </c>
      <c r="X4" s="4" t="str">
        <f aca="false">IF(AND(T4=3,U4*W4&gt;=6),"A",IF(AND(T4=3,U4*W4&gt;=3),"B",IF(AND(T4=3,U4*W4&gt;=1),"C","")))</f>
        <v>C</v>
      </c>
      <c r="Y4" s="8" t="s">
        <v>17</v>
      </c>
      <c r="Z4" s="4" t="str">
        <f aca="false">SPRV_Source_For_Formulas!D13</f>
        <v>T1496.004</v>
      </c>
      <c r="AA4" s="5" t="s">
        <v>22</v>
      </c>
      <c r="AB4" s="8" t="n">
        <v>3</v>
      </c>
      <c r="AC4" s="4" t="n">
        <v>1</v>
      </c>
      <c r="AD4" s="4" t="n">
        <f aca="false">IF(SPRV_Source_For_Formulas!G13&lt;=0.2,3,IF(SPRV_Source_For_Formulas!G13&lt;=0.5,2,1))</f>
        <v>2</v>
      </c>
      <c r="AE4" s="4" t="n">
        <f aca="false">4-AD4</f>
        <v>2</v>
      </c>
      <c r="AF4" s="4" t="str">
        <f aca="false">IF(AND(AB4=3,AC4*AE4&gt;=6),"A",IF(AND(AB4=3,AC4*AE4&gt;=3),"B",IF(AND(AB4=3,AC4*AE4&gt;=1),"C","")))</f>
        <v>C</v>
      </c>
      <c r="AG4" s="8" t="s">
        <v>23</v>
      </c>
      <c r="AP4" s="7" t="n">
        <f aca="false">MAX(D4,L4,T4,AB4)</f>
        <v>3</v>
      </c>
      <c r="AQ4" s="7" t="n">
        <v>1</v>
      </c>
      <c r="AR4" s="7" t="n">
        <f aca="false">4-AS4</f>
        <v>1</v>
      </c>
      <c r="AS4" s="10" t="n">
        <f aca="false">MAX(F4,N4,V4,AD4)</f>
        <v>3</v>
      </c>
      <c r="AT4" s="7" t="str">
        <f aca="false">IF(AND(AP4=3,AQ4*AR4&gt;=6),"A",IF(AND(AP4=3,AQ4*AR4&gt;=3),"B",IF(AND(AP4=3,AQ4*AR4&gt;=1),"C","")))</f>
        <v>C</v>
      </c>
      <c r="AU4" s="4" t="str">
        <f aca="false">"Scenario-level Threat=1; Step1="&amp;H4&amp;" Step2="&amp;P4&amp;" Step3="&amp;X4&amp;" Step4="&amp;AF4&amp;" ; Overall Threat fixed=1, Max Mitigation="&amp;AS4&amp;" =&gt; Overall="&amp;AT4</f>
        <v>Scenario-level Threat=1; Step1=C Step2=C Step3=C Step4=C ; Overall Threat fixed=1, Max Mitigation=3 =&gt; Overall=C</v>
      </c>
      <c r="AV4" s="11"/>
      <c r="AW4" s="11"/>
      <c r="AX4" s="11"/>
    </row>
    <row r="5" customFormat="false" ht="18" hidden="true" customHeight="false" outlineLevel="0" collapsed="false">
      <c r="A5" s="4" t="str">
        <f aca="false">SPRV_Source_For_Formulas!D14</f>
        <v>T1189</v>
      </c>
      <c r="B5" s="5" t="s">
        <v>12</v>
      </c>
      <c r="C5" s="6"/>
      <c r="D5" s="8" t="n">
        <v>3</v>
      </c>
      <c r="E5" s="4" t="n">
        <v>1</v>
      </c>
      <c r="F5" s="4" t="n">
        <f aca="false">IF(SPRV_Source_For_Formulas!G14&lt;=0.2,3,IF(SPRV_Source_For_Formulas!G14&lt;=0.5,2,1))</f>
        <v>3</v>
      </c>
      <c r="G5" s="4" t="n">
        <f aca="false">4-F5</f>
        <v>1</v>
      </c>
      <c r="H5" s="7" t="str">
        <f aca="false">IF(AND(D5=3,E5*G5&gt;=6),"A",IF(AND(D5=3,E5*G5&gt;=3),"B",IF(AND(D5=3,E5*G5&gt;=1),"C","")))</f>
        <v>C</v>
      </c>
      <c r="I5" s="8" t="s">
        <v>13</v>
      </c>
      <c r="J5" s="4" t="str">
        <f aca="false">SPRV_Source_For_Formulas!D15</f>
        <v>T1578.002</v>
      </c>
      <c r="K5" s="5" t="s">
        <v>14</v>
      </c>
      <c r="L5" s="8" t="n">
        <v>3</v>
      </c>
      <c r="M5" s="4" t="n">
        <v>1</v>
      </c>
      <c r="N5" s="4" t="n">
        <f aca="false">IF(SPRV_Source_For_Formulas!G15&lt;=0.2,3,IF(SPRV_Source_For_Formulas!G15&lt;=0.5,2,1))</f>
        <v>2</v>
      </c>
      <c r="O5" s="4" t="n">
        <f aca="false">4-N5</f>
        <v>2</v>
      </c>
      <c r="P5" s="4" t="str">
        <f aca="false">IF(AND(L5=3,M5*O5&gt;=6),"A",IF(AND(L5=3,M5*O5&gt;=3),"B",IF(AND(L5=3,M5*O5&gt;=1),"C","")))</f>
        <v>C</v>
      </c>
      <c r="Q5" s="5" t="s">
        <v>15</v>
      </c>
      <c r="R5" s="4" t="str">
        <f aca="false">SPRV_Source_For_Formulas!D16</f>
        <v>T1651</v>
      </c>
      <c r="S5" s="5" t="s">
        <v>16</v>
      </c>
      <c r="T5" s="8" t="n">
        <v>3</v>
      </c>
      <c r="U5" s="4" t="n">
        <v>1</v>
      </c>
      <c r="V5" s="4" t="n">
        <f aca="false">IF(SPRV_Source_For_Formulas!G16&lt;=0.2,3,IF(SPRV_Source_For_Formulas!G16&lt;=0.5,2,1))</f>
        <v>3</v>
      </c>
      <c r="W5" s="4" t="n">
        <f aca="false">4-V5</f>
        <v>1</v>
      </c>
      <c r="X5" s="4" t="str">
        <f aca="false">IF(AND(T5=3,U5*W5&gt;=6),"A",IF(AND(T5=3,U5*W5&gt;=3),"B",IF(AND(T5=3,U5*W5&gt;=1),"C","")))</f>
        <v>C</v>
      </c>
      <c r="Y5" s="8" t="s">
        <v>17</v>
      </c>
      <c r="Z5" s="4" t="str">
        <f aca="false">SPRV_Source_For_Formulas!D17</f>
        <v>T1496.002</v>
      </c>
      <c r="AA5" s="5" t="s">
        <v>24</v>
      </c>
      <c r="AB5" s="8" t="n">
        <v>3</v>
      </c>
      <c r="AC5" s="4" t="n">
        <v>1</v>
      </c>
      <c r="AD5" s="4" t="n">
        <f aca="false">IF(SPRV_Source_For_Formulas!G17&lt;=0.2,3,IF(SPRV_Source_For_Formulas!G17&lt;=0.5,2,1))</f>
        <v>2</v>
      </c>
      <c r="AE5" s="4" t="n">
        <f aca="false">4-AD5</f>
        <v>2</v>
      </c>
      <c r="AF5" s="4" t="str">
        <f aca="false">IF(AND(AB5=3,AC5*AE5&gt;=6),"A",IF(AND(AB5=3,AC5*AE5&gt;=3),"B",IF(AND(AB5=3,AC5*AE5&gt;=1),"C","")))</f>
        <v>C</v>
      </c>
      <c r="AG5" s="8" t="s">
        <v>25</v>
      </c>
      <c r="AP5" s="7" t="n">
        <f aca="false">MAX(D5,L5,T5,AB5)</f>
        <v>3</v>
      </c>
      <c r="AQ5" s="7" t="n">
        <v>1</v>
      </c>
      <c r="AR5" s="7" t="n">
        <f aca="false">4-AS5</f>
        <v>1</v>
      </c>
      <c r="AS5" s="10" t="n">
        <f aca="false">MAX(F5,N5,V5,AD5)</f>
        <v>3</v>
      </c>
      <c r="AT5" s="7" t="str">
        <f aca="false">IF(AND(AP5=3,AQ5*AR5&gt;=6),"A",IF(AND(AP5=3,AQ5*AR5&gt;=3),"B",IF(AND(AP5=3,AQ5*AR5&gt;=1),"C","")))</f>
        <v>C</v>
      </c>
      <c r="AU5" s="4" t="str">
        <f aca="false">"Scenario-level Threat=1; Step1="&amp;H5&amp;" Step2="&amp;P5&amp;" Step3="&amp;X5&amp;" Step4="&amp;AF5&amp;" ; Overall Threat fixed=1, Max Mitigation="&amp;AS5&amp;" =&gt; Overall="&amp;AT5</f>
        <v>Scenario-level Threat=1; Step1=C Step2=C Step3=C Step4=C ; Overall Threat fixed=1, Max Mitigation=3 =&gt; Overall=C</v>
      </c>
      <c r="AV5" s="11"/>
      <c r="AW5" s="11"/>
      <c r="AX5" s="11"/>
    </row>
    <row r="6" customFormat="false" ht="19.5" hidden="true" customHeight="true" outlineLevel="0" collapsed="false">
      <c r="A6" s="4" t="str">
        <f aca="false">SPRV_Source_For_Formulas!D18</f>
        <v>T1189</v>
      </c>
      <c r="B6" s="5" t="s">
        <v>12</v>
      </c>
      <c r="C6" s="6"/>
      <c r="D6" s="8" t="n">
        <v>3</v>
      </c>
      <c r="E6" s="4" t="n">
        <v>1</v>
      </c>
      <c r="F6" s="4" t="n">
        <f aca="false">IF(SPRV_Source_For_Formulas!G18&lt;=0.2,3,IF(SPRV_Source_For_Formulas!G18&lt;=0.5,2,1))</f>
        <v>3</v>
      </c>
      <c r="G6" s="4" t="n">
        <f aca="false">4-F6</f>
        <v>1</v>
      </c>
      <c r="H6" s="7" t="str">
        <f aca="false">IF(AND(D6=3,E6*G6&gt;=6),"A",IF(AND(D6=3,E6*G6&gt;=3),"B",IF(AND(D6=3,E6*G6&gt;=1),"C","")))</f>
        <v>C</v>
      </c>
      <c r="I6" s="8" t="s">
        <v>13</v>
      </c>
      <c r="J6" s="4" t="str">
        <f aca="false">SPRV_Source_For_Formulas!D19</f>
        <v>T1578.002</v>
      </c>
      <c r="K6" s="5" t="s">
        <v>14</v>
      </c>
      <c r="L6" s="8" t="n">
        <v>3</v>
      </c>
      <c r="M6" s="4" t="n">
        <v>1</v>
      </c>
      <c r="N6" s="4" t="n">
        <f aca="false">IF(SPRV_Source_For_Formulas!G19&lt;=0.2,3,IF(SPRV_Source_For_Formulas!G19&lt;=0.5,2,1))</f>
        <v>2</v>
      </c>
      <c r="O6" s="4" t="n">
        <f aca="false">4-N6</f>
        <v>2</v>
      </c>
      <c r="P6" s="4" t="str">
        <f aca="false">IF(AND(L6=3,M6*O6&gt;=6),"A",IF(AND(L6=3,M6*O6&gt;=3),"B",IF(AND(L6=3,M6*O6&gt;=1),"C","")))</f>
        <v>C</v>
      </c>
      <c r="Q6" s="5" t="s">
        <v>15</v>
      </c>
      <c r="R6" s="4" t="str">
        <f aca="false">SPRV_Source_For_Formulas!D20</f>
        <v>T1555.006</v>
      </c>
      <c r="S6" s="8" t="s">
        <v>26</v>
      </c>
      <c r="T6" s="8" t="n">
        <v>3</v>
      </c>
      <c r="U6" s="4" t="n">
        <v>1</v>
      </c>
      <c r="V6" s="4" t="n">
        <f aca="false">IF(SPRV_Source_For_Formulas!G20&lt;=0.2,3,IF(SPRV_Source_For_Formulas!G20&lt;=0.5,2,1))</f>
        <v>3</v>
      </c>
      <c r="W6" s="4" t="n">
        <f aca="false">4-V6</f>
        <v>1</v>
      </c>
      <c r="X6" s="4" t="str">
        <f aca="false">IF(AND(T6=3,U6*W6&gt;=6),"A",IF(AND(T6=3,U6*W6&gt;=3),"B",IF(AND(T6=3,U6*W6&gt;=1),"C","")))</f>
        <v>C</v>
      </c>
      <c r="Y6" s="8" t="s">
        <v>27</v>
      </c>
      <c r="Z6" s="4" t="str">
        <f aca="false">SPRV_Source_For_Formulas!D21</f>
        <v>T1486</v>
      </c>
      <c r="AA6" s="5" t="s">
        <v>18</v>
      </c>
      <c r="AB6" s="8" t="n">
        <v>3</v>
      </c>
      <c r="AC6" s="4" t="n">
        <v>1</v>
      </c>
      <c r="AD6" s="4" t="n">
        <f aca="false">IF(SPRV_Source_For_Formulas!G21&lt;=0.2,3,IF(SPRV_Source_For_Formulas!G21&lt;=0.5,2,1))</f>
        <v>3</v>
      </c>
      <c r="AE6" s="4" t="n">
        <f aca="false">4-AD6</f>
        <v>1</v>
      </c>
      <c r="AF6" s="4" t="str">
        <f aca="false">IF(AND(AB6=3,AC6*AE6&gt;=6),"A",IF(AND(AB6=3,AC6*AE6&gt;=3),"B",IF(AND(AB6=3,AC6*AE6&gt;=1),"C","")))</f>
        <v>C</v>
      </c>
      <c r="AG6" s="9" t="s">
        <v>19</v>
      </c>
      <c r="AP6" s="7" t="n">
        <f aca="false">MAX(D6,L6,T6,AB6)</f>
        <v>3</v>
      </c>
      <c r="AQ6" s="7" t="n">
        <v>1</v>
      </c>
      <c r="AR6" s="7" t="n">
        <f aca="false">4-AS6</f>
        <v>1</v>
      </c>
      <c r="AS6" s="10" t="n">
        <f aca="false">MAX(F6,N6,V6,AD6)</f>
        <v>3</v>
      </c>
      <c r="AT6" s="7" t="str">
        <f aca="false">IF(AND(AP6=3,AQ6*AR6&gt;=6),"A",IF(AND(AP6=3,AQ6*AR6&gt;=3),"B",IF(AND(AP6=3,AQ6*AR6&gt;=1),"C","")))</f>
        <v>C</v>
      </c>
      <c r="AU6" s="4" t="str">
        <f aca="false">"Scenario-level Threat=1; Step1="&amp;H6&amp;" Step2="&amp;P6&amp;" Step3="&amp;X6&amp;" Step4="&amp;AF6&amp;" ; Overall Threat fixed=1, Max Mitigation="&amp;AS6&amp;" =&gt; Overall="&amp;AT6</f>
        <v>Scenario-level Threat=1; Step1=C Step2=C Step3=C Step4=C ; Overall Threat fixed=1, Max Mitigation=3 =&gt; Overall=C</v>
      </c>
      <c r="AV6" s="11"/>
      <c r="AW6" s="11"/>
      <c r="AX6" s="11"/>
    </row>
    <row r="7" customFormat="false" ht="19.5" hidden="false" customHeight="true" outlineLevel="0" collapsed="false">
      <c r="A7" s="4" t="str">
        <f aca="false">SPRV_Source_For_Formulas!D22</f>
        <v>T1189</v>
      </c>
      <c r="B7" s="5" t="s">
        <v>12</v>
      </c>
      <c r="C7" s="6"/>
      <c r="D7" s="8" t="n">
        <v>3</v>
      </c>
      <c r="E7" s="4" t="n">
        <v>1</v>
      </c>
      <c r="F7" s="4" t="n">
        <f aca="false">IF(SPRV_Source_For_Formulas!G22&lt;=0.2,3,IF(SPRV_Source_For_Formulas!G22&lt;=0.5,2,1))</f>
        <v>3</v>
      </c>
      <c r="G7" s="4" t="n">
        <f aca="false">4-F7</f>
        <v>1</v>
      </c>
      <c r="H7" s="7" t="str">
        <f aca="false">IF(AND(D7=3,E7*G7&gt;=6),"A",IF(AND(D7=3,E7*G7&gt;=3),"B",IF(AND(D7=3,E7*G7&gt;=1),"C","")))</f>
        <v>C</v>
      </c>
      <c r="I7" s="8" t="s">
        <v>13</v>
      </c>
      <c r="J7" s="4" t="str">
        <f aca="false">SPRV_Source_For_Formulas!D23</f>
        <v>T1578.002</v>
      </c>
      <c r="K7" s="5" t="s">
        <v>14</v>
      </c>
      <c r="L7" s="8" t="n">
        <v>3</v>
      </c>
      <c r="M7" s="4" t="n">
        <v>1</v>
      </c>
      <c r="N7" s="4" t="n">
        <f aca="false">IF(SPRV_Source_For_Formulas!G23&lt;=0.2,3,IF(SPRV_Source_For_Formulas!G23&lt;=0.5,2,1))</f>
        <v>2</v>
      </c>
      <c r="O7" s="4" t="n">
        <f aca="false">4-N7</f>
        <v>2</v>
      </c>
      <c r="P7" s="4" t="str">
        <f aca="false">IF(AND(L7=3,M7*O7&gt;=6),"A",IF(AND(L7=3,M7*O7&gt;=3),"B",IF(AND(L7=3,M7*O7&gt;=1),"C","")))</f>
        <v>C</v>
      </c>
      <c r="Q7" s="5" t="s">
        <v>15</v>
      </c>
      <c r="R7" s="4" t="str">
        <f aca="false">SPRV_Source_For_Formulas!D24</f>
        <v>T1555.006</v>
      </c>
      <c r="S7" s="8" t="s">
        <v>26</v>
      </c>
      <c r="T7" s="8" t="n">
        <v>3</v>
      </c>
      <c r="U7" s="4" t="n">
        <v>1</v>
      </c>
      <c r="V7" s="4" t="n">
        <f aca="false">IF(SPRV_Source_For_Formulas!G24&lt;=0.2,3,IF(SPRV_Source_For_Formulas!G24&lt;=0.5,2,1))</f>
        <v>3</v>
      </c>
      <c r="W7" s="4" t="n">
        <f aca="false">4-V7</f>
        <v>1</v>
      </c>
      <c r="X7" s="4" t="str">
        <f aca="false">IF(AND(T7=3,U7*W7&gt;=6),"A",IF(AND(T7=3,U7*W7&gt;=3),"B",IF(AND(T7=3,U7*W7&gt;=1),"C","")))</f>
        <v>C</v>
      </c>
      <c r="Y7" s="8" t="s">
        <v>27</v>
      </c>
      <c r="Z7" s="4" t="str">
        <f aca="false">SPRV_Source_For_Formulas!D25</f>
        <v>T1496.001</v>
      </c>
      <c r="AA7" s="5" t="s">
        <v>20</v>
      </c>
      <c r="AB7" s="8" t="n">
        <v>3</v>
      </c>
      <c r="AC7" s="4" t="n">
        <v>1</v>
      </c>
      <c r="AD7" s="4" t="n">
        <f aca="false">IF(SPRV_Source_For_Formulas!G25&lt;=0.2,3,IF(SPRV_Source_For_Formulas!G25&lt;=0.5,2,1))</f>
        <v>2</v>
      </c>
      <c r="AE7" s="4" t="n">
        <f aca="false">4-AD7</f>
        <v>2</v>
      </c>
      <c r="AF7" s="4" t="str">
        <f aca="false">IF(AND(AB7=3,AC7*AE7&gt;=6),"A",IF(AND(AB7=3,AC7*AE7&gt;=3),"B",IF(AND(AB7=3,AC7*AE7&gt;=1),"C","")))</f>
        <v>C</v>
      </c>
      <c r="AG7" s="12" t="s">
        <v>21</v>
      </c>
      <c r="AP7" s="7" t="n">
        <f aca="false">MAX(D7,L7,T7,AB7)</f>
        <v>3</v>
      </c>
      <c r="AQ7" s="7" t="n">
        <v>1</v>
      </c>
      <c r="AR7" s="7" t="n">
        <f aca="false">4-AS7</f>
        <v>1</v>
      </c>
      <c r="AS7" s="10" t="n">
        <f aca="false">MAX(F7,N7,V7,AD7)</f>
        <v>3</v>
      </c>
      <c r="AT7" s="7" t="str">
        <f aca="false">IF(AND(AP7=3,AQ7*AR7&gt;=6),"A",IF(AND(AP7=3,AQ7*AR7&gt;=3),"B",IF(AND(AP7=3,AQ7*AR7&gt;=1),"C","")))</f>
        <v>C</v>
      </c>
      <c r="AU7" s="4" t="str">
        <f aca="false">"Scenario-level Threat=1; Step1="&amp;H7&amp;" Step2="&amp;P7&amp;" Step3="&amp;X7&amp;" Step4="&amp;AF7&amp;" ; Overall Threat fixed=1, Max Mitigation="&amp;AS7&amp;" =&gt; Overall="&amp;AT7</f>
        <v>Scenario-level Threat=1; Step1=C Step2=C Step3=C Step4=C ; Overall Threat fixed=1, Max Mitigation=3 =&gt; Overall=C</v>
      </c>
      <c r="AV7" s="11"/>
      <c r="AW7" s="11"/>
      <c r="AX7" s="11"/>
    </row>
    <row r="8" customFormat="false" ht="18" hidden="true" customHeight="false" outlineLevel="0" collapsed="false">
      <c r="A8" s="4" t="str">
        <f aca="false">SPRV_Source_For_Formulas!D26</f>
        <v>T1189</v>
      </c>
      <c r="B8" s="5" t="s">
        <v>12</v>
      </c>
      <c r="C8" s="6"/>
      <c r="D8" s="8" t="n">
        <v>3</v>
      </c>
      <c r="E8" s="4" t="n">
        <v>1</v>
      </c>
      <c r="F8" s="4" t="n">
        <f aca="false">IF(SPRV_Source_For_Formulas!G26&lt;=0.2,3,IF(SPRV_Source_For_Formulas!G26&lt;=0.5,2,1))</f>
        <v>3</v>
      </c>
      <c r="G8" s="4" t="n">
        <f aca="false">4-F8</f>
        <v>1</v>
      </c>
      <c r="H8" s="7" t="str">
        <f aca="false">IF(AND(D8=3,E8*G8&gt;=6),"A",IF(AND(D8=3,E8*G8&gt;=3),"B",IF(AND(D8=3,E8*G8&gt;=1),"C","")))</f>
        <v>C</v>
      </c>
      <c r="I8" s="8" t="s">
        <v>13</v>
      </c>
      <c r="J8" s="4" t="str">
        <f aca="false">SPRV_Source_For_Formulas!D27</f>
        <v>T1578.002</v>
      </c>
      <c r="K8" s="5" t="s">
        <v>14</v>
      </c>
      <c r="L8" s="8" t="n">
        <v>3</v>
      </c>
      <c r="M8" s="4" t="n">
        <v>1</v>
      </c>
      <c r="N8" s="4" t="n">
        <f aca="false">IF(SPRV_Source_For_Formulas!G27&lt;=0.2,3,IF(SPRV_Source_For_Formulas!G27&lt;=0.5,2,1))</f>
        <v>2</v>
      </c>
      <c r="O8" s="4" t="n">
        <f aca="false">4-N8</f>
        <v>2</v>
      </c>
      <c r="P8" s="4" t="str">
        <f aca="false">IF(AND(L8=3,M8*O8&gt;=6),"A",IF(AND(L8=3,M8*O8&gt;=3),"B",IF(AND(L8=3,M8*O8&gt;=1),"C","")))</f>
        <v>C</v>
      </c>
      <c r="Q8" s="5" t="s">
        <v>15</v>
      </c>
      <c r="R8" s="4" t="str">
        <f aca="false">SPRV_Source_For_Formulas!D28</f>
        <v>T1555.006</v>
      </c>
      <c r="S8" s="8" t="s">
        <v>26</v>
      </c>
      <c r="T8" s="8" t="n">
        <v>3</v>
      </c>
      <c r="U8" s="4" t="n">
        <v>1</v>
      </c>
      <c r="V8" s="4" t="n">
        <f aca="false">IF(SPRV_Source_For_Formulas!G28&lt;=0.2,3,IF(SPRV_Source_For_Formulas!G28&lt;=0.5,2,1))</f>
        <v>3</v>
      </c>
      <c r="W8" s="4" t="n">
        <f aca="false">4-V8</f>
        <v>1</v>
      </c>
      <c r="X8" s="4" t="str">
        <f aca="false">IF(AND(T8=3,U8*W8&gt;=6),"A",IF(AND(T8=3,U8*W8&gt;=3),"B",IF(AND(T8=3,U8*W8&gt;=1),"C","")))</f>
        <v>C</v>
      </c>
      <c r="Y8" s="8" t="s">
        <v>27</v>
      </c>
      <c r="Z8" s="4" t="str">
        <f aca="false">SPRV_Source_For_Formulas!D29</f>
        <v>T1496.004</v>
      </c>
      <c r="AA8" s="5" t="s">
        <v>22</v>
      </c>
      <c r="AB8" s="8" t="n">
        <v>3</v>
      </c>
      <c r="AC8" s="4" t="n">
        <v>1</v>
      </c>
      <c r="AD8" s="4" t="n">
        <f aca="false">IF(SPRV_Source_For_Formulas!G29&lt;=0.2,3,IF(SPRV_Source_For_Formulas!G29&lt;=0.5,2,1))</f>
        <v>2</v>
      </c>
      <c r="AE8" s="4" t="n">
        <f aca="false">4-AD8</f>
        <v>2</v>
      </c>
      <c r="AF8" s="4" t="str">
        <f aca="false">IF(AND(AB8=3,AC8*AE8&gt;=6),"A",IF(AND(AB8=3,AC8*AE8&gt;=3),"B",IF(AND(AB8=3,AC8*AE8&gt;=1),"C","")))</f>
        <v>C</v>
      </c>
      <c r="AG8" s="8" t="s">
        <v>23</v>
      </c>
      <c r="AP8" s="7" t="n">
        <f aca="false">MAX(D8,L8,T8,AB8)</f>
        <v>3</v>
      </c>
      <c r="AQ8" s="7" t="n">
        <v>1</v>
      </c>
      <c r="AR8" s="7" t="n">
        <f aca="false">4-AS8</f>
        <v>1</v>
      </c>
      <c r="AS8" s="10" t="n">
        <f aca="false">MAX(F8,N8,V8,AD8)</f>
        <v>3</v>
      </c>
      <c r="AT8" s="7" t="str">
        <f aca="false">IF(AND(AP8=3,AQ8*AR8&gt;=6),"A",IF(AND(AP8=3,AQ8*AR8&gt;=3),"B",IF(AND(AP8=3,AQ8*AR8&gt;=1),"C","")))</f>
        <v>C</v>
      </c>
      <c r="AU8" s="4" t="str">
        <f aca="false">"Scenario-level Threat=1; Step1="&amp;H8&amp;" Step2="&amp;P8&amp;" Step3="&amp;X8&amp;" Step4="&amp;AF8&amp;" ; Overall Threat fixed=1, Max Mitigation="&amp;AS8&amp;" =&gt; Overall="&amp;AT8</f>
        <v>Scenario-level Threat=1; Step1=C Step2=C Step3=C Step4=C ; Overall Threat fixed=1, Max Mitigation=3 =&gt; Overall=C</v>
      </c>
      <c r="AV8" s="11"/>
      <c r="AW8" s="11"/>
      <c r="AX8" s="11"/>
    </row>
    <row r="9" customFormat="false" ht="18" hidden="true" customHeight="false" outlineLevel="0" collapsed="false">
      <c r="A9" s="4" t="str">
        <f aca="false">SPRV_Source_For_Formulas!D30</f>
        <v>T1189</v>
      </c>
      <c r="B9" s="5" t="s">
        <v>12</v>
      </c>
      <c r="C9" s="6"/>
      <c r="D9" s="8" t="n">
        <v>3</v>
      </c>
      <c r="E9" s="4" t="n">
        <v>1</v>
      </c>
      <c r="F9" s="4" t="n">
        <f aca="false">IF(SPRV_Source_For_Formulas!G30&lt;=0.2,3,IF(SPRV_Source_For_Formulas!G30&lt;=0.5,2,1))</f>
        <v>3</v>
      </c>
      <c r="G9" s="4" t="n">
        <f aca="false">4-F9</f>
        <v>1</v>
      </c>
      <c r="H9" s="7" t="str">
        <f aca="false">IF(AND(D9=3,E9*G9&gt;=6),"A",IF(AND(D9=3,E9*G9&gt;=3),"B",IF(AND(D9=3,E9*G9&gt;=1),"C","")))</f>
        <v>C</v>
      </c>
      <c r="I9" s="8" t="s">
        <v>13</v>
      </c>
      <c r="J9" s="4" t="str">
        <f aca="false">SPRV_Source_For_Formulas!D31</f>
        <v>T1578.002</v>
      </c>
      <c r="K9" s="5" t="s">
        <v>14</v>
      </c>
      <c r="L9" s="8" t="n">
        <v>3</v>
      </c>
      <c r="M9" s="4" t="n">
        <v>1</v>
      </c>
      <c r="N9" s="4" t="n">
        <f aca="false">IF(SPRV_Source_For_Formulas!G31&lt;=0.2,3,IF(SPRV_Source_For_Formulas!G31&lt;=0.5,2,1))</f>
        <v>2</v>
      </c>
      <c r="O9" s="4" t="n">
        <f aca="false">4-N9</f>
        <v>2</v>
      </c>
      <c r="P9" s="4" t="str">
        <f aca="false">IF(AND(L9=3,M9*O9&gt;=6),"A",IF(AND(L9=3,M9*O9&gt;=3),"B",IF(AND(L9=3,M9*O9&gt;=1),"C","")))</f>
        <v>C</v>
      </c>
      <c r="Q9" s="5" t="s">
        <v>15</v>
      </c>
      <c r="R9" s="4" t="str">
        <f aca="false">SPRV_Source_For_Formulas!D32</f>
        <v>T1555.006</v>
      </c>
      <c r="S9" s="8" t="s">
        <v>26</v>
      </c>
      <c r="T9" s="8" t="n">
        <v>3</v>
      </c>
      <c r="U9" s="4" t="n">
        <v>1</v>
      </c>
      <c r="V9" s="4" t="n">
        <f aca="false">IF(SPRV_Source_For_Formulas!G32&lt;=0.2,3,IF(SPRV_Source_For_Formulas!G32&lt;=0.5,2,1))</f>
        <v>3</v>
      </c>
      <c r="W9" s="4" t="n">
        <f aca="false">4-V9</f>
        <v>1</v>
      </c>
      <c r="X9" s="4" t="str">
        <f aca="false">IF(AND(T9=3,U9*W9&gt;=6),"A",IF(AND(T9=3,U9*W9&gt;=3),"B",IF(AND(T9=3,U9*W9&gt;=1),"C","")))</f>
        <v>C</v>
      </c>
      <c r="Y9" s="8" t="s">
        <v>27</v>
      </c>
      <c r="Z9" s="4" t="str">
        <f aca="false">SPRV_Source_For_Formulas!D33</f>
        <v>T1496.002</v>
      </c>
      <c r="AA9" s="5" t="s">
        <v>24</v>
      </c>
      <c r="AB9" s="8" t="n">
        <v>3</v>
      </c>
      <c r="AC9" s="4" t="n">
        <v>1</v>
      </c>
      <c r="AD9" s="4" t="n">
        <f aca="false">IF(SPRV_Source_For_Formulas!G33&lt;=0.2,3,IF(SPRV_Source_For_Formulas!G33&lt;=0.5,2,1))</f>
        <v>2</v>
      </c>
      <c r="AE9" s="4" t="n">
        <f aca="false">4-AD9</f>
        <v>2</v>
      </c>
      <c r="AF9" s="4" t="str">
        <f aca="false">IF(AND(AB9=3,AC9*AE9&gt;=6),"A",IF(AND(AB9=3,AC9*AE9&gt;=3),"B",IF(AND(AB9=3,AC9*AE9&gt;=1),"C","")))</f>
        <v>C</v>
      </c>
      <c r="AG9" s="8" t="s">
        <v>25</v>
      </c>
      <c r="AP9" s="7" t="n">
        <f aca="false">MAX(D9,L9,T9,AB9)</f>
        <v>3</v>
      </c>
      <c r="AQ9" s="7" t="n">
        <v>1</v>
      </c>
      <c r="AR9" s="7" t="n">
        <f aca="false">4-AS9</f>
        <v>1</v>
      </c>
      <c r="AS9" s="10" t="n">
        <f aca="false">MAX(F9,N9,V9,AD9)</f>
        <v>3</v>
      </c>
      <c r="AT9" s="7" t="str">
        <f aca="false">IF(AND(AP9=3,AQ9*AR9&gt;=6),"A",IF(AND(AP9=3,AQ9*AR9&gt;=3),"B",IF(AND(AP9=3,AQ9*AR9&gt;=1),"C","")))</f>
        <v>C</v>
      </c>
      <c r="AU9" s="4" t="str">
        <f aca="false">"Scenario-level Threat=1; Step1="&amp;H9&amp;" Step2="&amp;P9&amp;" Step3="&amp;X9&amp;" Step4="&amp;AF9&amp;" ; Overall Threat fixed=1, Max Mitigation="&amp;AS9&amp;" =&gt; Overall="&amp;AT9</f>
        <v>Scenario-level Threat=1; Step1=C Step2=C Step3=C Step4=C ; Overall Threat fixed=1, Max Mitigation=3 =&gt; Overall=C</v>
      </c>
      <c r="AV9" s="11"/>
      <c r="AW9" s="11"/>
      <c r="AX9" s="11"/>
    </row>
    <row r="10" customFormat="false" ht="19.5" hidden="true" customHeight="true" outlineLevel="0" collapsed="false">
      <c r="A10" s="4" t="str">
        <f aca="false">SPRV_Source_For_Formulas!D34</f>
        <v>T1189</v>
      </c>
      <c r="B10" s="5" t="s">
        <v>12</v>
      </c>
      <c r="C10" s="6"/>
      <c r="D10" s="8" t="n">
        <v>3</v>
      </c>
      <c r="E10" s="4" t="n">
        <v>1</v>
      </c>
      <c r="F10" s="4" t="n">
        <f aca="false">IF(SPRV_Source_For_Formulas!G34&lt;=0.2,3,IF(SPRV_Source_For_Formulas!G34&lt;=0.5,2,1))</f>
        <v>3</v>
      </c>
      <c r="G10" s="4" t="n">
        <f aca="false">4-F10</f>
        <v>1</v>
      </c>
      <c r="H10" s="7" t="str">
        <f aca="false">IF(AND(D10=3,E10*G10&gt;=6),"A",IF(AND(D10=3,E10*G10&gt;=3),"B",IF(AND(D10=3,E10*G10&gt;=1),"C","")))</f>
        <v>C</v>
      </c>
      <c r="I10" s="8" t="s">
        <v>13</v>
      </c>
      <c r="J10" s="4" t="str">
        <f aca="false">SPRV_Source_For_Formulas!D35</f>
        <v>T1578.002</v>
      </c>
      <c r="K10" s="5" t="s">
        <v>14</v>
      </c>
      <c r="L10" s="8" t="n">
        <v>3</v>
      </c>
      <c r="M10" s="4" t="n">
        <v>1</v>
      </c>
      <c r="N10" s="4" t="n">
        <f aca="false">IF(SPRV_Source_For_Formulas!G35&lt;=0.2,3,IF(SPRV_Source_For_Formulas!G35&lt;=0.5,2,1))</f>
        <v>2</v>
      </c>
      <c r="O10" s="4" t="n">
        <f aca="false">4-N10</f>
        <v>2</v>
      </c>
      <c r="P10" s="4" t="str">
        <f aca="false">IF(AND(L10=3,M10*O10&gt;=6),"A",IF(AND(L10=3,M10*O10&gt;=3),"B",IF(AND(L10=3,M10*O10&gt;=1),"C","")))</f>
        <v>C</v>
      </c>
      <c r="Q10" s="5" t="s">
        <v>15</v>
      </c>
      <c r="R10" s="4" t="str">
        <f aca="false">SPRV_Source_For_Formulas!D36</f>
        <v>T1059.009</v>
      </c>
      <c r="S10" s="8" t="s">
        <v>28</v>
      </c>
      <c r="T10" s="8" t="n">
        <v>3</v>
      </c>
      <c r="U10" s="4" t="n">
        <v>1</v>
      </c>
      <c r="V10" s="4" t="n">
        <f aca="false">IF(SPRV_Source_For_Formulas!G36&lt;=0.2,3,IF(SPRV_Source_For_Formulas!G36&lt;=0.5,2,1))</f>
        <v>3</v>
      </c>
      <c r="W10" s="4" t="n">
        <f aca="false">4-V10</f>
        <v>1</v>
      </c>
      <c r="X10" s="4" t="str">
        <f aca="false">IF(AND(T10=3,U10*W10&gt;=6),"A",IF(AND(T10=3,U10*W10&gt;=3),"B",IF(AND(T10=3,U10*W10&gt;=1),"C","")))</f>
        <v>C</v>
      </c>
      <c r="Y10" s="8" t="s">
        <v>29</v>
      </c>
      <c r="Z10" s="4" t="str">
        <f aca="false">SPRV_Source_For_Formulas!D37</f>
        <v>T1486</v>
      </c>
      <c r="AA10" s="5" t="s">
        <v>18</v>
      </c>
      <c r="AB10" s="8" t="n">
        <v>3</v>
      </c>
      <c r="AC10" s="4" t="n">
        <v>1</v>
      </c>
      <c r="AD10" s="4" t="n">
        <f aca="false">IF(SPRV_Source_For_Formulas!G37&lt;=0.2,3,IF(SPRV_Source_For_Formulas!G37&lt;=0.5,2,1))</f>
        <v>3</v>
      </c>
      <c r="AE10" s="4" t="n">
        <f aca="false">4-AD10</f>
        <v>1</v>
      </c>
      <c r="AF10" s="4" t="str">
        <f aca="false">IF(AND(AB10=3,AC10*AE10&gt;=6),"A",IF(AND(AB10=3,AC10*AE10&gt;=3),"B",IF(AND(AB10=3,AC10*AE10&gt;=1),"C","")))</f>
        <v>C</v>
      </c>
      <c r="AG10" s="9" t="s">
        <v>19</v>
      </c>
      <c r="AP10" s="7" t="n">
        <f aca="false">MAX(D10,L10,T10,AB10)</f>
        <v>3</v>
      </c>
      <c r="AQ10" s="7" t="n">
        <v>1</v>
      </c>
      <c r="AR10" s="7" t="n">
        <f aca="false">4-AS10</f>
        <v>1</v>
      </c>
      <c r="AS10" s="10" t="n">
        <f aca="false">MAX(F10,N10,V10,AD10)</f>
        <v>3</v>
      </c>
      <c r="AT10" s="7" t="str">
        <f aca="false">IF(AND(AP10=3,AQ10*AR10&gt;=6),"A",IF(AND(AP10=3,AQ10*AR10&gt;=3),"B",IF(AND(AP10=3,AQ10*AR10&gt;=1),"C","")))</f>
        <v>C</v>
      </c>
      <c r="AU10" s="4" t="str">
        <f aca="false">"Scenario-level Threat=1; Step1="&amp;H10&amp;" Step2="&amp;P10&amp;" Step3="&amp;X10&amp;" Step4="&amp;AF10&amp;" ; Overall Threat fixed=1, Max Mitigation="&amp;AS10&amp;" =&gt; Overall="&amp;AT10</f>
        <v>Scenario-level Threat=1; Step1=C Step2=C Step3=C Step4=C ; Overall Threat fixed=1, Max Mitigation=3 =&gt; Overall=C</v>
      </c>
      <c r="AV10" s="11"/>
      <c r="AW10" s="11"/>
      <c r="AX10" s="11"/>
    </row>
    <row r="11" customFormat="false" ht="19.5" hidden="false" customHeight="true" outlineLevel="0" collapsed="false">
      <c r="A11" s="4" t="str">
        <f aca="false">SPRV_Source_For_Formulas!D38</f>
        <v>T1189</v>
      </c>
      <c r="B11" s="5" t="s">
        <v>12</v>
      </c>
      <c r="C11" s="6"/>
      <c r="D11" s="8" t="n">
        <v>3</v>
      </c>
      <c r="E11" s="4" t="n">
        <v>1</v>
      </c>
      <c r="F11" s="4" t="n">
        <f aca="false">IF(SPRV_Source_For_Formulas!G38&lt;=0.2,3,IF(SPRV_Source_For_Formulas!G38&lt;=0.5,2,1))</f>
        <v>3</v>
      </c>
      <c r="G11" s="4" t="n">
        <f aca="false">4-F11</f>
        <v>1</v>
      </c>
      <c r="H11" s="7" t="str">
        <f aca="false">IF(AND(D11=3,E11*G11&gt;=6),"A",IF(AND(D11=3,E11*G11&gt;=3),"B",IF(AND(D11=3,E11*G11&gt;=1),"C","")))</f>
        <v>C</v>
      </c>
      <c r="I11" s="8" t="s">
        <v>13</v>
      </c>
      <c r="J11" s="4" t="str">
        <f aca="false">SPRV_Source_For_Formulas!D39</f>
        <v>T1578.002</v>
      </c>
      <c r="K11" s="5" t="s">
        <v>14</v>
      </c>
      <c r="L11" s="8" t="n">
        <v>3</v>
      </c>
      <c r="M11" s="4" t="n">
        <v>1</v>
      </c>
      <c r="N11" s="4" t="n">
        <f aca="false">IF(SPRV_Source_For_Formulas!G39&lt;=0.2,3,IF(SPRV_Source_For_Formulas!G39&lt;=0.5,2,1))</f>
        <v>2</v>
      </c>
      <c r="O11" s="4" t="n">
        <f aca="false">4-N11</f>
        <v>2</v>
      </c>
      <c r="P11" s="4" t="str">
        <f aca="false">IF(AND(L11=3,M11*O11&gt;=6),"A",IF(AND(L11=3,M11*O11&gt;=3),"B",IF(AND(L11=3,M11*O11&gt;=1),"C","")))</f>
        <v>C</v>
      </c>
      <c r="Q11" s="5" t="s">
        <v>15</v>
      </c>
      <c r="R11" s="4" t="str">
        <f aca="false">SPRV_Source_For_Formulas!D40</f>
        <v>T1059.009</v>
      </c>
      <c r="S11" s="8" t="s">
        <v>28</v>
      </c>
      <c r="T11" s="8" t="n">
        <v>3</v>
      </c>
      <c r="U11" s="4" t="n">
        <v>1</v>
      </c>
      <c r="V11" s="4" t="n">
        <f aca="false">IF(SPRV_Source_For_Formulas!G40&lt;=0.2,3,IF(SPRV_Source_For_Formulas!G40&lt;=0.5,2,1))</f>
        <v>3</v>
      </c>
      <c r="W11" s="4" t="n">
        <f aca="false">4-V11</f>
        <v>1</v>
      </c>
      <c r="X11" s="4" t="str">
        <f aca="false">IF(AND(T11=3,U11*W11&gt;=6),"A",IF(AND(T11=3,U11*W11&gt;=3),"B",IF(AND(T11=3,U11*W11&gt;=1),"C","")))</f>
        <v>C</v>
      </c>
      <c r="Y11" s="8" t="s">
        <v>29</v>
      </c>
      <c r="Z11" s="4" t="str">
        <f aca="false">SPRV_Source_For_Formulas!D41</f>
        <v>T1496.001</v>
      </c>
      <c r="AA11" s="5" t="s">
        <v>20</v>
      </c>
      <c r="AB11" s="8" t="n">
        <v>3</v>
      </c>
      <c r="AC11" s="4" t="n">
        <v>1</v>
      </c>
      <c r="AD11" s="4" t="n">
        <f aca="false">IF(SPRV_Source_For_Formulas!G41&lt;=0.2,3,IF(SPRV_Source_For_Formulas!G41&lt;=0.5,2,1))</f>
        <v>2</v>
      </c>
      <c r="AE11" s="4" t="n">
        <f aca="false">4-AD11</f>
        <v>2</v>
      </c>
      <c r="AF11" s="4" t="str">
        <f aca="false">IF(AND(AB11=3,AC11*AE11&gt;=6),"A",IF(AND(AB11=3,AC11*AE11&gt;=3),"B",IF(AND(AB11=3,AC11*AE11&gt;=1),"C","")))</f>
        <v>C</v>
      </c>
      <c r="AG11" s="12" t="s">
        <v>21</v>
      </c>
      <c r="AP11" s="7" t="n">
        <f aca="false">MAX(D11,L11,T11,AB11)</f>
        <v>3</v>
      </c>
      <c r="AQ11" s="7" t="n">
        <v>1</v>
      </c>
      <c r="AR11" s="7" t="n">
        <f aca="false">4-AS11</f>
        <v>1</v>
      </c>
      <c r="AS11" s="10" t="n">
        <f aca="false">MAX(F11,N11,V11,AD11)</f>
        <v>3</v>
      </c>
      <c r="AT11" s="7" t="str">
        <f aca="false">IF(AND(AP11=3,AQ11*AR11&gt;=6),"A",IF(AND(AP11=3,AQ11*AR11&gt;=3),"B",IF(AND(AP11=3,AQ11*AR11&gt;=1),"C","")))</f>
        <v>C</v>
      </c>
      <c r="AU11" s="4" t="str">
        <f aca="false">"Scenario-level Threat=1; Step1="&amp;H11&amp;" Step2="&amp;P11&amp;" Step3="&amp;X11&amp;" Step4="&amp;AF11&amp;" ; Overall Threat fixed=1, Max Mitigation="&amp;AS11&amp;" =&gt; Overall="&amp;AT11</f>
        <v>Scenario-level Threat=1; Step1=C Step2=C Step3=C Step4=C ; Overall Threat fixed=1, Max Mitigation=3 =&gt; Overall=C</v>
      </c>
      <c r="AV11" s="11"/>
      <c r="AW11" s="11"/>
      <c r="AX11" s="11"/>
    </row>
    <row r="12" customFormat="false" ht="18" hidden="true" customHeight="false" outlineLevel="0" collapsed="false">
      <c r="A12" s="4" t="str">
        <f aca="false">SPRV_Source_For_Formulas!D42</f>
        <v>T1189</v>
      </c>
      <c r="B12" s="5" t="s">
        <v>12</v>
      </c>
      <c r="C12" s="6"/>
      <c r="D12" s="8" t="n">
        <v>3</v>
      </c>
      <c r="E12" s="4" t="n">
        <v>1</v>
      </c>
      <c r="F12" s="4" t="n">
        <f aca="false">IF(SPRV_Source_For_Formulas!G42&lt;=0.2,3,IF(SPRV_Source_For_Formulas!G42&lt;=0.5,2,1))</f>
        <v>3</v>
      </c>
      <c r="G12" s="4" t="n">
        <f aca="false">4-F12</f>
        <v>1</v>
      </c>
      <c r="H12" s="7" t="str">
        <f aca="false">IF(AND(D12=3,E12*G12&gt;=6),"A",IF(AND(D12=3,E12*G12&gt;=3),"B",IF(AND(D12=3,E12*G12&gt;=1),"C","")))</f>
        <v>C</v>
      </c>
      <c r="I12" s="8" t="s">
        <v>13</v>
      </c>
      <c r="J12" s="4" t="str">
        <f aca="false">SPRV_Source_For_Formulas!D43</f>
        <v>T1578.002</v>
      </c>
      <c r="K12" s="5" t="s">
        <v>14</v>
      </c>
      <c r="L12" s="8" t="n">
        <v>3</v>
      </c>
      <c r="M12" s="4" t="n">
        <v>1</v>
      </c>
      <c r="N12" s="4" t="n">
        <f aca="false">IF(SPRV_Source_For_Formulas!G43&lt;=0.2,3,IF(SPRV_Source_For_Formulas!G43&lt;=0.5,2,1))</f>
        <v>2</v>
      </c>
      <c r="O12" s="4" t="n">
        <f aca="false">4-N12</f>
        <v>2</v>
      </c>
      <c r="P12" s="4" t="str">
        <f aca="false">IF(AND(L12=3,M12*O12&gt;=6),"A",IF(AND(L12=3,M12*O12&gt;=3),"B",IF(AND(L12=3,M12*O12&gt;=1),"C","")))</f>
        <v>C</v>
      </c>
      <c r="Q12" s="5" t="s">
        <v>15</v>
      </c>
      <c r="R12" s="4" t="str">
        <f aca="false">SPRV_Source_For_Formulas!D44</f>
        <v>T1059.009</v>
      </c>
      <c r="S12" s="8" t="s">
        <v>28</v>
      </c>
      <c r="T12" s="8" t="n">
        <v>3</v>
      </c>
      <c r="U12" s="4" t="n">
        <v>1</v>
      </c>
      <c r="V12" s="4" t="n">
        <f aca="false">IF(SPRV_Source_For_Formulas!G44&lt;=0.2,3,IF(SPRV_Source_For_Formulas!G44&lt;=0.5,2,1))</f>
        <v>3</v>
      </c>
      <c r="W12" s="4" t="n">
        <f aca="false">4-V12</f>
        <v>1</v>
      </c>
      <c r="X12" s="4" t="str">
        <f aca="false">IF(AND(T12=3,U12*W12&gt;=6),"A",IF(AND(T12=3,U12*W12&gt;=3),"B",IF(AND(T12=3,U12*W12&gt;=1),"C","")))</f>
        <v>C</v>
      </c>
      <c r="Y12" s="8" t="s">
        <v>29</v>
      </c>
      <c r="Z12" s="4" t="str">
        <f aca="false">SPRV_Source_For_Formulas!D45</f>
        <v>T1496.004</v>
      </c>
      <c r="AA12" s="5" t="s">
        <v>22</v>
      </c>
      <c r="AB12" s="8" t="n">
        <v>3</v>
      </c>
      <c r="AC12" s="4" t="n">
        <v>1</v>
      </c>
      <c r="AD12" s="4" t="n">
        <f aca="false">IF(SPRV_Source_For_Formulas!G45&lt;=0.2,3,IF(SPRV_Source_For_Formulas!G45&lt;=0.5,2,1))</f>
        <v>2</v>
      </c>
      <c r="AE12" s="4" t="n">
        <f aca="false">4-AD12</f>
        <v>2</v>
      </c>
      <c r="AF12" s="4" t="str">
        <f aca="false">IF(AND(AB12=3,AC12*AE12&gt;=6),"A",IF(AND(AB12=3,AC12*AE12&gt;=3),"B",IF(AND(AB12=3,AC12*AE12&gt;=1),"C","")))</f>
        <v>C</v>
      </c>
      <c r="AG12" s="8" t="s">
        <v>23</v>
      </c>
      <c r="AP12" s="7" t="n">
        <f aca="false">MAX(D12,L12,T12,AB12)</f>
        <v>3</v>
      </c>
      <c r="AQ12" s="7" t="n">
        <v>1</v>
      </c>
      <c r="AR12" s="7" t="n">
        <f aca="false">4-AS12</f>
        <v>1</v>
      </c>
      <c r="AS12" s="10" t="n">
        <f aca="false">MAX(F12,N12,V12,AD12)</f>
        <v>3</v>
      </c>
      <c r="AT12" s="7" t="str">
        <f aca="false">IF(AND(AP12=3,AQ12*AR12&gt;=6),"A",IF(AND(AP12=3,AQ12*AR12&gt;=3),"B",IF(AND(AP12=3,AQ12*AR12&gt;=1),"C","")))</f>
        <v>C</v>
      </c>
      <c r="AU12" s="4" t="str">
        <f aca="false">"Scenario-level Threat=1; Step1="&amp;H12&amp;" Step2="&amp;P12&amp;" Step3="&amp;X12&amp;" Step4="&amp;AF12&amp;" ; Overall Threat fixed=1, Max Mitigation="&amp;AS12&amp;" =&gt; Overall="&amp;AT12</f>
        <v>Scenario-level Threat=1; Step1=C Step2=C Step3=C Step4=C ; Overall Threat fixed=1, Max Mitigation=3 =&gt; Overall=C</v>
      </c>
      <c r="AV12" s="11"/>
      <c r="AW12" s="11"/>
      <c r="AX12" s="11"/>
    </row>
    <row r="13" customFormat="false" ht="18" hidden="true" customHeight="false" outlineLevel="0" collapsed="false">
      <c r="A13" s="4" t="str">
        <f aca="false">SPRV_Source_For_Formulas!D46</f>
        <v>T1189</v>
      </c>
      <c r="B13" s="5" t="s">
        <v>12</v>
      </c>
      <c r="C13" s="6"/>
      <c r="D13" s="8" t="n">
        <v>3</v>
      </c>
      <c r="E13" s="4" t="n">
        <v>1</v>
      </c>
      <c r="F13" s="4" t="n">
        <f aca="false">IF(SPRV_Source_For_Formulas!G46&lt;=0.2,3,IF(SPRV_Source_For_Formulas!G46&lt;=0.5,2,1))</f>
        <v>3</v>
      </c>
      <c r="G13" s="4" t="n">
        <f aca="false">4-F13</f>
        <v>1</v>
      </c>
      <c r="H13" s="7" t="str">
        <f aca="false">IF(AND(D13=3,E13*G13&gt;=6),"A",IF(AND(D13=3,E13*G13&gt;=3),"B",IF(AND(D13=3,E13*G13&gt;=1),"C","")))</f>
        <v>C</v>
      </c>
      <c r="I13" s="8" t="s">
        <v>13</v>
      </c>
      <c r="J13" s="4" t="str">
        <f aca="false">SPRV_Source_For_Formulas!D47</f>
        <v>T1578.002</v>
      </c>
      <c r="K13" s="5" t="s">
        <v>14</v>
      </c>
      <c r="L13" s="8" t="n">
        <v>3</v>
      </c>
      <c r="M13" s="4" t="n">
        <v>1</v>
      </c>
      <c r="N13" s="4" t="n">
        <f aca="false">IF(SPRV_Source_For_Formulas!G47&lt;=0.2,3,IF(SPRV_Source_For_Formulas!G47&lt;=0.5,2,1))</f>
        <v>2</v>
      </c>
      <c r="O13" s="4" t="n">
        <f aca="false">4-N13</f>
        <v>2</v>
      </c>
      <c r="P13" s="4" t="str">
        <f aca="false">IF(AND(L13=3,M13*O13&gt;=6),"A",IF(AND(L13=3,M13*O13&gt;=3),"B",IF(AND(L13=3,M13*O13&gt;=1),"C","")))</f>
        <v>C</v>
      </c>
      <c r="Q13" s="5" t="s">
        <v>15</v>
      </c>
      <c r="R13" s="4" t="str">
        <f aca="false">SPRV_Source_For_Formulas!D48</f>
        <v>T1059.009</v>
      </c>
      <c r="S13" s="8" t="s">
        <v>28</v>
      </c>
      <c r="T13" s="8" t="n">
        <v>3</v>
      </c>
      <c r="U13" s="4" t="n">
        <v>1</v>
      </c>
      <c r="V13" s="4" t="n">
        <f aca="false">IF(SPRV_Source_For_Formulas!G48&lt;=0.2,3,IF(SPRV_Source_For_Formulas!G48&lt;=0.5,2,1))</f>
        <v>3</v>
      </c>
      <c r="W13" s="4" t="n">
        <f aca="false">4-V13</f>
        <v>1</v>
      </c>
      <c r="X13" s="4" t="str">
        <f aca="false">IF(AND(T13=3,U13*W13&gt;=6),"A",IF(AND(T13=3,U13*W13&gt;=3),"B",IF(AND(T13=3,U13*W13&gt;=1),"C","")))</f>
        <v>C</v>
      </c>
      <c r="Y13" s="8" t="s">
        <v>29</v>
      </c>
      <c r="Z13" s="4" t="str">
        <f aca="false">SPRV_Source_For_Formulas!D49</f>
        <v>T1496.002</v>
      </c>
      <c r="AA13" s="5" t="s">
        <v>24</v>
      </c>
      <c r="AB13" s="8" t="n">
        <v>3</v>
      </c>
      <c r="AC13" s="4" t="n">
        <v>1</v>
      </c>
      <c r="AD13" s="4" t="n">
        <f aca="false">IF(SPRV_Source_For_Formulas!G49&lt;=0.2,3,IF(SPRV_Source_For_Formulas!G49&lt;=0.5,2,1))</f>
        <v>2</v>
      </c>
      <c r="AE13" s="4" t="n">
        <f aca="false">4-AD13</f>
        <v>2</v>
      </c>
      <c r="AF13" s="4" t="str">
        <f aca="false">IF(AND(AB13=3,AC13*AE13&gt;=6),"A",IF(AND(AB13=3,AC13*AE13&gt;=3),"B",IF(AND(AB13=3,AC13*AE13&gt;=1),"C","")))</f>
        <v>C</v>
      </c>
      <c r="AG13" s="8" t="s">
        <v>25</v>
      </c>
      <c r="AP13" s="7" t="n">
        <f aca="false">MAX(D13,L13,T13,AB13)</f>
        <v>3</v>
      </c>
      <c r="AQ13" s="7" t="n">
        <v>1</v>
      </c>
      <c r="AR13" s="7" t="n">
        <f aca="false">4-AS13</f>
        <v>1</v>
      </c>
      <c r="AS13" s="10" t="n">
        <f aca="false">MAX(F13,N13,V13,AD13)</f>
        <v>3</v>
      </c>
      <c r="AT13" s="7" t="str">
        <f aca="false">IF(AND(AP13=3,AQ13*AR13&gt;=6),"A",IF(AND(AP13=3,AQ13*AR13&gt;=3),"B",IF(AND(AP13=3,AQ13*AR13&gt;=1),"C","")))</f>
        <v>C</v>
      </c>
      <c r="AU13" s="4" t="str">
        <f aca="false">"Scenario-level Threat=1; Step1="&amp;H13&amp;" Step2="&amp;P13&amp;" Step3="&amp;X13&amp;" Step4="&amp;AF13&amp;" ; Overall Threat fixed=1, Max Mitigation="&amp;AS13&amp;" =&gt; Overall="&amp;AT13</f>
        <v>Scenario-level Threat=1; Step1=C Step2=C Step3=C Step4=C ; Overall Threat fixed=1, Max Mitigation=3 =&gt; Overall=C</v>
      </c>
      <c r="AV13" s="11"/>
      <c r="AW13" s="11"/>
      <c r="AX13" s="11"/>
    </row>
    <row r="14" customFormat="false" ht="19.5" hidden="true" customHeight="true" outlineLevel="0" collapsed="false">
      <c r="A14" s="4" t="str">
        <f aca="false">SPRV_Source_For_Formulas!D50</f>
        <v>T1189</v>
      </c>
      <c r="B14" s="5" t="s">
        <v>12</v>
      </c>
      <c r="C14" s="6"/>
      <c r="D14" s="8" t="n">
        <v>3</v>
      </c>
      <c r="E14" s="4" t="n">
        <v>1</v>
      </c>
      <c r="F14" s="4" t="n">
        <f aca="false">IF(SPRV_Source_For_Formulas!G50&lt;=0.2,3,IF(SPRV_Source_For_Formulas!G50&lt;=0.5,2,1))</f>
        <v>3</v>
      </c>
      <c r="G14" s="4" t="n">
        <f aca="false">4-F14</f>
        <v>1</v>
      </c>
      <c r="H14" s="7" t="str">
        <f aca="false">IF(AND(D14=3,E14*G14&gt;=6),"A",IF(AND(D14=3,E14*G14&gt;=3),"B",IF(AND(D14=3,E14*G14&gt;=1),"C","")))</f>
        <v>C</v>
      </c>
      <c r="I14" s="8" t="s">
        <v>13</v>
      </c>
      <c r="J14" s="4" t="str">
        <f aca="false">SPRV_Source_For_Formulas!D51</f>
        <v>T1578.002</v>
      </c>
      <c r="K14" s="5" t="s">
        <v>14</v>
      </c>
      <c r="L14" s="8" t="n">
        <v>3</v>
      </c>
      <c r="M14" s="4" t="n">
        <v>1</v>
      </c>
      <c r="N14" s="4" t="n">
        <f aca="false">IF(SPRV_Source_For_Formulas!G51&lt;=0.2,3,IF(SPRV_Source_For_Formulas!G51&lt;=0.5,2,1))</f>
        <v>2</v>
      </c>
      <c r="O14" s="4" t="n">
        <f aca="false">4-N14</f>
        <v>2</v>
      </c>
      <c r="P14" s="4" t="str">
        <f aca="false">IF(AND(L14=3,M14*O14&gt;=6),"A",IF(AND(L14=3,M14*O14&gt;=3),"B",IF(AND(L14=3,M14*O14&gt;=1),"C","")))</f>
        <v>C</v>
      </c>
      <c r="Q14" s="5" t="s">
        <v>15</v>
      </c>
      <c r="R14" s="4" t="str">
        <f aca="false">SPRV_Source_For_Formulas!D52</f>
        <v>T1484.002</v>
      </c>
      <c r="S14" s="8" t="s">
        <v>30</v>
      </c>
      <c r="T14" s="8" t="n">
        <v>3</v>
      </c>
      <c r="U14" s="4" t="n">
        <v>1</v>
      </c>
      <c r="V14" s="4" t="n">
        <f aca="false">IF(SPRV_Source_For_Formulas!G52&lt;=0.2,3,IF(SPRV_Source_For_Formulas!G52&lt;=0.5,2,1))</f>
        <v>3</v>
      </c>
      <c r="W14" s="4" t="n">
        <f aca="false">4-V14</f>
        <v>1</v>
      </c>
      <c r="X14" s="4" t="str">
        <f aca="false">IF(AND(T14=3,U14*W14&gt;=6),"A",IF(AND(T14=3,U14*W14&gt;=3),"B",IF(AND(T14=3,U14*W14&gt;=1),"C","")))</f>
        <v>C</v>
      </c>
      <c r="Y14" s="8" t="s">
        <v>31</v>
      </c>
      <c r="Z14" s="4" t="str">
        <f aca="false">SPRV_Source_For_Formulas!D53</f>
        <v>T1486</v>
      </c>
      <c r="AA14" s="5" t="s">
        <v>18</v>
      </c>
      <c r="AB14" s="8" t="n">
        <v>3</v>
      </c>
      <c r="AC14" s="4" t="n">
        <v>1</v>
      </c>
      <c r="AD14" s="4" t="n">
        <f aca="false">IF(SPRV_Source_For_Formulas!G53&lt;=0.2,3,IF(SPRV_Source_For_Formulas!G53&lt;=0.5,2,1))</f>
        <v>3</v>
      </c>
      <c r="AE14" s="4" t="n">
        <f aca="false">4-AD14</f>
        <v>1</v>
      </c>
      <c r="AF14" s="4" t="str">
        <f aca="false">IF(AND(AB14=3,AC14*AE14&gt;=6),"A",IF(AND(AB14=3,AC14*AE14&gt;=3),"B",IF(AND(AB14=3,AC14*AE14&gt;=1),"C","")))</f>
        <v>C</v>
      </c>
      <c r="AG14" s="9" t="s">
        <v>19</v>
      </c>
      <c r="AP14" s="7" t="n">
        <f aca="false">MAX(D14,L14,T14,AB14)</f>
        <v>3</v>
      </c>
      <c r="AQ14" s="7" t="n">
        <v>1</v>
      </c>
      <c r="AR14" s="7" t="n">
        <f aca="false">4-AS14</f>
        <v>1</v>
      </c>
      <c r="AS14" s="10" t="n">
        <f aca="false">MAX(F14,N14,V14,AD14)</f>
        <v>3</v>
      </c>
      <c r="AT14" s="7" t="str">
        <f aca="false">IF(AND(AP14=3,AQ14*AR14&gt;=6),"A",IF(AND(AP14=3,AQ14*AR14&gt;=3),"B",IF(AND(AP14=3,AQ14*AR14&gt;=1),"C","")))</f>
        <v>C</v>
      </c>
      <c r="AU14" s="4" t="str">
        <f aca="false">"Scenario-level Threat=1; Step1="&amp;H14&amp;" Step2="&amp;P14&amp;" Step3="&amp;X14&amp;" Step4="&amp;AF14&amp;" ; Overall Threat fixed=1, Max Mitigation="&amp;AS14&amp;" =&gt; Overall="&amp;AT14</f>
        <v>Scenario-level Threat=1; Step1=C Step2=C Step3=C Step4=C ; Overall Threat fixed=1, Max Mitigation=3 =&gt; Overall=C</v>
      </c>
      <c r="AV14" s="11"/>
      <c r="AW14" s="11"/>
      <c r="AX14" s="11"/>
    </row>
    <row r="15" customFormat="false" ht="19.5" hidden="false" customHeight="true" outlineLevel="0" collapsed="false">
      <c r="A15" s="4" t="str">
        <f aca="false">SPRV_Source_For_Formulas!D54</f>
        <v>T1189</v>
      </c>
      <c r="B15" s="5" t="s">
        <v>12</v>
      </c>
      <c r="C15" s="6"/>
      <c r="D15" s="8" t="n">
        <v>3</v>
      </c>
      <c r="E15" s="4" t="n">
        <v>1</v>
      </c>
      <c r="F15" s="4" t="n">
        <f aca="false">IF(SPRV_Source_For_Formulas!G54&lt;=0.2,3,IF(SPRV_Source_For_Formulas!G54&lt;=0.5,2,1))</f>
        <v>3</v>
      </c>
      <c r="G15" s="4" t="n">
        <f aca="false">4-F15</f>
        <v>1</v>
      </c>
      <c r="H15" s="7" t="str">
        <f aca="false">IF(AND(D15=3,E15*G15&gt;=6),"A",IF(AND(D15=3,E15*G15&gt;=3),"B",IF(AND(D15=3,E15*G15&gt;=1),"C","")))</f>
        <v>C</v>
      </c>
      <c r="I15" s="8" t="s">
        <v>13</v>
      </c>
      <c r="J15" s="4" t="str">
        <f aca="false">SPRV_Source_For_Formulas!D55</f>
        <v>T1578.002</v>
      </c>
      <c r="K15" s="5" t="s">
        <v>14</v>
      </c>
      <c r="L15" s="8" t="n">
        <v>3</v>
      </c>
      <c r="M15" s="4" t="n">
        <v>1</v>
      </c>
      <c r="N15" s="4" t="n">
        <f aca="false">IF(SPRV_Source_For_Formulas!G55&lt;=0.2,3,IF(SPRV_Source_For_Formulas!G55&lt;=0.5,2,1))</f>
        <v>2</v>
      </c>
      <c r="O15" s="4" t="n">
        <f aca="false">4-N15</f>
        <v>2</v>
      </c>
      <c r="P15" s="4" t="str">
        <f aca="false">IF(AND(L15=3,M15*O15&gt;=6),"A",IF(AND(L15=3,M15*O15&gt;=3),"B",IF(AND(L15=3,M15*O15&gt;=1),"C","")))</f>
        <v>C</v>
      </c>
      <c r="Q15" s="5" t="s">
        <v>15</v>
      </c>
      <c r="R15" s="4" t="str">
        <f aca="false">SPRV_Source_For_Formulas!D56</f>
        <v>T1484.002</v>
      </c>
      <c r="S15" s="8" t="s">
        <v>30</v>
      </c>
      <c r="T15" s="8" t="n">
        <v>3</v>
      </c>
      <c r="U15" s="4" t="n">
        <v>1</v>
      </c>
      <c r="V15" s="4" t="n">
        <f aca="false">IF(SPRV_Source_For_Formulas!G56&lt;=0.2,3,IF(SPRV_Source_For_Formulas!G56&lt;=0.5,2,1))</f>
        <v>3</v>
      </c>
      <c r="W15" s="4" t="n">
        <f aca="false">4-V15</f>
        <v>1</v>
      </c>
      <c r="X15" s="4" t="str">
        <f aca="false">IF(AND(T15=3,U15*W15&gt;=6),"A",IF(AND(T15=3,U15*W15&gt;=3),"B",IF(AND(T15=3,U15*W15&gt;=1),"C","")))</f>
        <v>C</v>
      </c>
      <c r="Y15" s="8" t="s">
        <v>31</v>
      </c>
      <c r="Z15" s="4" t="str">
        <f aca="false">SPRV_Source_For_Formulas!D57</f>
        <v>T1496.001</v>
      </c>
      <c r="AA15" s="5" t="s">
        <v>20</v>
      </c>
      <c r="AB15" s="8" t="n">
        <v>3</v>
      </c>
      <c r="AC15" s="4" t="n">
        <v>1</v>
      </c>
      <c r="AD15" s="4" t="n">
        <f aca="false">IF(SPRV_Source_For_Formulas!G57&lt;=0.2,3,IF(SPRV_Source_For_Formulas!G57&lt;=0.5,2,1))</f>
        <v>2</v>
      </c>
      <c r="AE15" s="4" t="n">
        <f aca="false">4-AD15</f>
        <v>2</v>
      </c>
      <c r="AF15" s="4" t="str">
        <f aca="false">IF(AND(AB15=3,AC15*AE15&gt;=6),"A",IF(AND(AB15=3,AC15*AE15&gt;=3),"B",IF(AND(AB15=3,AC15*AE15&gt;=1),"C","")))</f>
        <v>C</v>
      </c>
      <c r="AG15" s="12" t="s">
        <v>21</v>
      </c>
      <c r="AP15" s="7" t="n">
        <f aca="false">MAX(D15,L15,T15,AB15)</f>
        <v>3</v>
      </c>
      <c r="AQ15" s="7" t="n">
        <v>1</v>
      </c>
      <c r="AR15" s="7" t="n">
        <f aca="false">4-AS15</f>
        <v>1</v>
      </c>
      <c r="AS15" s="10" t="n">
        <f aca="false">MAX(F15,N15,V15,AD15)</f>
        <v>3</v>
      </c>
      <c r="AT15" s="7" t="str">
        <f aca="false">IF(AND(AP15=3,AQ15*AR15&gt;=6),"A",IF(AND(AP15=3,AQ15*AR15&gt;=3),"B",IF(AND(AP15=3,AQ15*AR15&gt;=1),"C","")))</f>
        <v>C</v>
      </c>
      <c r="AU15" s="4" t="str">
        <f aca="false">"Scenario-level Threat=1; Step1="&amp;H15&amp;" Step2="&amp;P15&amp;" Step3="&amp;X15&amp;" Step4="&amp;AF15&amp;" ; Overall Threat fixed=1, Max Mitigation="&amp;AS15&amp;" =&gt; Overall="&amp;AT15</f>
        <v>Scenario-level Threat=1; Step1=C Step2=C Step3=C Step4=C ; Overall Threat fixed=1, Max Mitigation=3 =&gt; Overall=C</v>
      </c>
      <c r="AV15" s="11"/>
      <c r="AW15" s="11"/>
      <c r="AX15" s="11"/>
    </row>
    <row r="16" customFormat="false" ht="18" hidden="true" customHeight="false" outlineLevel="0" collapsed="false">
      <c r="A16" s="4" t="str">
        <f aca="false">SPRV_Source_For_Formulas!D58</f>
        <v>T1189</v>
      </c>
      <c r="B16" s="5" t="s">
        <v>12</v>
      </c>
      <c r="C16" s="6"/>
      <c r="D16" s="8" t="n">
        <v>3</v>
      </c>
      <c r="E16" s="4" t="n">
        <v>1</v>
      </c>
      <c r="F16" s="4" t="n">
        <f aca="false">IF(SPRV_Source_For_Formulas!G58&lt;=0.2,3,IF(SPRV_Source_For_Formulas!G58&lt;=0.5,2,1))</f>
        <v>3</v>
      </c>
      <c r="G16" s="4" t="n">
        <f aca="false">4-F16</f>
        <v>1</v>
      </c>
      <c r="H16" s="7" t="str">
        <f aca="false">IF(AND(D16=3,E16*G16&gt;=6),"A",IF(AND(D16=3,E16*G16&gt;=3),"B",IF(AND(D16=3,E16*G16&gt;=1),"C","")))</f>
        <v>C</v>
      </c>
      <c r="I16" s="8" t="s">
        <v>13</v>
      </c>
      <c r="J16" s="4" t="str">
        <f aca="false">SPRV_Source_For_Formulas!D59</f>
        <v>T1578.002</v>
      </c>
      <c r="K16" s="5" t="s">
        <v>14</v>
      </c>
      <c r="L16" s="8" t="n">
        <v>3</v>
      </c>
      <c r="M16" s="4" t="n">
        <v>1</v>
      </c>
      <c r="N16" s="4" t="n">
        <f aca="false">IF(SPRV_Source_For_Formulas!G59&lt;=0.2,3,IF(SPRV_Source_For_Formulas!G59&lt;=0.5,2,1))</f>
        <v>2</v>
      </c>
      <c r="O16" s="4" t="n">
        <f aca="false">4-N16</f>
        <v>2</v>
      </c>
      <c r="P16" s="4" t="str">
        <f aca="false">IF(AND(L16=3,M16*O16&gt;=6),"A",IF(AND(L16=3,M16*O16&gt;=3),"B",IF(AND(L16=3,M16*O16&gt;=1),"C","")))</f>
        <v>C</v>
      </c>
      <c r="Q16" s="5" t="s">
        <v>15</v>
      </c>
      <c r="R16" s="4" t="str">
        <f aca="false">SPRV_Source_For_Formulas!D60</f>
        <v>T1484.002</v>
      </c>
      <c r="S16" s="8" t="s">
        <v>30</v>
      </c>
      <c r="T16" s="8" t="n">
        <v>3</v>
      </c>
      <c r="U16" s="4" t="n">
        <v>1</v>
      </c>
      <c r="V16" s="4" t="n">
        <f aca="false">IF(SPRV_Source_For_Formulas!G60&lt;=0.2,3,IF(SPRV_Source_For_Formulas!G60&lt;=0.5,2,1))</f>
        <v>3</v>
      </c>
      <c r="W16" s="4" t="n">
        <f aca="false">4-V16</f>
        <v>1</v>
      </c>
      <c r="X16" s="4" t="str">
        <f aca="false">IF(AND(T16=3,U16*W16&gt;=6),"A",IF(AND(T16=3,U16*W16&gt;=3),"B",IF(AND(T16=3,U16*W16&gt;=1),"C","")))</f>
        <v>C</v>
      </c>
      <c r="Y16" s="8" t="s">
        <v>31</v>
      </c>
      <c r="Z16" s="4" t="str">
        <f aca="false">SPRV_Source_For_Formulas!D61</f>
        <v>T1496.004</v>
      </c>
      <c r="AA16" s="5" t="s">
        <v>22</v>
      </c>
      <c r="AB16" s="8" t="n">
        <v>3</v>
      </c>
      <c r="AC16" s="4" t="n">
        <v>1</v>
      </c>
      <c r="AD16" s="4" t="n">
        <f aca="false">IF(SPRV_Source_For_Formulas!G61&lt;=0.2,3,IF(SPRV_Source_For_Formulas!G61&lt;=0.5,2,1))</f>
        <v>2</v>
      </c>
      <c r="AE16" s="4" t="n">
        <f aca="false">4-AD16</f>
        <v>2</v>
      </c>
      <c r="AF16" s="4" t="str">
        <f aca="false">IF(AND(AB16=3,AC16*AE16&gt;=6),"A",IF(AND(AB16=3,AC16*AE16&gt;=3),"B",IF(AND(AB16=3,AC16*AE16&gt;=1),"C","")))</f>
        <v>C</v>
      </c>
      <c r="AG16" s="8" t="s">
        <v>23</v>
      </c>
      <c r="AP16" s="7" t="n">
        <f aca="false">MAX(D16,L16,T16,AB16)</f>
        <v>3</v>
      </c>
      <c r="AQ16" s="7" t="n">
        <v>1</v>
      </c>
      <c r="AR16" s="7" t="n">
        <f aca="false">4-AS16</f>
        <v>1</v>
      </c>
      <c r="AS16" s="10" t="n">
        <f aca="false">MAX(F16,N16,V16,AD16)</f>
        <v>3</v>
      </c>
      <c r="AT16" s="7" t="str">
        <f aca="false">IF(AND(AP16=3,AQ16*AR16&gt;=6),"A",IF(AND(AP16=3,AQ16*AR16&gt;=3),"B",IF(AND(AP16=3,AQ16*AR16&gt;=1),"C","")))</f>
        <v>C</v>
      </c>
      <c r="AU16" s="4" t="str">
        <f aca="false">"Scenario-level Threat=1; Step1="&amp;H16&amp;" Step2="&amp;P16&amp;" Step3="&amp;X16&amp;" Step4="&amp;AF16&amp;" ; Overall Threat fixed=1, Max Mitigation="&amp;AS16&amp;" =&gt; Overall="&amp;AT16</f>
        <v>Scenario-level Threat=1; Step1=C Step2=C Step3=C Step4=C ; Overall Threat fixed=1, Max Mitigation=3 =&gt; Overall=C</v>
      </c>
      <c r="AV16" s="11"/>
      <c r="AW16" s="11"/>
      <c r="AX16" s="11"/>
    </row>
    <row r="17" customFormat="false" ht="18" hidden="true" customHeight="false" outlineLevel="0" collapsed="false">
      <c r="A17" s="4" t="str">
        <f aca="false">SPRV_Source_For_Formulas!D62</f>
        <v>T1189</v>
      </c>
      <c r="B17" s="5" t="s">
        <v>12</v>
      </c>
      <c r="C17" s="6"/>
      <c r="D17" s="8" t="n">
        <v>3</v>
      </c>
      <c r="E17" s="4" t="n">
        <v>1</v>
      </c>
      <c r="F17" s="4" t="n">
        <f aca="false">IF(SPRV_Source_For_Formulas!G62&lt;=0.2,3,IF(SPRV_Source_For_Formulas!G62&lt;=0.5,2,1))</f>
        <v>3</v>
      </c>
      <c r="G17" s="4" t="n">
        <f aca="false">4-F17</f>
        <v>1</v>
      </c>
      <c r="H17" s="7" t="str">
        <f aca="false">IF(AND(D17=3,E17*G17&gt;=6),"A",IF(AND(D17=3,E17*G17&gt;=3),"B",IF(AND(D17=3,E17*G17&gt;=1),"C","")))</f>
        <v>C</v>
      </c>
      <c r="I17" s="8" t="s">
        <v>13</v>
      </c>
      <c r="J17" s="4" t="str">
        <f aca="false">SPRV_Source_For_Formulas!D63</f>
        <v>T1578.002</v>
      </c>
      <c r="K17" s="5" t="s">
        <v>14</v>
      </c>
      <c r="L17" s="8" t="n">
        <v>3</v>
      </c>
      <c r="M17" s="4" t="n">
        <v>1</v>
      </c>
      <c r="N17" s="4" t="n">
        <f aca="false">IF(SPRV_Source_For_Formulas!G63&lt;=0.2,3,IF(SPRV_Source_For_Formulas!G63&lt;=0.5,2,1))</f>
        <v>2</v>
      </c>
      <c r="O17" s="4" t="n">
        <f aca="false">4-N17</f>
        <v>2</v>
      </c>
      <c r="P17" s="4" t="str">
        <f aca="false">IF(AND(L17=3,M17*O17&gt;=6),"A",IF(AND(L17=3,M17*O17&gt;=3),"B",IF(AND(L17=3,M17*O17&gt;=1),"C","")))</f>
        <v>C</v>
      </c>
      <c r="Q17" s="5" t="s">
        <v>15</v>
      </c>
      <c r="R17" s="4" t="str">
        <f aca="false">SPRV_Source_For_Formulas!D64</f>
        <v>T1484.002</v>
      </c>
      <c r="S17" s="8" t="s">
        <v>30</v>
      </c>
      <c r="T17" s="8" t="n">
        <v>3</v>
      </c>
      <c r="U17" s="4" t="n">
        <v>1</v>
      </c>
      <c r="V17" s="4" t="n">
        <f aca="false">IF(SPRV_Source_For_Formulas!G64&lt;=0.2,3,IF(SPRV_Source_For_Formulas!G64&lt;=0.5,2,1))</f>
        <v>3</v>
      </c>
      <c r="W17" s="4" t="n">
        <f aca="false">4-V17</f>
        <v>1</v>
      </c>
      <c r="X17" s="4" t="str">
        <f aca="false">IF(AND(T17=3,U17*W17&gt;=6),"A",IF(AND(T17=3,U17*W17&gt;=3),"B",IF(AND(T17=3,U17*W17&gt;=1),"C","")))</f>
        <v>C</v>
      </c>
      <c r="Y17" s="8" t="s">
        <v>31</v>
      </c>
      <c r="Z17" s="4" t="str">
        <f aca="false">SPRV_Source_For_Formulas!D65</f>
        <v>T1496.002</v>
      </c>
      <c r="AA17" s="5" t="s">
        <v>24</v>
      </c>
      <c r="AB17" s="8" t="n">
        <v>3</v>
      </c>
      <c r="AC17" s="4" t="n">
        <v>1</v>
      </c>
      <c r="AD17" s="4" t="n">
        <f aca="false">IF(SPRV_Source_For_Formulas!G65&lt;=0.2,3,IF(SPRV_Source_For_Formulas!G65&lt;=0.5,2,1))</f>
        <v>2</v>
      </c>
      <c r="AE17" s="4" t="n">
        <f aca="false">4-AD17</f>
        <v>2</v>
      </c>
      <c r="AF17" s="4" t="str">
        <f aca="false">IF(AND(AB17=3,AC17*AE17&gt;=6),"A",IF(AND(AB17=3,AC17*AE17&gt;=3),"B",IF(AND(AB17=3,AC17*AE17&gt;=1),"C","")))</f>
        <v>C</v>
      </c>
      <c r="AG17" s="8" t="s">
        <v>25</v>
      </c>
      <c r="AP17" s="7" t="n">
        <f aca="false">MAX(D17,L17,T17,AB17)</f>
        <v>3</v>
      </c>
      <c r="AQ17" s="7" t="n">
        <v>1</v>
      </c>
      <c r="AR17" s="7" t="n">
        <f aca="false">4-AS17</f>
        <v>1</v>
      </c>
      <c r="AS17" s="10" t="n">
        <f aca="false">MAX(F17,N17,V17,AD17)</f>
        <v>3</v>
      </c>
      <c r="AT17" s="7" t="str">
        <f aca="false">IF(AND(AP17=3,AQ17*AR17&gt;=6),"A",IF(AND(AP17=3,AQ17*AR17&gt;=3),"B",IF(AND(AP17=3,AQ17*AR17&gt;=1),"C","")))</f>
        <v>C</v>
      </c>
      <c r="AU17" s="4" t="str">
        <f aca="false">"Scenario-level Threat=1; Step1="&amp;H17&amp;" Step2="&amp;P17&amp;" Step3="&amp;X17&amp;" Step4="&amp;AF17&amp;" ; Overall Threat fixed=1, Max Mitigation="&amp;AS17&amp;" =&gt; Overall="&amp;AT17</f>
        <v>Scenario-level Threat=1; Step1=C Step2=C Step3=C Step4=C ; Overall Threat fixed=1, Max Mitigation=3 =&gt; Overall=C</v>
      </c>
      <c r="AV17" s="11"/>
      <c r="AW17" s="11"/>
      <c r="AX17" s="11"/>
    </row>
    <row r="18" customFormat="false" ht="19.5" hidden="true" customHeight="true" outlineLevel="0" collapsed="false">
      <c r="A18" s="4" t="str">
        <f aca="false">SPRV_Source_For_Formulas!D66</f>
        <v>T1189</v>
      </c>
      <c r="B18" s="5" t="s">
        <v>12</v>
      </c>
      <c r="C18" s="6"/>
      <c r="D18" s="8" t="n">
        <v>3</v>
      </c>
      <c r="E18" s="4" t="n">
        <v>1</v>
      </c>
      <c r="F18" s="4" t="n">
        <f aca="false">IF(SPRV_Source_For_Formulas!G66&lt;=0.2,3,IF(SPRV_Source_For_Formulas!G66&lt;=0.5,2,1))</f>
        <v>3</v>
      </c>
      <c r="G18" s="4" t="n">
        <f aca="false">4-F18</f>
        <v>1</v>
      </c>
      <c r="H18" s="7" t="str">
        <f aca="false">IF(AND(D18=3,E18*G18&gt;=6),"A",IF(AND(D18=3,E18*G18&gt;=3),"B",IF(AND(D18=3,E18*G18&gt;=1),"C","")))</f>
        <v>C</v>
      </c>
      <c r="I18" s="8" t="s">
        <v>13</v>
      </c>
      <c r="J18" s="4" t="str">
        <f aca="false">SPRV_Source_For_Formulas!D67</f>
        <v>T1021.007</v>
      </c>
      <c r="K18" s="5" t="s">
        <v>32</v>
      </c>
      <c r="L18" s="8" t="n">
        <v>3</v>
      </c>
      <c r="M18" s="4" t="n">
        <v>1</v>
      </c>
      <c r="N18" s="4" t="n">
        <f aca="false">IF(SPRV_Source_For_Formulas!G67&lt;=0.2,3,IF(SPRV_Source_For_Formulas!G67&lt;=0.5,2,1))</f>
        <v>3</v>
      </c>
      <c r="O18" s="4" t="n">
        <f aca="false">4-N18</f>
        <v>1</v>
      </c>
      <c r="P18" s="4" t="str">
        <f aca="false">IF(AND(L18=3,M18*O18&gt;=6),"A",IF(AND(L18=3,M18*O18&gt;=3),"B",IF(AND(L18=3,M18*O18&gt;=1),"C","")))</f>
        <v>C</v>
      </c>
      <c r="Q18" s="5" t="s">
        <v>33</v>
      </c>
      <c r="R18" s="4" t="str">
        <f aca="false">SPRV_Source_For_Formulas!D68</f>
        <v>T1651</v>
      </c>
      <c r="S18" s="5" t="s">
        <v>16</v>
      </c>
      <c r="T18" s="8" t="n">
        <v>3</v>
      </c>
      <c r="U18" s="4" t="n">
        <v>1</v>
      </c>
      <c r="V18" s="4" t="n">
        <f aca="false">IF(SPRV_Source_For_Formulas!G68&lt;=0.2,3,IF(SPRV_Source_For_Formulas!G68&lt;=0.5,2,1))</f>
        <v>3</v>
      </c>
      <c r="W18" s="4" t="n">
        <f aca="false">4-V18</f>
        <v>1</v>
      </c>
      <c r="X18" s="4" t="str">
        <f aca="false">IF(AND(T18=3,U18*W18&gt;=6),"A",IF(AND(T18=3,U18*W18&gt;=3),"B",IF(AND(T18=3,U18*W18&gt;=1),"C","")))</f>
        <v>C</v>
      </c>
      <c r="Y18" s="8" t="s">
        <v>17</v>
      </c>
      <c r="Z18" s="4" t="str">
        <f aca="false">SPRV_Source_For_Formulas!D69</f>
        <v>T1486</v>
      </c>
      <c r="AA18" s="5" t="s">
        <v>18</v>
      </c>
      <c r="AB18" s="8" t="n">
        <v>3</v>
      </c>
      <c r="AC18" s="4" t="n">
        <v>1</v>
      </c>
      <c r="AD18" s="4" t="n">
        <f aca="false">IF(SPRV_Source_For_Formulas!G69&lt;=0.2,3,IF(SPRV_Source_For_Formulas!G69&lt;=0.5,2,1))</f>
        <v>3</v>
      </c>
      <c r="AE18" s="4" t="n">
        <f aca="false">4-AD18</f>
        <v>1</v>
      </c>
      <c r="AF18" s="4" t="str">
        <f aca="false">IF(AND(AB18=3,AC18*AE18&gt;=6),"A",IF(AND(AB18=3,AC18*AE18&gt;=3),"B",IF(AND(AB18=3,AC18*AE18&gt;=1),"C","")))</f>
        <v>C</v>
      </c>
      <c r="AG18" s="9" t="s">
        <v>19</v>
      </c>
      <c r="AP18" s="7" t="n">
        <f aca="false">MAX(D18,L18,T18,AB18)</f>
        <v>3</v>
      </c>
      <c r="AQ18" s="7" t="n">
        <v>1</v>
      </c>
      <c r="AR18" s="7" t="n">
        <f aca="false">4-AS18</f>
        <v>1</v>
      </c>
      <c r="AS18" s="10" t="n">
        <f aca="false">MAX(F18,N18,V18,AD18)</f>
        <v>3</v>
      </c>
      <c r="AT18" s="7" t="str">
        <f aca="false">IF(AND(AP18=3,AQ18*AR18&gt;=6),"A",IF(AND(AP18=3,AQ18*AR18&gt;=3),"B",IF(AND(AP18=3,AQ18*AR18&gt;=1),"C","")))</f>
        <v>C</v>
      </c>
      <c r="AU18" s="4" t="str">
        <f aca="false">"Scenario-level Threat=1; Step1="&amp;H18&amp;" Step2="&amp;P18&amp;" Step3="&amp;X18&amp;" Step4="&amp;AF18&amp;" ; Overall Threat fixed=1, Max Mitigation="&amp;AS18&amp;" =&gt; Overall="&amp;AT18</f>
        <v>Scenario-level Threat=1; Step1=C Step2=C Step3=C Step4=C ; Overall Threat fixed=1, Max Mitigation=3 =&gt; Overall=C</v>
      </c>
      <c r="AV18" s="11"/>
      <c r="AW18" s="11"/>
      <c r="AX18" s="11"/>
    </row>
    <row r="19" customFormat="false" ht="19.5" hidden="false" customHeight="true" outlineLevel="0" collapsed="false">
      <c r="A19" s="4" t="str">
        <f aca="false">SPRV_Source_For_Formulas!D70</f>
        <v>T1189</v>
      </c>
      <c r="B19" s="5" t="s">
        <v>12</v>
      </c>
      <c r="C19" s="6"/>
      <c r="D19" s="8" t="n">
        <v>3</v>
      </c>
      <c r="E19" s="4" t="n">
        <v>1</v>
      </c>
      <c r="F19" s="4" t="n">
        <f aca="false">IF(SPRV_Source_For_Formulas!G70&lt;=0.2,3,IF(SPRV_Source_For_Formulas!G70&lt;=0.5,2,1))</f>
        <v>3</v>
      </c>
      <c r="G19" s="4" t="n">
        <f aca="false">4-F19</f>
        <v>1</v>
      </c>
      <c r="H19" s="7" t="str">
        <f aca="false">IF(AND(D19=3,E19*G19&gt;=6),"A",IF(AND(D19=3,E19*G19&gt;=3),"B",IF(AND(D19=3,E19*G19&gt;=1),"C","")))</f>
        <v>C</v>
      </c>
      <c r="I19" s="8" t="s">
        <v>13</v>
      </c>
      <c r="J19" s="4" t="str">
        <f aca="false">SPRV_Source_For_Formulas!D71</f>
        <v>T1021.007</v>
      </c>
      <c r="K19" s="5" t="s">
        <v>32</v>
      </c>
      <c r="L19" s="8" t="n">
        <v>3</v>
      </c>
      <c r="M19" s="4" t="n">
        <v>1</v>
      </c>
      <c r="N19" s="4" t="n">
        <f aca="false">IF(SPRV_Source_For_Formulas!G71&lt;=0.2,3,IF(SPRV_Source_For_Formulas!G71&lt;=0.5,2,1))</f>
        <v>3</v>
      </c>
      <c r="O19" s="4" t="n">
        <f aca="false">4-N19</f>
        <v>1</v>
      </c>
      <c r="P19" s="4" t="str">
        <f aca="false">IF(AND(L19=3,M19*O19&gt;=6),"A",IF(AND(L19=3,M19*O19&gt;=3),"B",IF(AND(L19=3,M19*O19&gt;=1),"C","")))</f>
        <v>C</v>
      </c>
      <c r="Q19" s="5" t="s">
        <v>33</v>
      </c>
      <c r="R19" s="4" t="str">
        <f aca="false">SPRV_Source_For_Formulas!D72</f>
        <v>T1651</v>
      </c>
      <c r="S19" s="5" t="s">
        <v>16</v>
      </c>
      <c r="T19" s="8" t="n">
        <v>3</v>
      </c>
      <c r="U19" s="4" t="n">
        <v>1</v>
      </c>
      <c r="V19" s="4" t="n">
        <f aca="false">IF(SPRV_Source_For_Formulas!G72&lt;=0.2,3,IF(SPRV_Source_For_Formulas!G72&lt;=0.5,2,1))</f>
        <v>3</v>
      </c>
      <c r="W19" s="4" t="n">
        <f aca="false">4-V19</f>
        <v>1</v>
      </c>
      <c r="X19" s="4" t="str">
        <f aca="false">IF(AND(T19=3,U19*W19&gt;=6),"A",IF(AND(T19=3,U19*W19&gt;=3),"B",IF(AND(T19=3,U19*W19&gt;=1),"C","")))</f>
        <v>C</v>
      </c>
      <c r="Y19" s="8" t="s">
        <v>17</v>
      </c>
      <c r="Z19" s="4" t="str">
        <f aca="false">SPRV_Source_For_Formulas!D73</f>
        <v>T1496.001</v>
      </c>
      <c r="AA19" s="5" t="s">
        <v>20</v>
      </c>
      <c r="AB19" s="8" t="n">
        <v>3</v>
      </c>
      <c r="AC19" s="4" t="n">
        <v>1</v>
      </c>
      <c r="AD19" s="4" t="n">
        <f aca="false">IF(SPRV_Source_For_Formulas!G73&lt;=0.2,3,IF(SPRV_Source_For_Formulas!G73&lt;=0.5,2,1))</f>
        <v>2</v>
      </c>
      <c r="AE19" s="4" t="n">
        <f aca="false">4-AD19</f>
        <v>2</v>
      </c>
      <c r="AF19" s="4" t="str">
        <f aca="false">IF(AND(AB19=3,AC19*AE19&gt;=6),"A",IF(AND(AB19=3,AC19*AE19&gt;=3),"B",IF(AND(AB19=3,AC19*AE19&gt;=1),"C","")))</f>
        <v>C</v>
      </c>
      <c r="AG19" s="12" t="s">
        <v>21</v>
      </c>
      <c r="AP19" s="7" t="n">
        <f aca="false">MAX(D19,L19,T19,AB19)</f>
        <v>3</v>
      </c>
      <c r="AQ19" s="7" t="n">
        <v>1</v>
      </c>
      <c r="AR19" s="7" t="n">
        <f aca="false">4-AS19</f>
        <v>1</v>
      </c>
      <c r="AS19" s="10" t="n">
        <f aca="false">MAX(F19,N19,V19,AD19)</f>
        <v>3</v>
      </c>
      <c r="AT19" s="7" t="str">
        <f aca="false">IF(AND(AP19=3,AQ19*AR19&gt;=6),"A",IF(AND(AP19=3,AQ19*AR19&gt;=3),"B",IF(AND(AP19=3,AQ19*AR19&gt;=1),"C","")))</f>
        <v>C</v>
      </c>
      <c r="AU19" s="4" t="str">
        <f aca="false">"Scenario-level Threat=1; Step1="&amp;H19&amp;" Step2="&amp;P19&amp;" Step3="&amp;X19&amp;" Step4="&amp;AF19&amp;" ; Overall Threat fixed=1, Max Mitigation="&amp;AS19&amp;" =&gt; Overall="&amp;AT19</f>
        <v>Scenario-level Threat=1; Step1=C Step2=C Step3=C Step4=C ; Overall Threat fixed=1, Max Mitigation=3 =&gt; Overall=C</v>
      </c>
      <c r="AV19" s="11"/>
      <c r="AW19" s="11"/>
      <c r="AX19" s="11"/>
    </row>
    <row r="20" customFormat="false" ht="18" hidden="true" customHeight="false" outlineLevel="0" collapsed="false">
      <c r="A20" s="4" t="str">
        <f aca="false">SPRV_Source_For_Formulas!D74</f>
        <v>T1189</v>
      </c>
      <c r="B20" s="5" t="s">
        <v>12</v>
      </c>
      <c r="C20" s="6"/>
      <c r="D20" s="8" t="n">
        <v>3</v>
      </c>
      <c r="E20" s="4" t="n">
        <v>1</v>
      </c>
      <c r="F20" s="4" t="n">
        <f aca="false">IF(SPRV_Source_For_Formulas!G74&lt;=0.2,3,IF(SPRV_Source_For_Formulas!G74&lt;=0.5,2,1))</f>
        <v>3</v>
      </c>
      <c r="G20" s="4" t="n">
        <f aca="false">4-F20</f>
        <v>1</v>
      </c>
      <c r="H20" s="7" t="str">
        <f aca="false">IF(AND(D20=3,E20*G20&gt;=6),"A",IF(AND(D20=3,E20*G20&gt;=3),"B",IF(AND(D20=3,E20*G20&gt;=1),"C","")))</f>
        <v>C</v>
      </c>
      <c r="I20" s="8" t="s">
        <v>13</v>
      </c>
      <c r="J20" s="4" t="str">
        <f aca="false">SPRV_Source_For_Formulas!D75</f>
        <v>T1021.007</v>
      </c>
      <c r="K20" s="5" t="s">
        <v>32</v>
      </c>
      <c r="L20" s="8" t="n">
        <v>3</v>
      </c>
      <c r="M20" s="4" t="n">
        <v>1</v>
      </c>
      <c r="N20" s="4" t="n">
        <f aca="false">IF(SPRV_Source_For_Formulas!G75&lt;=0.2,3,IF(SPRV_Source_For_Formulas!G75&lt;=0.5,2,1))</f>
        <v>3</v>
      </c>
      <c r="O20" s="4" t="n">
        <f aca="false">4-N20</f>
        <v>1</v>
      </c>
      <c r="P20" s="4" t="str">
        <f aca="false">IF(AND(L20=3,M20*O20&gt;=6),"A",IF(AND(L20=3,M20*O20&gt;=3),"B",IF(AND(L20=3,M20*O20&gt;=1),"C","")))</f>
        <v>C</v>
      </c>
      <c r="Q20" s="5" t="s">
        <v>33</v>
      </c>
      <c r="R20" s="4" t="str">
        <f aca="false">SPRV_Source_For_Formulas!D76</f>
        <v>T1651</v>
      </c>
      <c r="S20" s="5" t="s">
        <v>16</v>
      </c>
      <c r="T20" s="8" t="n">
        <v>3</v>
      </c>
      <c r="U20" s="4" t="n">
        <v>1</v>
      </c>
      <c r="V20" s="4" t="n">
        <f aca="false">IF(SPRV_Source_For_Formulas!G76&lt;=0.2,3,IF(SPRV_Source_For_Formulas!G76&lt;=0.5,2,1))</f>
        <v>3</v>
      </c>
      <c r="W20" s="4" t="n">
        <f aca="false">4-V20</f>
        <v>1</v>
      </c>
      <c r="X20" s="4" t="str">
        <f aca="false">IF(AND(T20=3,U20*W20&gt;=6),"A",IF(AND(T20=3,U20*W20&gt;=3),"B",IF(AND(T20=3,U20*W20&gt;=1),"C","")))</f>
        <v>C</v>
      </c>
      <c r="Y20" s="8" t="s">
        <v>17</v>
      </c>
      <c r="Z20" s="4" t="str">
        <f aca="false">SPRV_Source_For_Formulas!D77</f>
        <v>T1496.004</v>
      </c>
      <c r="AA20" s="5" t="s">
        <v>22</v>
      </c>
      <c r="AB20" s="8" t="n">
        <v>3</v>
      </c>
      <c r="AC20" s="4" t="n">
        <v>1</v>
      </c>
      <c r="AD20" s="4" t="n">
        <f aca="false">IF(SPRV_Source_For_Formulas!G77&lt;=0.2,3,IF(SPRV_Source_For_Formulas!G77&lt;=0.5,2,1))</f>
        <v>2</v>
      </c>
      <c r="AE20" s="4" t="n">
        <f aca="false">4-AD20</f>
        <v>2</v>
      </c>
      <c r="AF20" s="4" t="str">
        <f aca="false">IF(AND(AB20=3,AC20*AE20&gt;=6),"A",IF(AND(AB20=3,AC20*AE20&gt;=3),"B",IF(AND(AB20=3,AC20*AE20&gt;=1),"C","")))</f>
        <v>C</v>
      </c>
      <c r="AG20" s="8" t="s">
        <v>23</v>
      </c>
      <c r="AP20" s="7" t="n">
        <f aca="false">MAX(D20,L20,T20,AB20)</f>
        <v>3</v>
      </c>
      <c r="AQ20" s="7" t="n">
        <v>1</v>
      </c>
      <c r="AR20" s="7" t="n">
        <f aca="false">4-AS20</f>
        <v>1</v>
      </c>
      <c r="AS20" s="10" t="n">
        <f aca="false">MAX(F20,N20,V20,AD20)</f>
        <v>3</v>
      </c>
      <c r="AT20" s="7" t="str">
        <f aca="false">IF(AND(AP20=3,AQ20*AR20&gt;=6),"A",IF(AND(AP20=3,AQ20*AR20&gt;=3),"B",IF(AND(AP20=3,AQ20*AR20&gt;=1),"C","")))</f>
        <v>C</v>
      </c>
      <c r="AU20" s="4" t="str">
        <f aca="false">"Scenario-level Threat=1; Step1="&amp;H20&amp;" Step2="&amp;P20&amp;" Step3="&amp;X20&amp;" Step4="&amp;AF20&amp;" ; Overall Threat fixed=1, Max Mitigation="&amp;AS20&amp;" =&gt; Overall="&amp;AT20</f>
        <v>Scenario-level Threat=1; Step1=C Step2=C Step3=C Step4=C ; Overall Threat fixed=1, Max Mitigation=3 =&gt; Overall=C</v>
      </c>
      <c r="AV20" s="11"/>
      <c r="AW20" s="11"/>
      <c r="AX20" s="11"/>
    </row>
    <row r="21" customFormat="false" ht="18" hidden="true" customHeight="false" outlineLevel="0" collapsed="false">
      <c r="A21" s="4" t="str">
        <f aca="false">SPRV_Source_For_Formulas!D78</f>
        <v>T1189</v>
      </c>
      <c r="B21" s="5" t="s">
        <v>12</v>
      </c>
      <c r="C21" s="6"/>
      <c r="D21" s="8" t="n">
        <v>3</v>
      </c>
      <c r="E21" s="4" t="n">
        <v>1</v>
      </c>
      <c r="F21" s="4" t="n">
        <f aca="false">IF(SPRV_Source_For_Formulas!G78&lt;=0.2,3,IF(SPRV_Source_For_Formulas!G78&lt;=0.5,2,1))</f>
        <v>3</v>
      </c>
      <c r="G21" s="4" t="n">
        <f aca="false">4-F21</f>
        <v>1</v>
      </c>
      <c r="H21" s="7" t="str">
        <f aca="false">IF(AND(D21=3,E21*G21&gt;=6),"A",IF(AND(D21=3,E21*G21&gt;=3),"B",IF(AND(D21=3,E21*G21&gt;=1),"C","")))</f>
        <v>C</v>
      </c>
      <c r="I21" s="8" t="s">
        <v>13</v>
      </c>
      <c r="J21" s="4" t="str">
        <f aca="false">SPRV_Source_For_Formulas!D79</f>
        <v>T1021.007</v>
      </c>
      <c r="K21" s="5" t="s">
        <v>32</v>
      </c>
      <c r="L21" s="8" t="n">
        <v>3</v>
      </c>
      <c r="M21" s="4" t="n">
        <v>1</v>
      </c>
      <c r="N21" s="4" t="n">
        <f aca="false">IF(SPRV_Source_For_Formulas!G79&lt;=0.2,3,IF(SPRV_Source_For_Formulas!G79&lt;=0.5,2,1))</f>
        <v>3</v>
      </c>
      <c r="O21" s="4" t="n">
        <f aca="false">4-N21</f>
        <v>1</v>
      </c>
      <c r="P21" s="4" t="str">
        <f aca="false">IF(AND(L21=3,M21*O21&gt;=6),"A",IF(AND(L21=3,M21*O21&gt;=3),"B",IF(AND(L21=3,M21*O21&gt;=1),"C","")))</f>
        <v>C</v>
      </c>
      <c r="Q21" s="5" t="s">
        <v>33</v>
      </c>
      <c r="R21" s="4" t="str">
        <f aca="false">SPRV_Source_For_Formulas!D80</f>
        <v>T1651</v>
      </c>
      <c r="S21" s="5" t="s">
        <v>16</v>
      </c>
      <c r="T21" s="8" t="n">
        <v>3</v>
      </c>
      <c r="U21" s="4" t="n">
        <v>1</v>
      </c>
      <c r="V21" s="4" t="n">
        <f aca="false">IF(SPRV_Source_For_Formulas!G80&lt;=0.2,3,IF(SPRV_Source_For_Formulas!G80&lt;=0.5,2,1))</f>
        <v>3</v>
      </c>
      <c r="W21" s="4" t="n">
        <f aca="false">4-V21</f>
        <v>1</v>
      </c>
      <c r="X21" s="4" t="str">
        <f aca="false">IF(AND(T21=3,U21*W21&gt;=6),"A",IF(AND(T21=3,U21*W21&gt;=3),"B",IF(AND(T21=3,U21*W21&gt;=1),"C","")))</f>
        <v>C</v>
      </c>
      <c r="Y21" s="8" t="s">
        <v>17</v>
      </c>
      <c r="Z21" s="4" t="str">
        <f aca="false">SPRV_Source_For_Formulas!D81</f>
        <v>T1496.002</v>
      </c>
      <c r="AA21" s="5" t="s">
        <v>24</v>
      </c>
      <c r="AB21" s="8" t="n">
        <v>3</v>
      </c>
      <c r="AC21" s="4" t="n">
        <v>1</v>
      </c>
      <c r="AD21" s="4" t="n">
        <f aca="false">IF(SPRV_Source_For_Formulas!G81&lt;=0.2,3,IF(SPRV_Source_For_Formulas!G81&lt;=0.5,2,1))</f>
        <v>2</v>
      </c>
      <c r="AE21" s="4" t="n">
        <f aca="false">4-AD21</f>
        <v>2</v>
      </c>
      <c r="AF21" s="4" t="str">
        <f aca="false">IF(AND(AB21=3,AC21*AE21&gt;=6),"A",IF(AND(AB21=3,AC21*AE21&gt;=3),"B",IF(AND(AB21=3,AC21*AE21&gt;=1),"C","")))</f>
        <v>C</v>
      </c>
      <c r="AG21" s="8" t="s">
        <v>25</v>
      </c>
      <c r="AP21" s="7" t="n">
        <f aca="false">MAX(D21,L21,T21,AB21)</f>
        <v>3</v>
      </c>
      <c r="AQ21" s="7" t="n">
        <v>1</v>
      </c>
      <c r="AR21" s="7" t="n">
        <f aca="false">4-AS21</f>
        <v>1</v>
      </c>
      <c r="AS21" s="10" t="n">
        <f aca="false">MAX(F21,N21,V21,AD21)</f>
        <v>3</v>
      </c>
      <c r="AT21" s="7" t="str">
        <f aca="false">IF(AND(AP21=3,AQ21*AR21&gt;=6),"A",IF(AND(AP21=3,AQ21*AR21&gt;=3),"B",IF(AND(AP21=3,AQ21*AR21&gt;=1),"C","")))</f>
        <v>C</v>
      </c>
      <c r="AU21" s="4" t="str">
        <f aca="false">"Scenario-level Threat=1; Step1="&amp;H21&amp;" Step2="&amp;P21&amp;" Step3="&amp;X21&amp;" Step4="&amp;AF21&amp;" ; Overall Threat fixed=1, Max Mitigation="&amp;AS21&amp;" =&gt; Overall="&amp;AT21</f>
        <v>Scenario-level Threat=1; Step1=C Step2=C Step3=C Step4=C ; Overall Threat fixed=1, Max Mitigation=3 =&gt; Overall=C</v>
      </c>
      <c r="AV21" s="11"/>
      <c r="AW21" s="11"/>
      <c r="AX21" s="11"/>
    </row>
    <row r="22" customFormat="false" ht="19.5" hidden="true" customHeight="true" outlineLevel="0" collapsed="false">
      <c r="A22" s="4" t="str">
        <f aca="false">SPRV_Source_For_Formulas!D82</f>
        <v>T1189</v>
      </c>
      <c r="B22" s="5" t="s">
        <v>12</v>
      </c>
      <c r="C22" s="6"/>
      <c r="D22" s="8" t="n">
        <v>3</v>
      </c>
      <c r="E22" s="4" t="n">
        <v>1</v>
      </c>
      <c r="F22" s="4" t="n">
        <f aca="false">IF(SPRV_Source_For_Formulas!G82&lt;=0.2,3,IF(SPRV_Source_For_Formulas!G82&lt;=0.5,2,1))</f>
        <v>3</v>
      </c>
      <c r="G22" s="4" t="n">
        <f aca="false">4-F22</f>
        <v>1</v>
      </c>
      <c r="H22" s="7" t="str">
        <f aca="false">IF(AND(D22=3,E22*G22&gt;=6),"A",IF(AND(D22=3,E22*G22&gt;=3),"B",IF(AND(D22=3,E22*G22&gt;=1),"C","")))</f>
        <v>C</v>
      </c>
      <c r="I22" s="8" t="s">
        <v>13</v>
      </c>
      <c r="J22" s="4" t="str">
        <f aca="false">SPRV_Source_For_Formulas!D83</f>
        <v>T1021.007</v>
      </c>
      <c r="K22" s="5" t="s">
        <v>32</v>
      </c>
      <c r="L22" s="8" t="n">
        <v>3</v>
      </c>
      <c r="M22" s="4" t="n">
        <v>1</v>
      </c>
      <c r="N22" s="4" t="n">
        <f aca="false">IF(SPRV_Source_For_Formulas!G83&lt;=0.2,3,IF(SPRV_Source_For_Formulas!G83&lt;=0.5,2,1))</f>
        <v>3</v>
      </c>
      <c r="O22" s="4" t="n">
        <f aca="false">4-N22</f>
        <v>1</v>
      </c>
      <c r="P22" s="4" t="str">
        <f aca="false">IF(AND(L22=3,M22*O22&gt;=6),"A",IF(AND(L22=3,M22*O22&gt;=3),"B",IF(AND(L22=3,M22*O22&gt;=1),"C","")))</f>
        <v>C</v>
      </c>
      <c r="Q22" s="5" t="s">
        <v>33</v>
      </c>
      <c r="R22" s="4" t="str">
        <f aca="false">SPRV_Source_For_Formulas!D84</f>
        <v>T1555.006</v>
      </c>
      <c r="S22" s="8" t="s">
        <v>26</v>
      </c>
      <c r="T22" s="8" t="n">
        <v>3</v>
      </c>
      <c r="U22" s="4" t="n">
        <v>1</v>
      </c>
      <c r="V22" s="4" t="n">
        <f aca="false">IF(SPRV_Source_For_Formulas!G84&lt;=0.2,3,IF(SPRV_Source_For_Formulas!G84&lt;=0.5,2,1))</f>
        <v>3</v>
      </c>
      <c r="W22" s="4" t="n">
        <f aca="false">4-V22</f>
        <v>1</v>
      </c>
      <c r="X22" s="4" t="str">
        <f aca="false">IF(AND(T22=3,U22*W22&gt;=6),"A",IF(AND(T22=3,U22*W22&gt;=3),"B",IF(AND(T22=3,U22*W22&gt;=1),"C","")))</f>
        <v>C</v>
      </c>
      <c r="Y22" s="8" t="s">
        <v>27</v>
      </c>
      <c r="Z22" s="4" t="str">
        <f aca="false">SPRV_Source_For_Formulas!D85</f>
        <v>T1486</v>
      </c>
      <c r="AA22" s="5" t="s">
        <v>18</v>
      </c>
      <c r="AB22" s="8" t="n">
        <v>3</v>
      </c>
      <c r="AC22" s="4" t="n">
        <v>1</v>
      </c>
      <c r="AD22" s="4" t="n">
        <f aca="false">IF(SPRV_Source_For_Formulas!G85&lt;=0.2,3,IF(SPRV_Source_For_Formulas!G85&lt;=0.5,2,1))</f>
        <v>3</v>
      </c>
      <c r="AE22" s="4" t="n">
        <f aca="false">4-AD22</f>
        <v>1</v>
      </c>
      <c r="AF22" s="4" t="str">
        <f aca="false">IF(AND(AB22=3,AC22*AE22&gt;=6),"A",IF(AND(AB22=3,AC22*AE22&gt;=3),"B",IF(AND(AB22=3,AC22*AE22&gt;=1),"C","")))</f>
        <v>C</v>
      </c>
      <c r="AG22" s="9" t="s">
        <v>19</v>
      </c>
      <c r="AP22" s="7" t="n">
        <f aca="false">MAX(D22,L22,T22,AB22)</f>
        <v>3</v>
      </c>
      <c r="AQ22" s="7" t="n">
        <v>1</v>
      </c>
      <c r="AR22" s="7" t="n">
        <f aca="false">4-AS22</f>
        <v>1</v>
      </c>
      <c r="AS22" s="10" t="n">
        <f aca="false">MAX(F22,N22,V22,AD22)</f>
        <v>3</v>
      </c>
      <c r="AT22" s="7" t="str">
        <f aca="false">IF(AND(AP22=3,AQ22*AR22&gt;=6),"A",IF(AND(AP22=3,AQ22*AR22&gt;=3),"B",IF(AND(AP22=3,AQ22*AR22&gt;=1),"C","")))</f>
        <v>C</v>
      </c>
      <c r="AU22" s="4" t="str">
        <f aca="false">"Scenario-level Threat=1; Step1="&amp;H22&amp;" Step2="&amp;P22&amp;" Step3="&amp;X22&amp;" Step4="&amp;AF22&amp;" ; Overall Threat fixed=1, Max Mitigation="&amp;AS22&amp;" =&gt; Overall="&amp;AT22</f>
        <v>Scenario-level Threat=1; Step1=C Step2=C Step3=C Step4=C ; Overall Threat fixed=1, Max Mitigation=3 =&gt; Overall=C</v>
      </c>
      <c r="AV22" s="11"/>
      <c r="AW22" s="11"/>
      <c r="AX22" s="11"/>
    </row>
    <row r="23" customFormat="false" ht="19.5" hidden="false" customHeight="true" outlineLevel="0" collapsed="false">
      <c r="A23" s="4" t="str">
        <f aca="false">SPRV_Source_For_Formulas!D86</f>
        <v>T1189</v>
      </c>
      <c r="B23" s="5" t="s">
        <v>12</v>
      </c>
      <c r="C23" s="6"/>
      <c r="D23" s="8" t="n">
        <v>3</v>
      </c>
      <c r="E23" s="4" t="n">
        <v>1</v>
      </c>
      <c r="F23" s="4" t="n">
        <f aca="false">IF(SPRV_Source_For_Formulas!G86&lt;=0.2,3,IF(SPRV_Source_For_Formulas!G86&lt;=0.5,2,1))</f>
        <v>3</v>
      </c>
      <c r="G23" s="4" t="n">
        <f aca="false">4-F23</f>
        <v>1</v>
      </c>
      <c r="H23" s="7" t="str">
        <f aca="false">IF(AND(D23=3,E23*G23&gt;=6),"A",IF(AND(D23=3,E23*G23&gt;=3),"B",IF(AND(D23=3,E23*G23&gt;=1),"C","")))</f>
        <v>C</v>
      </c>
      <c r="I23" s="8" t="s">
        <v>13</v>
      </c>
      <c r="J23" s="4" t="str">
        <f aca="false">SPRV_Source_For_Formulas!D87</f>
        <v>T1021.007</v>
      </c>
      <c r="K23" s="5" t="s">
        <v>32</v>
      </c>
      <c r="L23" s="8" t="n">
        <v>3</v>
      </c>
      <c r="M23" s="4" t="n">
        <v>1</v>
      </c>
      <c r="N23" s="4" t="n">
        <f aca="false">IF(SPRV_Source_For_Formulas!G87&lt;=0.2,3,IF(SPRV_Source_For_Formulas!G87&lt;=0.5,2,1))</f>
        <v>3</v>
      </c>
      <c r="O23" s="4" t="n">
        <f aca="false">4-N23</f>
        <v>1</v>
      </c>
      <c r="P23" s="4" t="str">
        <f aca="false">IF(AND(L23=3,M23*O23&gt;=6),"A",IF(AND(L23=3,M23*O23&gt;=3),"B",IF(AND(L23=3,M23*O23&gt;=1),"C","")))</f>
        <v>C</v>
      </c>
      <c r="Q23" s="5" t="s">
        <v>33</v>
      </c>
      <c r="R23" s="4" t="str">
        <f aca="false">SPRV_Source_For_Formulas!D88</f>
        <v>T1555.006</v>
      </c>
      <c r="S23" s="8" t="s">
        <v>26</v>
      </c>
      <c r="T23" s="8" t="n">
        <v>3</v>
      </c>
      <c r="U23" s="4" t="n">
        <v>1</v>
      </c>
      <c r="V23" s="4" t="n">
        <f aca="false">IF(SPRV_Source_For_Formulas!G88&lt;=0.2,3,IF(SPRV_Source_For_Formulas!G88&lt;=0.5,2,1))</f>
        <v>3</v>
      </c>
      <c r="W23" s="4" t="n">
        <f aca="false">4-V23</f>
        <v>1</v>
      </c>
      <c r="X23" s="4" t="str">
        <f aca="false">IF(AND(T23=3,U23*W23&gt;=6),"A",IF(AND(T23=3,U23*W23&gt;=3),"B",IF(AND(T23=3,U23*W23&gt;=1),"C","")))</f>
        <v>C</v>
      </c>
      <c r="Y23" s="8" t="s">
        <v>27</v>
      </c>
      <c r="Z23" s="4" t="str">
        <f aca="false">SPRV_Source_For_Formulas!D89</f>
        <v>T1496.001</v>
      </c>
      <c r="AA23" s="5" t="s">
        <v>20</v>
      </c>
      <c r="AB23" s="8" t="n">
        <v>3</v>
      </c>
      <c r="AC23" s="4" t="n">
        <v>1</v>
      </c>
      <c r="AD23" s="4" t="n">
        <f aca="false">IF(SPRV_Source_For_Formulas!G89&lt;=0.2,3,IF(SPRV_Source_For_Formulas!G89&lt;=0.5,2,1))</f>
        <v>2</v>
      </c>
      <c r="AE23" s="4" t="n">
        <f aca="false">4-AD23</f>
        <v>2</v>
      </c>
      <c r="AF23" s="4" t="str">
        <f aca="false">IF(AND(AB23=3,AC23*AE23&gt;=6),"A",IF(AND(AB23=3,AC23*AE23&gt;=3),"B",IF(AND(AB23=3,AC23*AE23&gt;=1),"C","")))</f>
        <v>C</v>
      </c>
      <c r="AG23" s="12" t="s">
        <v>21</v>
      </c>
      <c r="AP23" s="7" t="n">
        <f aca="false">MAX(D23,L23,T23,AB23)</f>
        <v>3</v>
      </c>
      <c r="AQ23" s="7" t="n">
        <v>1</v>
      </c>
      <c r="AR23" s="7" t="n">
        <f aca="false">4-AS23</f>
        <v>1</v>
      </c>
      <c r="AS23" s="10" t="n">
        <f aca="false">MAX(F23,N23,V23,AD23)</f>
        <v>3</v>
      </c>
      <c r="AT23" s="7" t="str">
        <f aca="false">IF(AND(AP23=3,AQ23*AR23&gt;=6),"A",IF(AND(AP23=3,AQ23*AR23&gt;=3),"B",IF(AND(AP23=3,AQ23*AR23&gt;=1),"C","")))</f>
        <v>C</v>
      </c>
      <c r="AU23" s="4" t="str">
        <f aca="false">"Scenario-level Threat=1; Step1="&amp;H23&amp;" Step2="&amp;P23&amp;" Step3="&amp;X23&amp;" Step4="&amp;AF23&amp;" ; Overall Threat fixed=1, Max Mitigation="&amp;AS23&amp;" =&gt; Overall="&amp;AT23</f>
        <v>Scenario-level Threat=1; Step1=C Step2=C Step3=C Step4=C ; Overall Threat fixed=1, Max Mitigation=3 =&gt; Overall=C</v>
      </c>
      <c r="AV23" s="11"/>
      <c r="AW23" s="11"/>
      <c r="AX23" s="11"/>
    </row>
    <row r="24" customFormat="false" ht="18" hidden="true" customHeight="false" outlineLevel="0" collapsed="false">
      <c r="A24" s="4" t="str">
        <f aca="false">SPRV_Source_For_Formulas!D90</f>
        <v>T1189</v>
      </c>
      <c r="B24" s="5" t="s">
        <v>12</v>
      </c>
      <c r="C24" s="6"/>
      <c r="D24" s="8" t="n">
        <v>3</v>
      </c>
      <c r="E24" s="4" t="n">
        <v>1</v>
      </c>
      <c r="F24" s="4" t="n">
        <f aca="false">IF(SPRV_Source_For_Formulas!G90&lt;=0.2,3,IF(SPRV_Source_For_Formulas!G90&lt;=0.5,2,1))</f>
        <v>3</v>
      </c>
      <c r="G24" s="4" t="n">
        <f aca="false">4-F24</f>
        <v>1</v>
      </c>
      <c r="H24" s="7" t="str">
        <f aca="false">IF(AND(D24=3,E24*G24&gt;=6),"A",IF(AND(D24=3,E24*G24&gt;=3),"B",IF(AND(D24=3,E24*G24&gt;=1),"C","")))</f>
        <v>C</v>
      </c>
      <c r="I24" s="8" t="s">
        <v>13</v>
      </c>
      <c r="J24" s="4" t="str">
        <f aca="false">SPRV_Source_For_Formulas!D91</f>
        <v>T1021.007</v>
      </c>
      <c r="K24" s="5" t="s">
        <v>32</v>
      </c>
      <c r="L24" s="8" t="n">
        <v>3</v>
      </c>
      <c r="M24" s="4" t="n">
        <v>1</v>
      </c>
      <c r="N24" s="4" t="n">
        <f aca="false">IF(SPRV_Source_For_Formulas!G91&lt;=0.2,3,IF(SPRV_Source_For_Formulas!G91&lt;=0.5,2,1))</f>
        <v>3</v>
      </c>
      <c r="O24" s="4" t="n">
        <f aca="false">4-N24</f>
        <v>1</v>
      </c>
      <c r="P24" s="4" t="str">
        <f aca="false">IF(AND(L24=3,M24*O24&gt;=6),"A",IF(AND(L24=3,M24*O24&gt;=3),"B",IF(AND(L24=3,M24*O24&gt;=1),"C","")))</f>
        <v>C</v>
      </c>
      <c r="Q24" s="5" t="s">
        <v>33</v>
      </c>
      <c r="R24" s="4" t="str">
        <f aca="false">SPRV_Source_For_Formulas!D92</f>
        <v>T1555.006</v>
      </c>
      <c r="S24" s="8" t="s">
        <v>26</v>
      </c>
      <c r="T24" s="8" t="n">
        <v>3</v>
      </c>
      <c r="U24" s="4" t="n">
        <v>1</v>
      </c>
      <c r="V24" s="4" t="n">
        <f aca="false">IF(SPRV_Source_For_Formulas!G92&lt;=0.2,3,IF(SPRV_Source_For_Formulas!G92&lt;=0.5,2,1))</f>
        <v>3</v>
      </c>
      <c r="W24" s="4" t="n">
        <f aca="false">4-V24</f>
        <v>1</v>
      </c>
      <c r="X24" s="4" t="str">
        <f aca="false">IF(AND(T24=3,U24*W24&gt;=6),"A",IF(AND(T24=3,U24*W24&gt;=3),"B",IF(AND(T24=3,U24*W24&gt;=1),"C","")))</f>
        <v>C</v>
      </c>
      <c r="Y24" s="8" t="s">
        <v>27</v>
      </c>
      <c r="Z24" s="4" t="str">
        <f aca="false">SPRV_Source_For_Formulas!D93</f>
        <v>T1496.004</v>
      </c>
      <c r="AA24" s="5" t="s">
        <v>22</v>
      </c>
      <c r="AB24" s="8" t="n">
        <v>3</v>
      </c>
      <c r="AC24" s="4" t="n">
        <v>1</v>
      </c>
      <c r="AD24" s="4" t="n">
        <f aca="false">IF(SPRV_Source_For_Formulas!G93&lt;=0.2,3,IF(SPRV_Source_For_Formulas!G93&lt;=0.5,2,1))</f>
        <v>2</v>
      </c>
      <c r="AE24" s="4" t="n">
        <f aca="false">4-AD24</f>
        <v>2</v>
      </c>
      <c r="AF24" s="4" t="str">
        <f aca="false">IF(AND(AB24=3,AC24*AE24&gt;=6),"A",IF(AND(AB24=3,AC24*AE24&gt;=3),"B",IF(AND(AB24=3,AC24*AE24&gt;=1),"C","")))</f>
        <v>C</v>
      </c>
      <c r="AG24" s="8" t="s">
        <v>23</v>
      </c>
      <c r="AP24" s="7" t="n">
        <f aca="false">MAX(D24,L24,T24,AB24)</f>
        <v>3</v>
      </c>
      <c r="AQ24" s="7" t="n">
        <v>1</v>
      </c>
      <c r="AR24" s="7" t="n">
        <f aca="false">4-AS24</f>
        <v>1</v>
      </c>
      <c r="AS24" s="10" t="n">
        <f aca="false">MAX(F24,N24,V24,AD24)</f>
        <v>3</v>
      </c>
      <c r="AT24" s="7" t="str">
        <f aca="false">IF(AND(AP24=3,AQ24*AR24&gt;=6),"A",IF(AND(AP24=3,AQ24*AR24&gt;=3),"B",IF(AND(AP24=3,AQ24*AR24&gt;=1),"C","")))</f>
        <v>C</v>
      </c>
      <c r="AU24" s="4" t="str">
        <f aca="false">"Scenario-level Threat=1; Step1="&amp;H24&amp;" Step2="&amp;P24&amp;" Step3="&amp;X24&amp;" Step4="&amp;AF24&amp;" ; Overall Threat fixed=1, Max Mitigation="&amp;AS24&amp;" =&gt; Overall="&amp;AT24</f>
        <v>Scenario-level Threat=1; Step1=C Step2=C Step3=C Step4=C ; Overall Threat fixed=1, Max Mitigation=3 =&gt; Overall=C</v>
      </c>
      <c r="AV24" s="11"/>
      <c r="AW24" s="11"/>
      <c r="AX24" s="11"/>
    </row>
    <row r="25" customFormat="false" ht="18" hidden="true" customHeight="false" outlineLevel="0" collapsed="false">
      <c r="A25" s="4" t="str">
        <f aca="false">SPRV_Source_For_Formulas!D94</f>
        <v>T1189</v>
      </c>
      <c r="B25" s="5" t="s">
        <v>12</v>
      </c>
      <c r="C25" s="6"/>
      <c r="D25" s="8" t="n">
        <v>3</v>
      </c>
      <c r="E25" s="4" t="n">
        <v>1</v>
      </c>
      <c r="F25" s="4" t="n">
        <f aca="false">IF(SPRV_Source_For_Formulas!G94&lt;=0.2,3,IF(SPRV_Source_For_Formulas!G94&lt;=0.5,2,1))</f>
        <v>3</v>
      </c>
      <c r="G25" s="4" t="n">
        <f aca="false">4-F25</f>
        <v>1</v>
      </c>
      <c r="H25" s="7" t="str">
        <f aca="false">IF(AND(D25=3,E25*G25&gt;=6),"A",IF(AND(D25=3,E25*G25&gt;=3),"B",IF(AND(D25=3,E25*G25&gt;=1),"C","")))</f>
        <v>C</v>
      </c>
      <c r="I25" s="8" t="s">
        <v>13</v>
      </c>
      <c r="J25" s="4" t="str">
        <f aca="false">SPRV_Source_For_Formulas!D95</f>
        <v>T1021.007</v>
      </c>
      <c r="K25" s="5" t="s">
        <v>32</v>
      </c>
      <c r="L25" s="8" t="n">
        <v>3</v>
      </c>
      <c r="M25" s="4" t="n">
        <v>1</v>
      </c>
      <c r="N25" s="4" t="n">
        <f aca="false">IF(SPRV_Source_For_Formulas!G95&lt;=0.2,3,IF(SPRV_Source_For_Formulas!G95&lt;=0.5,2,1))</f>
        <v>3</v>
      </c>
      <c r="O25" s="4" t="n">
        <f aca="false">4-N25</f>
        <v>1</v>
      </c>
      <c r="P25" s="4" t="str">
        <f aca="false">IF(AND(L25=3,M25*O25&gt;=6),"A",IF(AND(L25=3,M25*O25&gt;=3),"B",IF(AND(L25=3,M25*O25&gt;=1),"C","")))</f>
        <v>C</v>
      </c>
      <c r="Q25" s="5" t="s">
        <v>33</v>
      </c>
      <c r="R25" s="4" t="str">
        <f aca="false">SPRV_Source_For_Formulas!D96</f>
        <v>T1555.006</v>
      </c>
      <c r="S25" s="8" t="s">
        <v>26</v>
      </c>
      <c r="T25" s="8" t="n">
        <v>3</v>
      </c>
      <c r="U25" s="4" t="n">
        <v>1</v>
      </c>
      <c r="V25" s="4" t="n">
        <f aca="false">IF(SPRV_Source_For_Formulas!G96&lt;=0.2,3,IF(SPRV_Source_For_Formulas!G96&lt;=0.5,2,1))</f>
        <v>3</v>
      </c>
      <c r="W25" s="4" t="n">
        <f aca="false">4-V25</f>
        <v>1</v>
      </c>
      <c r="X25" s="4" t="str">
        <f aca="false">IF(AND(T25=3,U25*W25&gt;=6),"A",IF(AND(T25=3,U25*W25&gt;=3),"B",IF(AND(T25=3,U25*W25&gt;=1),"C","")))</f>
        <v>C</v>
      </c>
      <c r="Y25" s="8" t="s">
        <v>27</v>
      </c>
      <c r="Z25" s="4" t="str">
        <f aca="false">SPRV_Source_For_Formulas!D97</f>
        <v>T1496.002</v>
      </c>
      <c r="AA25" s="5" t="s">
        <v>24</v>
      </c>
      <c r="AB25" s="8" t="n">
        <v>3</v>
      </c>
      <c r="AC25" s="4" t="n">
        <v>1</v>
      </c>
      <c r="AD25" s="4" t="n">
        <f aca="false">IF(SPRV_Source_For_Formulas!G97&lt;=0.2,3,IF(SPRV_Source_For_Formulas!G97&lt;=0.5,2,1))</f>
        <v>2</v>
      </c>
      <c r="AE25" s="4" t="n">
        <f aca="false">4-AD25</f>
        <v>2</v>
      </c>
      <c r="AF25" s="4" t="str">
        <f aca="false">IF(AND(AB25=3,AC25*AE25&gt;=6),"A",IF(AND(AB25=3,AC25*AE25&gt;=3),"B",IF(AND(AB25=3,AC25*AE25&gt;=1),"C","")))</f>
        <v>C</v>
      </c>
      <c r="AG25" s="8" t="s">
        <v>25</v>
      </c>
      <c r="AP25" s="7" t="n">
        <f aca="false">MAX(D25,L25,T25,AB25)</f>
        <v>3</v>
      </c>
      <c r="AQ25" s="7" t="n">
        <v>1</v>
      </c>
      <c r="AR25" s="7" t="n">
        <f aca="false">4-AS25</f>
        <v>1</v>
      </c>
      <c r="AS25" s="10" t="n">
        <f aca="false">MAX(F25,N25,V25,AD25)</f>
        <v>3</v>
      </c>
      <c r="AT25" s="7" t="str">
        <f aca="false">IF(AND(AP25=3,AQ25*AR25&gt;=6),"A",IF(AND(AP25=3,AQ25*AR25&gt;=3),"B",IF(AND(AP25=3,AQ25*AR25&gt;=1),"C","")))</f>
        <v>C</v>
      </c>
      <c r="AU25" s="4" t="str">
        <f aca="false">"Scenario-level Threat=1; Step1="&amp;H25&amp;" Step2="&amp;P25&amp;" Step3="&amp;X25&amp;" Step4="&amp;AF25&amp;" ; Overall Threat fixed=1, Max Mitigation="&amp;AS25&amp;" =&gt; Overall="&amp;AT25</f>
        <v>Scenario-level Threat=1; Step1=C Step2=C Step3=C Step4=C ; Overall Threat fixed=1, Max Mitigation=3 =&gt; Overall=C</v>
      </c>
      <c r="AV25" s="11"/>
      <c r="AW25" s="11"/>
      <c r="AX25" s="11"/>
    </row>
    <row r="26" customFormat="false" ht="19.5" hidden="true" customHeight="true" outlineLevel="0" collapsed="false">
      <c r="A26" s="4" t="str">
        <f aca="false">SPRV_Source_For_Formulas!D98</f>
        <v>T1189</v>
      </c>
      <c r="B26" s="5" t="s">
        <v>12</v>
      </c>
      <c r="C26" s="6"/>
      <c r="D26" s="8" t="n">
        <v>3</v>
      </c>
      <c r="E26" s="4" t="n">
        <v>1</v>
      </c>
      <c r="F26" s="4" t="n">
        <f aca="false">IF(SPRV_Source_For_Formulas!G98&lt;=0.2,3,IF(SPRV_Source_For_Formulas!G98&lt;=0.5,2,1))</f>
        <v>3</v>
      </c>
      <c r="G26" s="4" t="n">
        <f aca="false">4-F26</f>
        <v>1</v>
      </c>
      <c r="H26" s="7" t="str">
        <f aca="false">IF(AND(D26=3,E26*G26&gt;=6),"A",IF(AND(D26=3,E26*G26&gt;=3),"B",IF(AND(D26=3,E26*G26&gt;=1),"C","")))</f>
        <v>C</v>
      </c>
      <c r="I26" s="8" t="s">
        <v>13</v>
      </c>
      <c r="J26" s="4" t="str">
        <f aca="false">SPRV_Source_For_Formulas!D99</f>
        <v>T1021.007</v>
      </c>
      <c r="K26" s="5" t="s">
        <v>32</v>
      </c>
      <c r="L26" s="8" t="n">
        <v>3</v>
      </c>
      <c r="M26" s="4" t="n">
        <v>1</v>
      </c>
      <c r="N26" s="4" t="n">
        <f aca="false">IF(SPRV_Source_For_Formulas!G99&lt;=0.2,3,IF(SPRV_Source_For_Formulas!G99&lt;=0.5,2,1))</f>
        <v>3</v>
      </c>
      <c r="O26" s="4" t="n">
        <f aca="false">4-N26</f>
        <v>1</v>
      </c>
      <c r="P26" s="4" t="str">
        <f aca="false">IF(AND(L26=3,M26*O26&gt;=6),"A",IF(AND(L26=3,M26*O26&gt;=3),"B",IF(AND(L26=3,M26*O26&gt;=1),"C","")))</f>
        <v>C</v>
      </c>
      <c r="Q26" s="5" t="s">
        <v>33</v>
      </c>
      <c r="R26" s="4" t="str">
        <f aca="false">SPRV_Source_For_Formulas!D100</f>
        <v>T1059.009</v>
      </c>
      <c r="S26" s="8" t="s">
        <v>28</v>
      </c>
      <c r="T26" s="8" t="n">
        <v>3</v>
      </c>
      <c r="U26" s="4" t="n">
        <v>1</v>
      </c>
      <c r="V26" s="4" t="n">
        <f aca="false">IF(SPRV_Source_For_Formulas!G100&lt;=0.2,3,IF(SPRV_Source_For_Formulas!G100&lt;=0.5,2,1))</f>
        <v>3</v>
      </c>
      <c r="W26" s="4" t="n">
        <f aca="false">4-V26</f>
        <v>1</v>
      </c>
      <c r="X26" s="4" t="str">
        <f aca="false">IF(AND(T26=3,U26*W26&gt;=6),"A",IF(AND(T26=3,U26*W26&gt;=3),"B",IF(AND(T26=3,U26*W26&gt;=1),"C","")))</f>
        <v>C</v>
      </c>
      <c r="Y26" s="8" t="s">
        <v>29</v>
      </c>
      <c r="Z26" s="4" t="str">
        <f aca="false">SPRV_Source_For_Formulas!D101</f>
        <v>T1486</v>
      </c>
      <c r="AA26" s="5" t="s">
        <v>18</v>
      </c>
      <c r="AB26" s="8" t="n">
        <v>3</v>
      </c>
      <c r="AC26" s="4" t="n">
        <v>1</v>
      </c>
      <c r="AD26" s="4" t="n">
        <f aca="false">IF(SPRV_Source_For_Formulas!G101&lt;=0.2,3,IF(SPRV_Source_For_Formulas!G101&lt;=0.5,2,1))</f>
        <v>3</v>
      </c>
      <c r="AE26" s="4" t="n">
        <f aca="false">4-AD26</f>
        <v>1</v>
      </c>
      <c r="AF26" s="4" t="str">
        <f aca="false">IF(AND(AB26=3,AC26*AE26&gt;=6),"A",IF(AND(AB26=3,AC26*AE26&gt;=3),"B",IF(AND(AB26=3,AC26*AE26&gt;=1),"C","")))</f>
        <v>C</v>
      </c>
      <c r="AG26" s="9" t="s">
        <v>19</v>
      </c>
      <c r="AP26" s="7" t="n">
        <f aca="false">MAX(D26,L26,T26,AB26)</f>
        <v>3</v>
      </c>
      <c r="AQ26" s="7" t="n">
        <v>1</v>
      </c>
      <c r="AR26" s="7" t="n">
        <f aca="false">4-AS26</f>
        <v>1</v>
      </c>
      <c r="AS26" s="10" t="n">
        <f aca="false">MAX(F26,N26,V26,AD26)</f>
        <v>3</v>
      </c>
      <c r="AT26" s="7" t="str">
        <f aca="false">IF(AND(AP26=3,AQ26*AR26&gt;=6),"A",IF(AND(AP26=3,AQ26*AR26&gt;=3),"B",IF(AND(AP26=3,AQ26*AR26&gt;=1),"C","")))</f>
        <v>C</v>
      </c>
      <c r="AU26" s="4" t="str">
        <f aca="false">"Scenario-level Threat=1; Step1="&amp;H26&amp;" Step2="&amp;P26&amp;" Step3="&amp;X26&amp;" Step4="&amp;AF26&amp;" ; Overall Threat fixed=1, Max Mitigation="&amp;AS26&amp;" =&gt; Overall="&amp;AT26</f>
        <v>Scenario-level Threat=1; Step1=C Step2=C Step3=C Step4=C ; Overall Threat fixed=1, Max Mitigation=3 =&gt; Overall=C</v>
      </c>
      <c r="AV26" s="11"/>
      <c r="AW26" s="11"/>
      <c r="AX26" s="11"/>
    </row>
    <row r="27" customFormat="false" ht="19.5" hidden="false" customHeight="true" outlineLevel="0" collapsed="false">
      <c r="A27" s="4" t="str">
        <f aca="false">SPRV_Source_For_Formulas!D102</f>
        <v>T1189</v>
      </c>
      <c r="B27" s="5" t="s">
        <v>12</v>
      </c>
      <c r="C27" s="6"/>
      <c r="D27" s="8" t="n">
        <v>3</v>
      </c>
      <c r="E27" s="4" t="n">
        <v>1</v>
      </c>
      <c r="F27" s="4" t="n">
        <f aca="false">IF(SPRV_Source_For_Formulas!G102&lt;=0.2,3,IF(SPRV_Source_For_Formulas!G102&lt;=0.5,2,1))</f>
        <v>3</v>
      </c>
      <c r="G27" s="4" t="n">
        <f aca="false">4-F27</f>
        <v>1</v>
      </c>
      <c r="H27" s="7" t="str">
        <f aca="false">IF(AND(D27=3,E27*G27&gt;=6),"A",IF(AND(D27=3,E27*G27&gt;=3),"B",IF(AND(D27=3,E27*G27&gt;=1),"C","")))</f>
        <v>C</v>
      </c>
      <c r="I27" s="8" t="s">
        <v>13</v>
      </c>
      <c r="J27" s="4" t="str">
        <f aca="false">SPRV_Source_For_Formulas!D103</f>
        <v>T1021.007</v>
      </c>
      <c r="K27" s="5" t="s">
        <v>32</v>
      </c>
      <c r="L27" s="8" t="n">
        <v>3</v>
      </c>
      <c r="M27" s="4" t="n">
        <v>1</v>
      </c>
      <c r="N27" s="4" t="n">
        <f aca="false">IF(SPRV_Source_For_Formulas!G103&lt;=0.2,3,IF(SPRV_Source_For_Formulas!G103&lt;=0.5,2,1))</f>
        <v>3</v>
      </c>
      <c r="O27" s="4" t="n">
        <f aca="false">4-N27</f>
        <v>1</v>
      </c>
      <c r="P27" s="4" t="str">
        <f aca="false">IF(AND(L27=3,M27*O27&gt;=6),"A",IF(AND(L27=3,M27*O27&gt;=3),"B",IF(AND(L27=3,M27*O27&gt;=1),"C","")))</f>
        <v>C</v>
      </c>
      <c r="Q27" s="5" t="s">
        <v>33</v>
      </c>
      <c r="R27" s="4" t="str">
        <f aca="false">SPRV_Source_For_Formulas!D104</f>
        <v>T1059.009</v>
      </c>
      <c r="S27" s="8" t="s">
        <v>28</v>
      </c>
      <c r="T27" s="8" t="n">
        <v>3</v>
      </c>
      <c r="U27" s="4" t="n">
        <v>1</v>
      </c>
      <c r="V27" s="4" t="n">
        <f aca="false">IF(SPRV_Source_For_Formulas!G104&lt;=0.2,3,IF(SPRV_Source_For_Formulas!G104&lt;=0.5,2,1))</f>
        <v>3</v>
      </c>
      <c r="W27" s="4" t="n">
        <f aca="false">4-V27</f>
        <v>1</v>
      </c>
      <c r="X27" s="4" t="str">
        <f aca="false">IF(AND(T27=3,U27*W27&gt;=6),"A",IF(AND(T27=3,U27*W27&gt;=3),"B",IF(AND(T27=3,U27*W27&gt;=1),"C","")))</f>
        <v>C</v>
      </c>
      <c r="Y27" s="8" t="s">
        <v>29</v>
      </c>
      <c r="Z27" s="4" t="str">
        <f aca="false">SPRV_Source_For_Formulas!D105</f>
        <v>T1496.001</v>
      </c>
      <c r="AA27" s="5" t="s">
        <v>20</v>
      </c>
      <c r="AB27" s="8" t="n">
        <v>3</v>
      </c>
      <c r="AC27" s="4" t="n">
        <v>1</v>
      </c>
      <c r="AD27" s="4" t="n">
        <f aca="false">IF(SPRV_Source_For_Formulas!G105&lt;=0.2,3,IF(SPRV_Source_For_Formulas!G105&lt;=0.5,2,1))</f>
        <v>2</v>
      </c>
      <c r="AE27" s="4" t="n">
        <f aca="false">4-AD27</f>
        <v>2</v>
      </c>
      <c r="AF27" s="4" t="str">
        <f aca="false">IF(AND(AB27=3,AC27*AE27&gt;=6),"A",IF(AND(AB27=3,AC27*AE27&gt;=3),"B",IF(AND(AB27=3,AC27*AE27&gt;=1),"C","")))</f>
        <v>C</v>
      </c>
      <c r="AG27" s="12" t="s">
        <v>21</v>
      </c>
      <c r="AP27" s="7" t="n">
        <f aca="false">MAX(D27,L27,T27,AB27)</f>
        <v>3</v>
      </c>
      <c r="AQ27" s="7" t="n">
        <v>1</v>
      </c>
      <c r="AR27" s="7" t="n">
        <f aca="false">4-AS27</f>
        <v>1</v>
      </c>
      <c r="AS27" s="10" t="n">
        <f aca="false">MAX(F27,N27,V27,AD27)</f>
        <v>3</v>
      </c>
      <c r="AT27" s="7" t="str">
        <f aca="false">IF(AND(AP27=3,AQ27*AR27&gt;=6),"A",IF(AND(AP27=3,AQ27*AR27&gt;=3),"B",IF(AND(AP27=3,AQ27*AR27&gt;=1),"C","")))</f>
        <v>C</v>
      </c>
      <c r="AU27" s="4" t="str">
        <f aca="false">"Scenario-level Threat=1; Step1="&amp;H27&amp;" Step2="&amp;P27&amp;" Step3="&amp;X27&amp;" Step4="&amp;AF27&amp;" ; Overall Threat fixed=1, Max Mitigation="&amp;AS27&amp;" =&gt; Overall="&amp;AT27</f>
        <v>Scenario-level Threat=1; Step1=C Step2=C Step3=C Step4=C ; Overall Threat fixed=1, Max Mitigation=3 =&gt; Overall=C</v>
      </c>
      <c r="AV27" s="11"/>
      <c r="AW27" s="11"/>
      <c r="AX27" s="11"/>
    </row>
    <row r="28" customFormat="false" ht="18" hidden="true" customHeight="false" outlineLevel="0" collapsed="false">
      <c r="A28" s="4" t="str">
        <f aca="false">SPRV_Source_For_Formulas!D106</f>
        <v>T1189</v>
      </c>
      <c r="B28" s="5" t="s">
        <v>12</v>
      </c>
      <c r="C28" s="6"/>
      <c r="D28" s="8" t="n">
        <v>3</v>
      </c>
      <c r="E28" s="4" t="n">
        <v>1</v>
      </c>
      <c r="F28" s="4" t="n">
        <f aca="false">IF(SPRV_Source_For_Formulas!G106&lt;=0.2,3,IF(SPRV_Source_For_Formulas!G106&lt;=0.5,2,1))</f>
        <v>3</v>
      </c>
      <c r="G28" s="4" t="n">
        <f aca="false">4-F28</f>
        <v>1</v>
      </c>
      <c r="H28" s="7" t="str">
        <f aca="false">IF(AND(D28=3,E28*G28&gt;=6),"A",IF(AND(D28=3,E28*G28&gt;=3),"B",IF(AND(D28=3,E28*G28&gt;=1),"C","")))</f>
        <v>C</v>
      </c>
      <c r="I28" s="8" t="s">
        <v>13</v>
      </c>
      <c r="J28" s="4" t="str">
        <f aca="false">SPRV_Source_For_Formulas!D107</f>
        <v>T1021.007</v>
      </c>
      <c r="K28" s="5" t="s">
        <v>32</v>
      </c>
      <c r="L28" s="8" t="n">
        <v>3</v>
      </c>
      <c r="M28" s="4" t="n">
        <v>1</v>
      </c>
      <c r="N28" s="4" t="n">
        <f aca="false">IF(SPRV_Source_For_Formulas!G107&lt;=0.2,3,IF(SPRV_Source_For_Formulas!G107&lt;=0.5,2,1))</f>
        <v>3</v>
      </c>
      <c r="O28" s="4" t="n">
        <f aca="false">4-N28</f>
        <v>1</v>
      </c>
      <c r="P28" s="4" t="str">
        <f aca="false">IF(AND(L28=3,M28*O28&gt;=6),"A",IF(AND(L28=3,M28*O28&gt;=3),"B",IF(AND(L28=3,M28*O28&gt;=1),"C","")))</f>
        <v>C</v>
      </c>
      <c r="Q28" s="5" t="s">
        <v>33</v>
      </c>
      <c r="R28" s="4" t="str">
        <f aca="false">SPRV_Source_For_Formulas!D108</f>
        <v>T1059.009</v>
      </c>
      <c r="S28" s="8" t="s">
        <v>28</v>
      </c>
      <c r="T28" s="8" t="n">
        <v>3</v>
      </c>
      <c r="U28" s="4" t="n">
        <v>1</v>
      </c>
      <c r="V28" s="4" t="n">
        <f aca="false">IF(SPRV_Source_For_Formulas!G108&lt;=0.2,3,IF(SPRV_Source_For_Formulas!G108&lt;=0.5,2,1))</f>
        <v>3</v>
      </c>
      <c r="W28" s="4" t="n">
        <f aca="false">4-V28</f>
        <v>1</v>
      </c>
      <c r="X28" s="4" t="str">
        <f aca="false">IF(AND(T28=3,U28*W28&gt;=6),"A",IF(AND(T28=3,U28*W28&gt;=3),"B",IF(AND(T28=3,U28*W28&gt;=1),"C","")))</f>
        <v>C</v>
      </c>
      <c r="Y28" s="8" t="s">
        <v>29</v>
      </c>
      <c r="Z28" s="4" t="str">
        <f aca="false">SPRV_Source_For_Formulas!D109</f>
        <v>T1496.004</v>
      </c>
      <c r="AA28" s="5" t="s">
        <v>22</v>
      </c>
      <c r="AB28" s="8" t="n">
        <v>3</v>
      </c>
      <c r="AC28" s="4" t="n">
        <v>1</v>
      </c>
      <c r="AD28" s="4" t="n">
        <f aca="false">IF(SPRV_Source_For_Formulas!G109&lt;=0.2,3,IF(SPRV_Source_For_Formulas!G109&lt;=0.5,2,1))</f>
        <v>2</v>
      </c>
      <c r="AE28" s="4" t="n">
        <f aca="false">4-AD28</f>
        <v>2</v>
      </c>
      <c r="AF28" s="4" t="str">
        <f aca="false">IF(AND(AB28=3,AC28*AE28&gt;=6),"A",IF(AND(AB28=3,AC28*AE28&gt;=3),"B",IF(AND(AB28=3,AC28*AE28&gt;=1),"C","")))</f>
        <v>C</v>
      </c>
      <c r="AG28" s="8" t="s">
        <v>23</v>
      </c>
      <c r="AP28" s="7" t="n">
        <f aca="false">MAX(D28,L28,T28,AB28)</f>
        <v>3</v>
      </c>
      <c r="AQ28" s="7" t="n">
        <v>1</v>
      </c>
      <c r="AR28" s="7" t="n">
        <f aca="false">4-AS28</f>
        <v>1</v>
      </c>
      <c r="AS28" s="10" t="n">
        <f aca="false">MAX(F28,N28,V28,AD28)</f>
        <v>3</v>
      </c>
      <c r="AT28" s="7" t="str">
        <f aca="false">IF(AND(AP28=3,AQ28*AR28&gt;=6),"A",IF(AND(AP28=3,AQ28*AR28&gt;=3),"B",IF(AND(AP28=3,AQ28*AR28&gt;=1),"C","")))</f>
        <v>C</v>
      </c>
      <c r="AU28" s="4" t="str">
        <f aca="false">"Scenario-level Threat=1; Step1="&amp;H28&amp;" Step2="&amp;P28&amp;" Step3="&amp;X28&amp;" Step4="&amp;AF28&amp;" ; Overall Threat fixed=1, Max Mitigation="&amp;AS28&amp;" =&gt; Overall="&amp;AT28</f>
        <v>Scenario-level Threat=1; Step1=C Step2=C Step3=C Step4=C ; Overall Threat fixed=1, Max Mitigation=3 =&gt; Overall=C</v>
      </c>
      <c r="AV28" s="11"/>
      <c r="AW28" s="11"/>
      <c r="AX28" s="11"/>
    </row>
    <row r="29" customFormat="false" ht="18" hidden="true" customHeight="false" outlineLevel="0" collapsed="false">
      <c r="A29" s="4" t="str">
        <f aca="false">SPRV_Source_For_Formulas!D110</f>
        <v>T1189</v>
      </c>
      <c r="B29" s="5" t="s">
        <v>12</v>
      </c>
      <c r="C29" s="6"/>
      <c r="D29" s="8" t="n">
        <v>3</v>
      </c>
      <c r="E29" s="4" t="n">
        <v>1</v>
      </c>
      <c r="F29" s="4" t="n">
        <f aca="false">IF(SPRV_Source_For_Formulas!G110&lt;=0.2,3,IF(SPRV_Source_For_Formulas!G110&lt;=0.5,2,1))</f>
        <v>3</v>
      </c>
      <c r="G29" s="4" t="n">
        <f aca="false">4-F29</f>
        <v>1</v>
      </c>
      <c r="H29" s="7" t="str">
        <f aca="false">IF(AND(D29=3,E29*G29&gt;=6),"A",IF(AND(D29=3,E29*G29&gt;=3),"B",IF(AND(D29=3,E29*G29&gt;=1),"C","")))</f>
        <v>C</v>
      </c>
      <c r="I29" s="8" t="s">
        <v>13</v>
      </c>
      <c r="J29" s="4" t="str">
        <f aca="false">SPRV_Source_For_Formulas!D111</f>
        <v>T1021.007</v>
      </c>
      <c r="K29" s="5" t="s">
        <v>32</v>
      </c>
      <c r="L29" s="8" t="n">
        <v>3</v>
      </c>
      <c r="M29" s="4" t="n">
        <v>1</v>
      </c>
      <c r="N29" s="4" t="n">
        <f aca="false">IF(SPRV_Source_For_Formulas!G111&lt;=0.2,3,IF(SPRV_Source_For_Formulas!G111&lt;=0.5,2,1))</f>
        <v>3</v>
      </c>
      <c r="O29" s="4" t="n">
        <f aca="false">4-N29</f>
        <v>1</v>
      </c>
      <c r="P29" s="4" t="str">
        <f aca="false">IF(AND(L29=3,M29*O29&gt;=6),"A",IF(AND(L29=3,M29*O29&gt;=3),"B",IF(AND(L29=3,M29*O29&gt;=1),"C","")))</f>
        <v>C</v>
      </c>
      <c r="Q29" s="5" t="s">
        <v>33</v>
      </c>
      <c r="R29" s="4" t="str">
        <f aca="false">SPRV_Source_For_Formulas!D112</f>
        <v>T1059.009</v>
      </c>
      <c r="S29" s="8" t="s">
        <v>28</v>
      </c>
      <c r="T29" s="8" t="n">
        <v>3</v>
      </c>
      <c r="U29" s="4" t="n">
        <v>1</v>
      </c>
      <c r="V29" s="4" t="n">
        <f aca="false">IF(SPRV_Source_For_Formulas!G112&lt;=0.2,3,IF(SPRV_Source_For_Formulas!G112&lt;=0.5,2,1))</f>
        <v>3</v>
      </c>
      <c r="W29" s="4" t="n">
        <f aca="false">4-V29</f>
        <v>1</v>
      </c>
      <c r="X29" s="4" t="str">
        <f aca="false">IF(AND(T29=3,U29*W29&gt;=6),"A",IF(AND(T29=3,U29*W29&gt;=3),"B",IF(AND(T29=3,U29*W29&gt;=1),"C","")))</f>
        <v>C</v>
      </c>
      <c r="Y29" s="8" t="s">
        <v>29</v>
      </c>
      <c r="Z29" s="4" t="str">
        <f aca="false">SPRV_Source_For_Formulas!D113</f>
        <v>T1496.002</v>
      </c>
      <c r="AA29" s="5" t="s">
        <v>24</v>
      </c>
      <c r="AB29" s="8" t="n">
        <v>3</v>
      </c>
      <c r="AC29" s="4" t="n">
        <v>1</v>
      </c>
      <c r="AD29" s="4" t="n">
        <f aca="false">IF(SPRV_Source_For_Formulas!G113&lt;=0.2,3,IF(SPRV_Source_For_Formulas!G113&lt;=0.5,2,1))</f>
        <v>2</v>
      </c>
      <c r="AE29" s="4" t="n">
        <f aca="false">4-AD29</f>
        <v>2</v>
      </c>
      <c r="AF29" s="4" t="str">
        <f aca="false">IF(AND(AB29=3,AC29*AE29&gt;=6),"A",IF(AND(AB29=3,AC29*AE29&gt;=3),"B",IF(AND(AB29=3,AC29*AE29&gt;=1),"C","")))</f>
        <v>C</v>
      </c>
      <c r="AG29" s="8" t="s">
        <v>25</v>
      </c>
      <c r="AP29" s="7" t="n">
        <f aca="false">MAX(D29,L29,T29,AB29)</f>
        <v>3</v>
      </c>
      <c r="AQ29" s="7" t="n">
        <v>1</v>
      </c>
      <c r="AR29" s="7" t="n">
        <f aca="false">4-AS29</f>
        <v>1</v>
      </c>
      <c r="AS29" s="10" t="n">
        <f aca="false">MAX(F29,N29,V29,AD29)</f>
        <v>3</v>
      </c>
      <c r="AT29" s="7" t="str">
        <f aca="false">IF(AND(AP29=3,AQ29*AR29&gt;=6),"A",IF(AND(AP29=3,AQ29*AR29&gt;=3),"B",IF(AND(AP29=3,AQ29*AR29&gt;=1),"C","")))</f>
        <v>C</v>
      </c>
      <c r="AU29" s="4" t="str">
        <f aca="false">"Scenario-level Threat=1; Step1="&amp;H29&amp;" Step2="&amp;P29&amp;" Step3="&amp;X29&amp;" Step4="&amp;AF29&amp;" ; Overall Threat fixed=1, Max Mitigation="&amp;AS29&amp;" =&gt; Overall="&amp;AT29</f>
        <v>Scenario-level Threat=1; Step1=C Step2=C Step3=C Step4=C ; Overall Threat fixed=1, Max Mitigation=3 =&gt; Overall=C</v>
      </c>
      <c r="AV29" s="11"/>
      <c r="AW29" s="11"/>
      <c r="AX29" s="11"/>
    </row>
    <row r="30" customFormat="false" ht="19.5" hidden="true" customHeight="true" outlineLevel="0" collapsed="false">
      <c r="A30" s="4" t="str">
        <f aca="false">SPRV_Source_For_Formulas!D114</f>
        <v>T1189</v>
      </c>
      <c r="B30" s="5" t="s">
        <v>12</v>
      </c>
      <c r="C30" s="6"/>
      <c r="D30" s="8" t="n">
        <v>3</v>
      </c>
      <c r="E30" s="4" t="n">
        <v>1</v>
      </c>
      <c r="F30" s="4" t="n">
        <f aca="false">IF(SPRV_Source_For_Formulas!G114&lt;=0.2,3,IF(SPRV_Source_For_Formulas!G114&lt;=0.5,2,1))</f>
        <v>3</v>
      </c>
      <c r="G30" s="4" t="n">
        <f aca="false">4-F30</f>
        <v>1</v>
      </c>
      <c r="H30" s="7" t="str">
        <f aca="false">IF(AND(D30=3,E30*G30&gt;=6),"A",IF(AND(D30=3,E30*G30&gt;=3),"B",IF(AND(D30=3,E30*G30&gt;=1),"C","")))</f>
        <v>C</v>
      </c>
      <c r="I30" s="8" t="s">
        <v>13</v>
      </c>
      <c r="J30" s="4" t="str">
        <f aca="false">SPRV_Source_For_Formulas!D115</f>
        <v>T1021.007</v>
      </c>
      <c r="K30" s="5" t="s">
        <v>32</v>
      </c>
      <c r="L30" s="8" t="n">
        <v>3</v>
      </c>
      <c r="M30" s="4" t="n">
        <v>1</v>
      </c>
      <c r="N30" s="4" t="n">
        <f aca="false">IF(SPRV_Source_For_Formulas!G115&lt;=0.2,3,IF(SPRV_Source_For_Formulas!G115&lt;=0.5,2,1))</f>
        <v>3</v>
      </c>
      <c r="O30" s="4" t="n">
        <f aca="false">4-N30</f>
        <v>1</v>
      </c>
      <c r="P30" s="4" t="str">
        <f aca="false">IF(AND(L30=3,M30*O30&gt;=6),"A",IF(AND(L30=3,M30*O30&gt;=3),"B",IF(AND(L30=3,M30*O30&gt;=1),"C","")))</f>
        <v>C</v>
      </c>
      <c r="Q30" s="5" t="s">
        <v>33</v>
      </c>
      <c r="R30" s="4" t="str">
        <f aca="false">SPRV_Source_For_Formulas!D116</f>
        <v>T1484.002</v>
      </c>
      <c r="S30" s="8" t="s">
        <v>30</v>
      </c>
      <c r="T30" s="8" t="n">
        <v>3</v>
      </c>
      <c r="U30" s="4" t="n">
        <v>1</v>
      </c>
      <c r="V30" s="4" t="n">
        <f aca="false">IF(SPRV_Source_For_Formulas!G116&lt;=0.2,3,IF(SPRV_Source_For_Formulas!G116&lt;=0.5,2,1))</f>
        <v>3</v>
      </c>
      <c r="W30" s="4" t="n">
        <f aca="false">4-V30</f>
        <v>1</v>
      </c>
      <c r="X30" s="4" t="str">
        <f aca="false">IF(AND(T30=3,U30*W30&gt;=6),"A",IF(AND(T30=3,U30*W30&gt;=3),"B",IF(AND(T30=3,U30*W30&gt;=1),"C","")))</f>
        <v>C</v>
      </c>
      <c r="Y30" s="8" t="s">
        <v>31</v>
      </c>
      <c r="Z30" s="4" t="str">
        <f aca="false">SPRV_Source_For_Formulas!D117</f>
        <v>T1486</v>
      </c>
      <c r="AA30" s="5" t="s">
        <v>18</v>
      </c>
      <c r="AB30" s="8" t="n">
        <v>3</v>
      </c>
      <c r="AC30" s="4" t="n">
        <v>1</v>
      </c>
      <c r="AD30" s="4" t="n">
        <f aca="false">IF(SPRV_Source_For_Formulas!G117&lt;=0.2,3,IF(SPRV_Source_For_Formulas!G117&lt;=0.5,2,1))</f>
        <v>3</v>
      </c>
      <c r="AE30" s="4" t="n">
        <f aca="false">4-AD30</f>
        <v>1</v>
      </c>
      <c r="AF30" s="4" t="str">
        <f aca="false">IF(AND(AB30=3,AC30*AE30&gt;=6),"A",IF(AND(AB30=3,AC30*AE30&gt;=3),"B",IF(AND(AB30=3,AC30*AE30&gt;=1),"C","")))</f>
        <v>C</v>
      </c>
      <c r="AG30" s="9" t="s">
        <v>19</v>
      </c>
      <c r="AP30" s="7" t="n">
        <f aca="false">MAX(D30,L30,T30,AB30)</f>
        <v>3</v>
      </c>
      <c r="AQ30" s="7" t="n">
        <v>1</v>
      </c>
      <c r="AR30" s="7" t="n">
        <f aca="false">4-AS30</f>
        <v>1</v>
      </c>
      <c r="AS30" s="10" t="n">
        <f aca="false">MAX(F30,N30,V30,AD30)</f>
        <v>3</v>
      </c>
      <c r="AT30" s="7" t="str">
        <f aca="false">IF(AND(AP30=3,AQ30*AR30&gt;=6),"A",IF(AND(AP30=3,AQ30*AR30&gt;=3),"B",IF(AND(AP30=3,AQ30*AR30&gt;=1),"C","")))</f>
        <v>C</v>
      </c>
      <c r="AU30" s="4" t="str">
        <f aca="false">"Scenario-level Threat=1; Step1="&amp;H30&amp;" Step2="&amp;P30&amp;" Step3="&amp;X30&amp;" Step4="&amp;AF30&amp;" ; Overall Threat fixed=1, Max Mitigation="&amp;AS30&amp;" =&gt; Overall="&amp;AT30</f>
        <v>Scenario-level Threat=1; Step1=C Step2=C Step3=C Step4=C ; Overall Threat fixed=1, Max Mitigation=3 =&gt; Overall=C</v>
      </c>
      <c r="AV30" s="11"/>
      <c r="AW30" s="11"/>
      <c r="AX30" s="11"/>
    </row>
    <row r="31" customFormat="false" ht="19.5" hidden="false" customHeight="true" outlineLevel="0" collapsed="false">
      <c r="A31" s="4" t="str">
        <f aca="false">SPRV_Source_For_Formulas!D118</f>
        <v>T1189</v>
      </c>
      <c r="B31" s="5" t="s">
        <v>12</v>
      </c>
      <c r="C31" s="6"/>
      <c r="D31" s="8" t="n">
        <v>3</v>
      </c>
      <c r="E31" s="4" t="n">
        <v>1</v>
      </c>
      <c r="F31" s="4" t="n">
        <f aca="false">IF(SPRV_Source_For_Formulas!G118&lt;=0.2,3,IF(SPRV_Source_For_Formulas!G118&lt;=0.5,2,1))</f>
        <v>3</v>
      </c>
      <c r="G31" s="4" t="n">
        <f aca="false">4-F31</f>
        <v>1</v>
      </c>
      <c r="H31" s="7" t="str">
        <f aca="false">IF(AND(D31=3,E31*G31&gt;=6),"A",IF(AND(D31=3,E31*G31&gt;=3),"B",IF(AND(D31=3,E31*G31&gt;=1),"C","")))</f>
        <v>C</v>
      </c>
      <c r="I31" s="8" t="s">
        <v>13</v>
      </c>
      <c r="J31" s="4" t="str">
        <f aca="false">SPRV_Source_For_Formulas!D119</f>
        <v>T1021.007</v>
      </c>
      <c r="K31" s="5" t="s">
        <v>32</v>
      </c>
      <c r="L31" s="8" t="n">
        <v>3</v>
      </c>
      <c r="M31" s="4" t="n">
        <v>1</v>
      </c>
      <c r="N31" s="4" t="n">
        <f aca="false">IF(SPRV_Source_For_Formulas!G119&lt;=0.2,3,IF(SPRV_Source_For_Formulas!G119&lt;=0.5,2,1))</f>
        <v>3</v>
      </c>
      <c r="O31" s="4" t="n">
        <f aca="false">4-N31</f>
        <v>1</v>
      </c>
      <c r="P31" s="4" t="str">
        <f aca="false">IF(AND(L31=3,M31*O31&gt;=6),"A",IF(AND(L31=3,M31*O31&gt;=3),"B",IF(AND(L31=3,M31*O31&gt;=1),"C","")))</f>
        <v>C</v>
      </c>
      <c r="Q31" s="5" t="s">
        <v>33</v>
      </c>
      <c r="R31" s="4" t="str">
        <f aca="false">SPRV_Source_For_Formulas!D120</f>
        <v>T1484.002</v>
      </c>
      <c r="S31" s="8" t="s">
        <v>30</v>
      </c>
      <c r="T31" s="8" t="n">
        <v>3</v>
      </c>
      <c r="U31" s="4" t="n">
        <v>1</v>
      </c>
      <c r="V31" s="4" t="n">
        <f aca="false">IF(SPRV_Source_For_Formulas!G120&lt;=0.2,3,IF(SPRV_Source_For_Formulas!G120&lt;=0.5,2,1))</f>
        <v>3</v>
      </c>
      <c r="W31" s="4" t="n">
        <f aca="false">4-V31</f>
        <v>1</v>
      </c>
      <c r="X31" s="4" t="str">
        <f aca="false">IF(AND(T31=3,U31*W31&gt;=6),"A",IF(AND(T31=3,U31*W31&gt;=3),"B",IF(AND(T31=3,U31*W31&gt;=1),"C","")))</f>
        <v>C</v>
      </c>
      <c r="Y31" s="8" t="s">
        <v>31</v>
      </c>
      <c r="Z31" s="4" t="str">
        <f aca="false">SPRV_Source_For_Formulas!D121</f>
        <v>T1496.001</v>
      </c>
      <c r="AA31" s="5" t="s">
        <v>20</v>
      </c>
      <c r="AB31" s="8" t="n">
        <v>3</v>
      </c>
      <c r="AC31" s="4" t="n">
        <v>1</v>
      </c>
      <c r="AD31" s="4" t="n">
        <f aca="false">IF(SPRV_Source_For_Formulas!G121&lt;=0.2,3,IF(SPRV_Source_For_Formulas!G121&lt;=0.5,2,1))</f>
        <v>2</v>
      </c>
      <c r="AE31" s="4" t="n">
        <f aca="false">4-AD31</f>
        <v>2</v>
      </c>
      <c r="AF31" s="4" t="str">
        <f aca="false">IF(AND(AB31=3,AC31*AE31&gt;=6),"A",IF(AND(AB31=3,AC31*AE31&gt;=3),"B",IF(AND(AB31=3,AC31*AE31&gt;=1),"C","")))</f>
        <v>C</v>
      </c>
      <c r="AG31" s="12" t="s">
        <v>21</v>
      </c>
      <c r="AP31" s="7" t="n">
        <f aca="false">MAX(D31,L31,T31,AB31)</f>
        <v>3</v>
      </c>
      <c r="AQ31" s="7" t="n">
        <v>1</v>
      </c>
      <c r="AR31" s="7" t="n">
        <f aca="false">4-AS31</f>
        <v>1</v>
      </c>
      <c r="AS31" s="10" t="n">
        <f aca="false">MAX(F31,N31,V31,AD31)</f>
        <v>3</v>
      </c>
      <c r="AT31" s="7" t="str">
        <f aca="false">IF(AND(AP31=3,AQ31*AR31&gt;=6),"A",IF(AND(AP31=3,AQ31*AR31&gt;=3),"B",IF(AND(AP31=3,AQ31*AR31&gt;=1),"C","")))</f>
        <v>C</v>
      </c>
      <c r="AU31" s="4" t="str">
        <f aca="false">"Scenario-level Threat=1; Step1="&amp;H31&amp;" Step2="&amp;P31&amp;" Step3="&amp;X31&amp;" Step4="&amp;AF31&amp;" ; Overall Threat fixed=1, Max Mitigation="&amp;AS31&amp;" =&gt; Overall="&amp;AT31</f>
        <v>Scenario-level Threat=1; Step1=C Step2=C Step3=C Step4=C ; Overall Threat fixed=1, Max Mitigation=3 =&gt; Overall=C</v>
      </c>
      <c r="AV31" s="11"/>
      <c r="AW31" s="11"/>
      <c r="AX31" s="11"/>
    </row>
    <row r="32" customFormat="false" ht="18" hidden="true" customHeight="false" outlineLevel="0" collapsed="false">
      <c r="A32" s="4" t="str">
        <f aca="false">SPRV_Source_For_Formulas!D122</f>
        <v>T1189</v>
      </c>
      <c r="B32" s="5" t="s">
        <v>12</v>
      </c>
      <c r="C32" s="6"/>
      <c r="D32" s="8" t="n">
        <v>3</v>
      </c>
      <c r="E32" s="4" t="n">
        <v>1</v>
      </c>
      <c r="F32" s="4" t="n">
        <f aca="false">IF(SPRV_Source_For_Formulas!G122&lt;=0.2,3,IF(SPRV_Source_For_Formulas!G122&lt;=0.5,2,1))</f>
        <v>3</v>
      </c>
      <c r="G32" s="4" t="n">
        <f aca="false">4-F32</f>
        <v>1</v>
      </c>
      <c r="H32" s="7" t="str">
        <f aca="false">IF(AND(D32=3,E32*G32&gt;=6),"A",IF(AND(D32=3,E32*G32&gt;=3),"B",IF(AND(D32=3,E32*G32&gt;=1),"C","")))</f>
        <v>C</v>
      </c>
      <c r="I32" s="8" t="s">
        <v>13</v>
      </c>
      <c r="J32" s="4" t="str">
        <f aca="false">SPRV_Source_For_Formulas!D123</f>
        <v>T1021.007</v>
      </c>
      <c r="K32" s="5" t="s">
        <v>32</v>
      </c>
      <c r="L32" s="8" t="n">
        <v>3</v>
      </c>
      <c r="M32" s="4" t="n">
        <v>1</v>
      </c>
      <c r="N32" s="4" t="n">
        <f aca="false">IF(SPRV_Source_For_Formulas!G123&lt;=0.2,3,IF(SPRV_Source_For_Formulas!G123&lt;=0.5,2,1))</f>
        <v>3</v>
      </c>
      <c r="O32" s="4" t="n">
        <f aca="false">4-N32</f>
        <v>1</v>
      </c>
      <c r="P32" s="4" t="str">
        <f aca="false">IF(AND(L32=3,M32*O32&gt;=6),"A",IF(AND(L32=3,M32*O32&gt;=3),"B",IF(AND(L32=3,M32*O32&gt;=1),"C","")))</f>
        <v>C</v>
      </c>
      <c r="Q32" s="5" t="s">
        <v>33</v>
      </c>
      <c r="R32" s="4" t="str">
        <f aca="false">SPRV_Source_For_Formulas!D124</f>
        <v>T1484.002</v>
      </c>
      <c r="S32" s="8" t="s">
        <v>30</v>
      </c>
      <c r="T32" s="8" t="n">
        <v>3</v>
      </c>
      <c r="U32" s="4" t="n">
        <v>1</v>
      </c>
      <c r="V32" s="4" t="n">
        <f aca="false">IF(SPRV_Source_For_Formulas!G124&lt;=0.2,3,IF(SPRV_Source_For_Formulas!G124&lt;=0.5,2,1))</f>
        <v>3</v>
      </c>
      <c r="W32" s="4" t="n">
        <f aca="false">4-V32</f>
        <v>1</v>
      </c>
      <c r="X32" s="4" t="str">
        <f aca="false">IF(AND(T32=3,U32*W32&gt;=6),"A",IF(AND(T32=3,U32*W32&gt;=3),"B",IF(AND(T32=3,U32*W32&gt;=1),"C","")))</f>
        <v>C</v>
      </c>
      <c r="Y32" s="8" t="s">
        <v>31</v>
      </c>
      <c r="Z32" s="4" t="str">
        <f aca="false">SPRV_Source_For_Formulas!D125</f>
        <v>T1496.004</v>
      </c>
      <c r="AA32" s="5" t="s">
        <v>22</v>
      </c>
      <c r="AB32" s="8" t="n">
        <v>3</v>
      </c>
      <c r="AC32" s="4" t="n">
        <v>1</v>
      </c>
      <c r="AD32" s="4" t="n">
        <f aca="false">IF(SPRV_Source_For_Formulas!G125&lt;=0.2,3,IF(SPRV_Source_For_Formulas!G125&lt;=0.5,2,1))</f>
        <v>2</v>
      </c>
      <c r="AE32" s="4" t="n">
        <f aca="false">4-AD32</f>
        <v>2</v>
      </c>
      <c r="AF32" s="4" t="str">
        <f aca="false">IF(AND(AB32=3,AC32*AE32&gt;=6),"A",IF(AND(AB32=3,AC32*AE32&gt;=3),"B",IF(AND(AB32=3,AC32*AE32&gt;=1),"C","")))</f>
        <v>C</v>
      </c>
      <c r="AG32" s="8" t="s">
        <v>23</v>
      </c>
      <c r="AP32" s="7" t="n">
        <f aca="false">MAX(D32,L32,T32,AB32)</f>
        <v>3</v>
      </c>
      <c r="AQ32" s="7" t="n">
        <v>1</v>
      </c>
      <c r="AR32" s="7" t="n">
        <f aca="false">4-AS32</f>
        <v>1</v>
      </c>
      <c r="AS32" s="10" t="n">
        <f aca="false">MAX(F32,N32,V32,AD32)</f>
        <v>3</v>
      </c>
      <c r="AT32" s="7" t="str">
        <f aca="false">IF(AND(AP32=3,AQ32*AR32&gt;=6),"A",IF(AND(AP32=3,AQ32*AR32&gt;=3),"B",IF(AND(AP32=3,AQ32*AR32&gt;=1),"C","")))</f>
        <v>C</v>
      </c>
      <c r="AU32" s="4" t="str">
        <f aca="false">"Scenario-level Threat=1; Step1="&amp;H32&amp;" Step2="&amp;P32&amp;" Step3="&amp;X32&amp;" Step4="&amp;AF32&amp;" ; Overall Threat fixed=1, Max Mitigation="&amp;AS32&amp;" =&gt; Overall="&amp;AT32</f>
        <v>Scenario-level Threat=1; Step1=C Step2=C Step3=C Step4=C ; Overall Threat fixed=1, Max Mitigation=3 =&gt; Overall=C</v>
      </c>
      <c r="AV32" s="11"/>
      <c r="AW32" s="11"/>
      <c r="AX32" s="11"/>
    </row>
    <row r="33" customFormat="false" ht="18" hidden="true" customHeight="false" outlineLevel="0" collapsed="false">
      <c r="A33" s="4" t="str">
        <f aca="false">SPRV_Source_For_Formulas!D126</f>
        <v>T1189</v>
      </c>
      <c r="B33" s="5" t="s">
        <v>12</v>
      </c>
      <c r="C33" s="6"/>
      <c r="D33" s="8" t="n">
        <v>3</v>
      </c>
      <c r="E33" s="4" t="n">
        <v>1</v>
      </c>
      <c r="F33" s="4" t="n">
        <f aca="false">IF(SPRV_Source_For_Formulas!G126&lt;=0.2,3,IF(SPRV_Source_For_Formulas!G126&lt;=0.5,2,1))</f>
        <v>3</v>
      </c>
      <c r="G33" s="4" t="n">
        <f aca="false">4-F33</f>
        <v>1</v>
      </c>
      <c r="H33" s="7" t="str">
        <f aca="false">IF(AND(D33=3,E33*G33&gt;=6),"A",IF(AND(D33=3,E33*G33&gt;=3),"B",IF(AND(D33=3,E33*G33&gt;=1),"C","")))</f>
        <v>C</v>
      </c>
      <c r="I33" s="8" t="s">
        <v>13</v>
      </c>
      <c r="J33" s="4" t="str">
        <f aca="false">SPRV_Source_For_Formulas!D127</f>
        <v>T1021.007</v>
      </c>
      <c r="K33" s="5" t="s">
        <v>32</v>
      </c>
      <c r="L33" s="8" t="n">
        <v>3</v>
      </c>
      <c r="M33" s="4" t="n">
        <v>1</v>
      </c>
      <c r="N33" s="4" t="n">
        <f aca="false">IF(SPRV_Source_For_Formulas!G127&lt;=0.2,3,IF(SPRV_Source_For_Formulas!G127&lt;=0.5,2,1))</f>
        <v>3</v>
      </c>
      <c r="O33" s="4" t="n">
        <f aca="false">4-N33</f>
        <v>1</v>
      </c>
      <c r="P33" s="4" t="str">
        <f aca="false">IF(AND(L33=3,M33*O33&gt;=6),"A",IF(AND(L33=3,M33*O33&gt;=3),"B",IF(AND(L33=3,M33*O33&gt;=1),"C","")))</f>
        <v>C</v>
      </c>
      <c r="Q33" s="5" t="s">
        <v>33</v>
      </c>
      <c r="R33" s="4" t="str">
        <f aca="false">SPRV_Source_For_Formulas!D128</f>
        <v>T1484.002</v>
      </c>
      <c r="S33" s="8" t="s">
        <v>30</v>
      </c>
      <c r="T33" s="8" t="n">
        <v>3</v>
      </c>
      <c r="U33" s="4" t="n">
        <v>1</v>
      </c>
      <c r="V33" s="4" t="n">
        <f aca="false">IF(SPRV_Source_For_Formulas!G128&lt;=0.2,3,IF(SPRV_Source_For_Formulas!G128&lt;=0.5,2,1))</f>
        <v>3</v>
      </c>
      <c r="W33" s="4" t="n">
        <f aca="false">4-V33</f>
        <v>1</v>
      </c>
      <c r="X33" s="4" t="str">
        <f aca="false">IF(AND(T33=3,U33*W33&gt;=6),"A",IF(AND(T33=3,U33*W33&gt;=3),"B",IF(AND(T33=3,U33*W33&gt;=1),"C","")))</f>
        <v>C</v>
      </c>
      <c r="Y33" s="8" t="s">
        <v>31</v>
      </c>
      <c r="Z33" s="4" t="str">
        <f aca="false">SPRV_Source_For_Formulas!D129</f>
        <v>T1496.002</v>
      </c>
      <c r="AA33" s="5" t="s">
        <v>24</v>
      </c>
      <c r="AB33" s="8" t="n">
        <v>3</v>
      </c>
      <c r="AC33" s="4" t="n">
        <v>1</v>
      </c>
      <c r="AD33" s="4" t="n">
        <f aca="false">IF(SPRV_Source_For_Formulas!G129&lt;=0.2,3,IF(SPRV_Source_For_Formulas!G129&lt;=0.5,2,1))</f>
        <v>2</v>
      </c>
      <c r="AE33" s="4" t="n">
        <f aca="false">4-AD33</f>
        <v>2</v>
      </c>
      <c r="AF33" s="4" t="str">
        <f aca="false">IF(AND(AB33=3,AC33*AE33&gt;=6),"A",IF(AND(AB33=3,AC33*AE33&gt;=3),"B",IF(AND(AB33=3,AC33*AE33&gt;=1),"C","")))</f>
        <v>C</v>
      </c>
      <c r="AG33" s="8" t="s">
        <v>25</v>
      </c>
      <c r="AP33" s="7" t="n">
        <f aca="false">MAX(D33,L33,T33,AB33)</f>
        <v>3</v>
      </c>
      <c r="AQ33" s="7" t="n">
        <v>1</v>
      </c>
      <c r="AR33" s="7" t="n">
        <f aca="false">4-AS33</f>
        <v>1</v>
      </c>
      <c r="AS33" s="10" t="n">
        <f aca="false">MAX(F33,N33,V33,AD33)</f>
        <v>3</v>
      </c>
      <c r="AT33" s="7" t="str">
        <f aca="false">IF(AND(AP33=3,AQ33*AR33&gt;=6),"A",IF(AND(AP33=3,AQ33*AR33&gt;=3),"B",IF(AND(AP33=3,AQ33*AR33&gt;=1),"C","")))</f>
        <v>C</v>
      </c>
      <c r="AU33" s="4" t="str">
        <f aca="false">"Scenario-level Threat=1; Step1="&amp;H33&amp;" Step2="&amp;P33&amp;" Step3="&amp;X33&amp;" Step4="&amp;AF33&amp;" ; Overall Threat fixed=1, Max Mitigation="&amp;AS33&amp;" =&gt; Overall="&amp;AT33</f>
        <v>Scenario-level Threat=1; Step1=C Step2=C Step3=C Step4=C ; Overall Threat fixed=1, Max Mitigation=3 =&gt; Overall=C</v>
      </c>
      <c r="AV33" s="11"/>
      <c r="AW33" s="11"/>
      <c r="AX33" s="11"/>
    </row>
    <row r="34" customFormat="false" ht="19.5" hidden="true" customHeight="true" outlineLevel="0" collapsed="false">
      <c r="A34" s="4" t="str">
        <f aca="false">SPRV_Source_For_Formulas!D130</f>
        <v>T1189</v>
      </c>
      <c r="B34" s="5" t="s">
        <v>12</v>
      </c>
      <c r="C34" s="6"/>
      <c r="D34" s="8" t="n">
        <v>3</v>
      </c>
      <c r="E34" s="4" t="n">
        <v>1</v>
      </c>
      <c r="F34" s="4" t="n">
        <f aca="false">IF(SPRV_Source_For_Formulas!G130&lt;=0.2,3,IF(SPRV_Source_For_Formulas!G130&lt;=0.5,2,1))</f>
        <v>3</v>
      </c>
      <c r="G34" s="4" t="n">
        <f aca="false">4-F34</f>
        <v>1</v>
      </c>
      <c r="H34" s="7" t="str">
        <f aca="false">IF(AND(D34=3,E34*G34&gt;=6),"A",IF(AND(D34=3,E34*G34&gt;=3),"B",IF(AND(D34=3,E34*G34&gt;=1),"C","")))</f>
        <v>C</v>
      </c>
      <c r="I34" s="8" t="s">
        <v>13</v>
      </c>
      <c r="J34" s="4" t="str">
        <f aca="false">SPRV_Source_For_Formulas!D131</f>
        <v>T1484.002</v>
      </c>
      <c r="K34" s="5" t="s">
        <v>34</v>
      </c>
      <c r="L34" s="8" t="n">
        <v>3</v>
      </c>
      <c r="M34" s="4" t="n">
        <v>1</v>
      </c>
      <c r="N34" s="4" t="n">
        <f aca="false">IF(SPRV_Source_For_Formulas!G131&lt;=0.2,3,IF(SPRV_Source_For_Formulas!G131&lt;=0.5,2,1))</f>
        <v>3</v>
      </c>
      <c r="O34" s="4" t="n">
        <f aca="false">4-N34</f>
        <v>1</v>
      </c>
      <c r="P34" s="7" t="str">
        <f aca="false">IF(AND(L34=3,M34*O34&gt;=6),"A",IF(AND(L34=3,M34*O34&gt;=3),"B",IF(AND(L34=3,M34*O34&gt;=1),"C","")))</f>
        <v>C</v>
      </c>
      <c r="Q34" s="8" t="s">
        <v>35</v>
      </c>
      <c r="R34" s="4" t="str">
        <f aca="false">SPRV_Source_For_Formulas!D132</f>
        <v>T1651</v>
      </c>
      <c r="S34" s="5" t="s">
        <v>16</v>
      </c>
      <c r="T34" s="8" t="n">
        <v>3</v>
      </c>
      <c r="U34" s="4" t="n">
        <v>1</v>
      </c>
      <c r="V34" s="4" t="n">
        <f aca="false">IF(SPRV_Source_For_Formulas!G132&lt;=0.2,3,IF(SPRV_Source_For_Formulas!G132&lt;=0.5,2,1))</f>
        <v>3</v>
      </c>
      <c r="W34" s="4" t="n">
        <f aca="false">4-V34</f>
        <v>1</v>
      </c>
      <c r="X34" s="4" t="str">
        <f aca="false">IF(AND(T34=3,U34*W34&gt;=6),"A",IF(AND(T34=3,U34*W34&gt;=3),"B",IF(AND(T34=3,U34*W34&gt;=1),"C","")))</f>
        <v>C</v>
      </c>
      <c r="Y34" s="8" t="s">
        <v>17</v>
      </c>
      <c r="Z34" s="4" t="str">
        <f aca="false">SPRV_Source_For_Formulas!D133</f>
        <v>T1486</v>
      </c>
      <c r="AA34" s="5" t="s">
        <v>18</v>
      </c>
      <c r="AB34" s="8" t="n">
        <v>3</v>
      </c>
      <c r="AC34" s="4" t="n">
        <v>1</v>
      </c>
      <c r="AD34" s="4" t="n">
        <f aca="false">IF(SPRV_Source_For_Formulas!G133&lt;=0.2,3,IF(SPRV_Source_For_Formulas!G133&lt;=0.5,2,1))</f>
        <v>3</v>
      </c>
      <c r="AE34" s="4" t="n">
        <f aca="false">4-AD34</f>
        <v>1</v>
      </c>
      <c r="AF34" s="4" t="str">
        <f aca="false">IF(AND(AB34=3,AC34*AE34&gt;=6),"A",IF(AND(AB34=3,AC34*AE34&gt;=3),"B",IF(AND(AB34=3,AC34*AE34&gt;=1),"C","")))</f>
        <v>C</v>
      </c>
      <c r="AG34" s="9" t="s">
        <v>19</v>
      </c>
      <c r="AP34" s="7" t="n">
        <f aca="false">MAX(D34,L34,T34,AB34)</f>
        <v>3</v>
      </c>
      <c r="AQ34" s="7" t="n">
        <v>1</v>
      </c>
      <c r="AR34" s="7" t="n">
        <f aca="false">4-AS34</f>
        <v>1</v>
      </c>
      <c r="AS34" s="10" t="n">
        <f aca="false">MAX(F34,N34,V34,AD34)</f>
        <v>3</v>
      </c>
      <c r="AT34" s="7" t="str">
        <f aca="false">IF(AND(AP34=3,AQ34*AR34&gt;=6),"A",IF(AND(AP34=3,AQ34*AR34&gt;=3),"B",IF(AND(AP34=3,AQ34*AR34&gt;=1),"C","")))</f>
        <v>C</v>
      </c>
      <c r="AU34" s="4" t="str">
        <f aca="false">"Scenario-level Threat=1; Step1="&amp;H34&amp;" Step2="&amp;P34&amp;" Step3="&amp;X34&amp;" Step4="&amp;AF34&amp;" ; Overall Threat fixed=1, Max Mitigation="&amp;AS34&amp;" =&gt; Overall="&amp;AT34</f>
        <v>Scenario-level Threat=1; Step1=C Step2=C Step3=C Step4=C ; Overall Threat fixed=1, Max Mitigation=3 =&gt; Overall=C</v>
      </c>
      <c r="AV34" s="11"/>
      <c r="AW34" s="11"/>
      <c r="AX34" s="11"/>
    </row>
    <row r="35" customFormat="false" ht="19.5" hidden="false" customHeight="true" outlineLevel="0" collapsed="false">
      <c r="A35" s="4" t="str">
        <f aca="false">SPRV_Source_For_Formulas!D134</f>
        <v>T1189</v>
      </c>
      <c r="B35" s="5" t="s">
        <v>12</v>
      </c>
      <c r="C35" s="6"/>
      <c r="D35" s="8" t="n">
        <v>3</v>
      </c>
      <c r="E35" s="4" t="n">
        <v>1</v>
      </c>
      <c r="F35" s="4" t="n">
        <f aca="false">IF(SPRV_Source_For_Formulas!G134&lt;=0.2,3,IF(SPRV_Source_For_Formulas!G134&lt;=0.5,2,1))</f>
        <v>3</v>
      </c>
      <c r="G35" s="4" t="n">
        <f aca="false">4-F35</f>
        <v>1</v>
      </c>
      <c r="H35" s="7" t="str">
        <f aca="false">IF(AND(D35=3,E35*G35&gt;=6),"A",IF(AND(D35=3,E35*G35&gt;=3),"B",IF(AND(D35=3,E35*G35&gt;=1),"C","")))</f>
        <v>C</v>
      </c>
      <c r="I35" s="8" t="s">
        <v>13</v>
      </c>
      <c r="J35" s="4" t="str">
        <f aca="false">SPRV_Source_For_Formulas!D135</f>
        <v>T1484.002</v>
      </c>
      <c r="K35" s="5" t="s">
        <v>34</v>
      </c>
      <c r="L35" s="8" t="n">
        <v>3</v>
      </c>
      <c r="M35" s="4" t="n">
        <v>1</v>
      </c>
      <c r="N35" s="4" t="n">
        <f aca="false">IF(SPRV_Source_For_Formulas!G135&lt;=0.2,3,IF(SPRV_Source_For_Formulas!G135&lt;=0.5,2,1))</f>
        <v>3</v>
      </c>
      <c r="O35" s="4" t="n">
        <f aca="false">4-N35</f>
        <v>1</v>
      </c>
      <c r="P35" s="7" t="str">
        <f aca="false">IF(AND(L35=3,M35*O35&gt;=6),"A",IF(AND(L35=3,M35*O35&gt;=3),"B",IF(AND(L35=3,M35*O35&gt;=1),"C","")))</f>
        <v>C</v>
      </c>
      <c r="Q35" s="8" t="s">
        <v>35</v>
      </c>
      <c r="R35" s="4" t="str">
        <f aca="false">SPRV_Source_For_Formulas!D136</f>
        <v>T1651</v>
      </c>
      <c r="S35" s="5" t="s">
        <v>16</v>
      </c>
      <c r="T35" s="8" t="n">
        <v>3</v>
      </c>
      <c r="U35" s="4" t="n">
        <v>1</v>
      </c>
      <c r="V35" s="4" t="n">
        <f aca="false">IF(SPRV_Source_For_Formulas!G136&lt;=0.2,3,IF(SPRV_Source_For_Formulas!G136&lt;=0.5,2,1))</f>
        <v>3</v>
      </c>
      <c r="W35" s="4" t="n">
        <f aca="false">4-V35</f>
        <v>1</v>
      </c>
      <c r="X35" s="4" t="str">
        <f aca="false">IF(AND(T35=3,U35*W35&gt;=6),"A",IF(AND(T35=3,U35*W35&gt;=3),"B",IF(AND(T35=3,U35*W35&gt;=1),"C","")))</f>
        <v>C</v>
      </c>
      <c r="Y35" s="8" t="s">
        <v>17</v>
      </c>
      <c r="Z35" s="4" t="str">
        <f aca="false">SPRV_Source_For_Formulas!D137</f>
        <v>T1496.001</v>
      </c>
      <c r="AA35" s="5" t="s">
        <v>20</v>
      </c>
      <c r="AB35" s="8" t="n">
        <v>3</v>
      </c>
      <c r="AC35" s="4" t="n">
        <v>1</v>
      </c>
      <c r="AD35" s="4" t="n">
        <f aca="false">IF(SPRV_Source_For_Formulas!G137&lt;=0.2,3,IF(SPRV_Source_For_Formulas!G137&lt;=0.5,2,1))</f>
        <v>2</v>
      </c>
      <c r="AE35" s="4" t="n">
        <f aca="false">4-AD35</f>
        <v>2</v>
      </c>
      <c r="AF35" s="4" t="str">
        <f aca="false">IF(AND(AB35=3,AC35*AE35&gt;=6),"A",IF(AND(AB35=3,AC35*AE35&gt;=3),"B",IF(AND(AB35=3,AC35*AE35&gt;=1),"C","")))</f>
        <v>C</v>
      </c>
      <c r="AG35" s="12" t="s">
        <v>21</v>
      </c>
      <c r="AP35" s="7" t="n">
        <f aca="false">MAX(D35,L35,T35,AB35)</f>
        <v>3</v>
      </c>
      <c r="AQ35" s="7" t="n">
        <v>1</v>
      </c>
      <c r="AR35" s="7" t="n">
        <f aca="false">4-AS35</f>
        <v>1</v>
      </c>
      <c r="AS35" s="10" t="n">
        <f aca="false">MAX(F35,N35,V35,AD35)</f>
        <v>3</v>
      </c>
      <c r="AT35" s="7" t="str">
        <f aca="false">IF(AND(AP35=3,AQ35*AR35&gt;=6),"A",IF(AND(AP35=3,AQ35*AR35&gt;=3),"B",IF(AND(AP35=3,AQ35*AR35&gt;=1),"C","")))</f>
        <v>C</v>
      </c>
      <c r="AU35" s="4" t="str">
        <f aca="false">"Scenario-level Threat=1; Step1="&amp;H35&amp;" Step2="&amp;P35&amp;" Step3="&amp;X35&amp;" Step4="&amp;AF35&amp;" ; Overall Threat fixed=1, Max Mitigation="&amp;AS35&amp;" =&gt; Overall="&amp;AT35</f>
        <v>Scenario-level Threat=1; Step1=C Step2=C Step3=C Step4=C ; Overall Threat fixed=1, Max Mitigation=3 =&gt; Overall=C</v>
      </c>
      <c r="AV35" s="11"/>
      <c r="AW35" s="11"/>
      <c r="AX35" s="11"/>
    </row>
    <row r="36" customFormat="false" ht="18" hidden="true" customHeight="false" outlineLevel="0" collapsed="false">
      <c r="A36" s="4" t="str">
        <f aca="false">SPRV_Source_For_Formulas!D138</f>
        <v>T1189</v>
      </c>
      <c r="B36" s="5" t="s">
        <v>12</v>
      </c>
      <c r="C36" s="6"/>
      <c r="D36" s="8" t="n">
        <v>3</v>
      </c>
      <c r="E36" s="4" t="n">
        <v>1</v>
      </c>
      <c r="F36" s="4" t="n">
        <f aca="false">IF(SPRV_Source_For_Formulas!G138&lt;=0.2,3,IF(SPRV_Source_For_Formulas!G138&lt;=0.5,2,1))</f>
        <v>3</v>
      </c>
      <c r="G36" s="4" t="n">
        <f aca="false">4-F36</f>
        <v>1</v>
      </c>
      <c r="H36" s="7" t="str">
        <f aca="false">IF(AND(D36=3,E36*G36&gt;=6),"A",IF(AND(D36=3,E36*G36&gt;=3),"B",IF(AND(D36=3,E36*G36&gt;=1),"C","")))</f>
        <v>C</v>
      </c>
      <c r="I36" s="8" t="s">
        <v>13</v>
      </c>
      <c r="J36" s="4" t="str">
        <f aca="false">SPRV_Source_For_Formulas!D139</f>
        <v>T1484.002</v>
      </c>
      <c r="K36" s="5" t="s">
        <v>34</v>
      </c>
      <c r="L36" s="8" t="n">
        <v>3</v>
      </c>
      <c r="M36" s="4" t="n">
        <v>1</v>
      </c>
      <c r="N36" s="4" t="n">
        <f aca="false">IF(SPRV_Source_For_Formulas!G139&lt;=0.2,3,IF(SPRV_Source_For_Formulas!G139&lt;=0.5,2,1))</f>
        <v>3</v>
      </c>
      <c r="O36" s="4" t="n">
        <f aca="false">4-N36</f>
        <v>1</v>
      </c>
      <c r="P36" s="7" t="str">
        <f aca="false">IF(AND(L36=3,M36*O36&gt;=6),"A",IF(AND(L36=3,M36*O36&gt;=3),"B",IF(AND(L36=3,M36*O36&gt;=1),"C","")))</f>
        <v>C</v>
      </c>
      <c r="Q36" s="8" t="s">
        <v>35</v>
      </c>
      <c r="R36" s="4" t="str">
        <f aca="false">SPRV_Source_For_Formulas!D140</f>
        <v>T1651</v>
      </c>
      <c r="S36" s="5" t="s">
        <v>16</v>
      </c>
      <c r="T36" s="8" t="n">
        <v>3</v>
      </c>
      <c r="U36" s="4" t="n">
        <v>1</v>
      </c>
      <c r="V36" s="4" t="n">
        <f aca="false">IF(SPRV_Source_For_Formulas!G140&lt;=0.2,3,IF(SPRV_Source_For_Formulas!G140&lt;=0.5,2,1))</f>
        <v>3</v>
      </c>
      <c r="W36" s="4" t="n">
        <f aca="false">4-V36</f>
        <v>1</v>
      </c>
      <c r="X36" s="4" t="str">
        <f aca="false">IF(AND(T36=3,U36*W36&gt;=6),"A",IF(AND(T36=3,U36*W36&gt;=3),"B",IF(AND(T36=3,U36*W36&gt;=1),"C","")))</f>
        <v>C</v>
      </c>
      <c r="Y36" s="8" t="s">
        <v>17</v>
      </c>
      <c r="Z36" s="4" t="str">
        <f aca="false">SPRV_Source_For_Formulas!D141</f>
        <v>T1496.004</v>
      </c>
      <c r="AA36" s="5" t="s">
        <v>22</v>
      </c>
      <c r="AB36" s="8" t="n">
        <v>3</v>
      </c>
      <c r="AC36" s="4" t="n">
        <v>1</v>
      </c>
      <c r="AD36" s="4" t="n">
        <f aca="false">IF(SPRV_Source_For_Formulas!G141&lt;=0.2,3,IF(SPRV_Source_For_Formulas!G141&lt;=0.5,2,1))</f>
        <v>2</v>
      </c>
      <c r="AE36" s="4" t="n">
        <f aca="false">4-AD36</f>
        <v>2</v>
      </c>
      <c r="AF36" s="4" t="str">
        <f aca="false">IF(AND(AB36=3,AC36*AE36&gt;=6),"A",IF(AND(AB36=3,AC36*AE36&gt;=3),"B",IF(AND(AB36=3,AC36*AE36&gt;=1),"C","")))</f>
        <v>C</v>
      </c>
      <c r="AG36" s="8" t="s">
        <v>23</v>
      </c>
      <c r="AP36" s="7" t="n">
        <f aca="false">MAX(D36,L36,T36,AB36)</f>
        <v>3</v>
      </c>
      <c r="AQ36" s="7" t="n">
        <v>1</v>
      </c>
      <c r="AR36" s="7" t="n">
        <f aca="false">4-AS36</f>
        <v>1</v>
      </c>
      <c r="AS36" s="10" t="n">
        <f aca="false">MAX(F36,N36,V36,AD36)</f>
        <v>3</v>
      </c>
      <c r="AT36" s="7" t="str">
        <f aca="false">IF(AND(AP36=3,AQ36*AR36&gt;=6),"A",IF(AND(AP36=3,AQ36*AR36&gt;=3),"B",IF(AND(AP36=3,AQ36*AR36&gt;=1),"C","")))</f>
        <v>C</v>
      </c>
      <c r="AU36" s="4" t="str">
        <f aca="false">"Scenario-level Threat=1; Step1="&amp;H36&amp;" Step2="&amp;P36&amp;" Step3="&amp;X36&amp;" Step4="&amp;AF36&amp;" ; Overall Threat fixed=1, Max Mitigation="&amp;AS36&amp;" =&gt; Overall="&amp;AT36</f>
        <v>Scenario-level Threat=1; Step1=C Step2=C Step3=C Step4=C ; Overall Threat fixed=1, Max Mitigation=3 =&gt; Overall=C</v>
      </c>
      <c r="AV36" s="11"/>
      <c r="AW36" s="11"/>
      <c r="AX36" s="11"/>
    </row>
    <row r="37" customFormat="false" ht="18" hidden="true" customHeight="false" outlineLevel="0" collapsed="false">
      <c r="A37" s="4" t="str">
        <f aca="false">SPRV_Source_For_Formulas!D142</f>
        <v>T1189</v>
      </c>
      <c r="B37" s="5" t="s">
        <v>12</v>
      </c>
      <c r="C37" s="6"/>
      <c r="D37" s="8" t="n">
        <v>3</v>
      </c>
      <c r="E37" s="4" t="n">
        <v>1</v>
      </c>
      <c r="F37" s="4" t="n">
        <f aca="false">IF(SPRV_Source_For_Formulas!G142&lt;=0.2,3,IF(SPRV_Source_For_Formulas!G142&lt;=0.5,2,1))</f>
        <v>3</v>
      </c>
      <c r="G37" s="4" t="n">
        <f aca="false">4-F37</f>
        <v>1</v>
      </c>
      <c r="H37" s="7" t="str">
        <f aca="false">IF(AND(D37=3,E37*G37&gt;=6),"A",IF(AND(D37=3,E37*G37&gt;=3),"B",IF(AND(D37=3,E37*G37&gt;=1),"C","")))</f>
        <v>C</v>
      </c>
      <c r="I37" s="8" t="s">
        <v>13</v>
      </c>
      <c r="J37" s="4" t="str">
        <f aca="false">SPRV_Source_For_Formulas!D143</f>
        <v>T1484.002</v>
      </c>
      <c r="K37" s="5" t="s">
        <v>34</v>
      </c>
      <c r="L37" s="8" t="n">
        <v>3</v>
      </c>
      <c r="M37" s="4" t="n">
        <v>1</v>
      </c>
      <c r="N37" s="4" t="n">
        <f aca="false">IF(SPRV_Source_For_Formulas!G143&lt;=0.2,3,IF(SPRV_Source_For_Formulas!G143&lt;=0.5,2,1))</f>
        <v>3</v>
      </c>
      <c r="O37" s="4" t="n">
        <f aca="false">4-N37</f>
        <v>1</v>
      </c>
      <c r="P37" s="7" t="str">
        <f aca="false">IF(AND(L37=3,M37*O37&gt;=6),"A",IF(AND(L37=3,M37*O37&gt;=3),"B",IF(AND(L37=3,M37*O37&gt;=1),"C","")))</f>
        <v>C</v>
      </c>
      <c r="Q37" s="8" t="s">
        <v>35</v>
      </c>
      <c r="R37" s="4" t="str">
        <f aca="false">SPRV_Source_For_Formulas!D144</f>
        <v>T1651</v>
      </c>
      <c r="S37" s="5" t="s">
        <v>16</v>
      </c>
      <c r="T37" s="8" t="n">
        <v>3</v>
      </c>
      <c r="U37" s="4" t="n">
        <v>1</v>
      </c>
      <c r="V37" s="4" t="n">
        <f aca="false">IF(SPRV_Source_For_Formulas!G144&lt;=0.2,3,IF(SPRV_Source_For_Formulas!G144&lt;=0.5,2,1))</f>
        <v>3</v>
      </c>
      <c r="W37" s="4" t="n">
        <f aca="false">4-V37</f>
        <v>1</v>
      </c>
      <c r="X37" s="4" t="str">
        <f aca="false">IF(AND(T37=3,U37*W37&gt;=6),"A",IF(AND(T37=3,U37*W37&gt;=3),"B",IF(AND(T37=3,U37*W37&gt;=1),"C","")))</f>
        <v>C</v>
      </c>
      <c r="Y37" s="8" t="s">
        <v>17</v>
      </c>
      <c r="Z37" s="4" t="str">
        <f aca="false">SPRV_Source_For_Formulas!D145</f>
        <v>T1496.002</v>
      </c>
      <c r="AA37" s="5" t="s">
        <v>24</v>
      </c>
      <c r="AB37" s="8" t="n">
        <v>3</v>
      </c>
      <c r="AC37" s="4" t="n">
        <v>1</v>
      </c>
      <c r="AD37" s="4" t="n">
        <f aca="false">IF(SPRV_Source_For_Formulas!G145&lt;=0.2,3,IF(SPRV_Source_For_Formulas!G145&lt;=0.5,2,1))</f>
        <v>2</v>
      </c>
      <c r="AE37" s="4" t="n">
        <f aca="false">4-AD37</f>
        <v>2</v>
      </c>
      <c r="AF37" s="4" t="str">
        <f aca="false">IF(AND(AB37=3,AC37*AE37&gt;=6),"A",IF(AND(AB37=3,AC37*AE37&gt;=3),"B",IF(AND(AB37=3,AC37*AE37&gt;=1),"C","")))</f>
        <v>C</v>
      </c>
      <c r="AG37" s="8" t="s">
        <v>25</v>
      </c>
      <c r="AP37" s="7" t="n">
        <f aca="false">MAX(D37,L37,T37,AB37)</f>
        <v>3</v>
      </c>
      <c r="AQ37" s="7" t="n">
        <v>1</v>
      </c>
      <c r="AR37" s="7" t="n">
        <f aca="false">4-AS37</f>
        <v>1</v>
      </c>
      <c r="AS37" s="10" t="n">
        <f aca="false">MAX(F37,N37,V37,AD37)</f>
        <v>3</v>
      </c>
      <c r="AT37" s="7" t="str">
        <f aca="false">IF(AND(AP37=3,AQ37*AR37&gt;=6),"A",IF(AND(AP37=3,AQ37*AR37&gt;=3),"B",IF(AND(AP37=3,AQ37*AR37&gt;=1),"C","")))</f>
        <v>C</v>
      </c>
      <c r="AU37" s="4" t="str">
        <f aca="false">"Scenario-level Threat=1; Step1="&amp;H37&amp;" Step2="&amp;P37&amp;" Step3="&amp;X37&amp;" Step4="&amp;AF37&amp;" ; Overall Threat fixed=1, Max Mitigation="&amp;AS37&amp;" =&gt; Overall="&amp;AT37</f>
        <v>Scenario-level Threat=1; Step1=C Step2=C Step3=C Step4=C ; Overall Threat fixed=1, Max Mitigation=3 =&gt; Overall=C</v>
      </c>
      <c r="AV37" s="11"/>
      <c r="AW37" s="11"/>
      <c r="AX37" s="11"/>
    </row>
    <row r="38" customFormat="false" ht="19.5" hidden="true" customHeight="true" outlineLevel="0" collapsed="false">
      <c r="A38" s="4" t="str">
        <f aca="false">SPRV_Source_For_Formulas!D146</f>
        <v>T1189</v>
      </c>
      <c r="B38" s="5" t="s">
        <v>12</v>
      </c>
      <c r="C38" s="6"/>
      <c r="D38" s="8" t="n">
        <v>3</v>
      </c>
      <c r="E38" s="4" t="n">
        <v>1</v>
      </c>
      <c r="F38" s="4" t="n">
        <f aca="false">IF(SPRV_Source_For_Formulas!G146&lt;=0.2,3,IF(SPRV_Source_For_Formulas!G146&lt;=0.5,2,1))</f>
        <v>3</v>
      </c>
      <c r="G38" s="4" t="n">
        <f aca="false">4-F38</f>
        <v>1</v>
      </c>
      <c r="H38" s="7" t="str">
        <f aca="false">IF(AND(D38=3,E38*G38&gt;=6),"A",IF(AND(D38=3,E38*G38&gt;=3),"B",IF(AND(D38=3,E38*G38&gt;=1),"C","")))</f>
        <v>C</v>
      </c>
      <c r="I38" s="8" t="s">
        <v>13</v>
      </c>
      <c r="J38" s="4" t="str">
        <f aca="false">SPRV_Source_For_Formulas!D147</f>
        <v>T1484.002</v>
      </c>
      <c r="K38" s="5" t="s">
        <v>34</v>
      </c>
      <c r="L38" s="8" t="n">
        <v>3</v>
      </c>
      <c r="M38" s="4" t="n">
        <v>1</v>
      </c>
      <c r="N38" s="4" t="n">
        <f aca="false">IF(SPRV_Source_For_Formulas!G147&lt;=0.2,3,IF(SPRV_Source_For_Formulas!G147&lt;=0.5,2,1))</f>
        <v>3</v>
      </c>
      <c r="O38" s="4" t="n">
        <f aca="false">4-N38</f>
        <v>1</v>
      </c>
      <c r="P38" s="7" t="str">
        <f aca="false">IF(AND(L38=3,M38*O38&gt;=6),"A",IF(AND(L38=3,M38*O38&gt;=3),"B",IF(AND(L38=3,M38*O38&gt;=1),"C","")))</f>
        <v>C</v>
      </c>
      <c r="Q38" s="8" t="s">
        <v>35</v>
      </c>
      <c r="R38" s="4" t="str">
        <f aca="false">SPRV_Source_For_Formulas!D148</f>
        <v>T1555.006</v>
      </c>
      <c r="S38" s="8" t="s">
        <v>26</v>
      </c>
      <c r="T38" s="8" t="n">
        <v>3</v>
      </c>
      <c r="U38" s="4" t="n">
        <v>1</v>
      </c>
      <c r="V38" s="4" t="n">
        <f aca="false">IF(SPRV_Source_For_Formulas!G148&lt;=0.2,3,IF(SPRV_Source_For_Formulas!G148&lt;=0.5,2,1))</f>
        <v>3</v>
      </c>
      <c r="W38" s="4" t="n">
        <f aca="false">4-V38</f>
        <v>1</v>
      </c>
      <c r="X38" s="4" t="str">
        <f aca="false">IF(AND(T38=3,U38*W38&gt;=6),"A",IF(AND(T38=3,U38*W38&gt;=3),"B",IF(AND(T38=3,U38*W38&gt;=1),"C","")))</f>
        <v>C</v>
      </c>
      <c r="Y38" s="8" t="s">
        <v>27</v>
      </c>
      <c r="Z38" s="4" t="str">
        <f aca="false">SPRV_Source_For_Formulas!D149</f>
        <v>T1486</v>
      </c>
      <c r="AA38" s="5" t="s">
        <v>18</v>
      </c>
      <c r="AB38" s="8" t="n">
        <v>3</v>
      </c>
      <c r="AC38" s="4" t="n">
        <v>1</v>
      </c>
      <c r="AD38" s="4" t="n">
        <f aca="false">IF(SPRV_Source_For_Formulas!G149&lt;=0.2,3,IF(SPRV_Source_For_Formulas!G149&lt;=0.5,2,1))</f>
        <v>3</v>
      </c>
      <c r="AE38" s="4" t="n">
        <f aca="false">4-AD38</f>
        <v>1</v>
      </c>
      <c r="AF38" s="4" t="str">
        <f aca="false">IF(AND(AB38=3,AC38*AE38&gt;=6),"A",IF(AND(AB38=3,AC38*AE38&gt;=3),"B",IF(AND(AB38=3,AC38*AE38&gt;=1),"C","")))</f>
        <v>C</v>
      </c>
      <c r="AG38" s="9" t="s">
        <v>19</v>
      </c>
      <c r="AP38" s="7" t="n">
        <f aca="false">MAX(D38,L38,T38,AB38)</f>
        <v>3</v>
      </c>
      <c r="AQ38" s="7" t="n">
        <v>1</v>
      </c>
      <c r="AR38" s="7" t="n">
        <f aca="false">4-AS38</f>
        <v>1</v>
      </c>
      <c r="AS38" s="10" t="n">
        <f aca="false">MAX(F38,N38,V38,AD38)</f>
        <v>3</v>
      </c>
      <c r="AT38" s="7" t="str">
        <f aca="false">IF(AND(AP38=3,AQ38*AR38&gt;=6),"A",IF(AND(AP38=3,AQ38*AR38&gt;=3),"B",IF(AND(AP38=3,AQ38*AR38&gt;=1),"C","")))</f>
        <v>C</v>
      </c>
      <c r="AU38" s="4" t="str">
        <f aca="false">"Scenario-level Threat=1; Step1="&amp;H38&amp;" Step2="&amp;P38&amp;" Step3="&amp;X38&amp;" Step4="&amp;AF38&amp;" ; Overall Threat fixed=1, Max Mitigation="&amp;AS38&amp;" =&gt; Overall="&amp;AT38</f>
        <v>Scenario-level Threat=1; Step1=C Step2=C Step3=C Step4=C ; Overall Threat fixed=1, Max Mitigation=3 =&gt; Overall=C</v>
      </c>
      <c r="AV38" s="11"/>
      <c r="AW38" s="11"/>
      <c r="AX38" s="11"/>
    </row>
    <row r="39" customFormat="false" ht="19.5" hidden="false" customHeight="true" outlineLevel="0" collapsed="false">
      <c r="A39" s="4" t="str">
        <f aca="false">SPRV_Source_For_Formulas!D150</f>
        <v>T1189</v>
      </c>
      <c r="B39" s="5" t="s">
        <v>12</v>
      </c>
      <c r="C39" s="6"/>
      <c r="D39" s="8" t="n">
        <v>3</v>
      </c>
      <c r="E39" s="4" t="n">
        <v>1</v>
      </c>
      <c r="F39" s="4" t="n">
        <f aca="false">IF(SPRV_Source_For_Formulas!G150&lt;=0.2,3,IF(SPRV_Source_For_Formulas!G150&lt;=0.5,2,1))</f>
        <v>3</v>
      </c>
      <c r="G39" s="4" t="n">
        <f aca="false">4-F39</f>
        <v>1</v>
      </c>
      <c r="H39" s="7" t="str">
        <f aca="false">IF(AND(D39=3,E39*G39&gt;=6),"A",IF(AND(D39=3,E39*G39&gt;=3),"B",IF(AND(D39=3,E39*G39&gt;=1),"C","")))</f>
        <v>C</v>
      </c>
      <c r="I39" s="8" t="s">
        <v>13</v>
      </c>
      <c r="J39" s="4" t="str">
        <f aca="false">SPRV_Source_For_Formulas!D151</f>
        <v>T1484.002</v>
      </c>
      <c r="K39" s="5" t="s">
        <v>34</v>
      </c>
      <c r="L39" s="8" t="n">
        <v>3</v>
      </c>
      <c r="M39" s="4" t="n">
        <v>1</v>
      </c>
      <c r="N39" s="4" t="n">
        <f aca="false">IF(SPRV_Source_For_Formulas!G151&lt;=0.2,3,IF(SPRV_Source_For_Formulas!G151&lt;=0.5,2,1))</f>
        <v>3</v>
      </c>
      <c r="O39" s="4" t="n">
        <f aca="false">4-N39</f>
        <v>1</v>
      </c>
      <c r="P39" s="7" t="str">
        <f aca="false">IF(AND(L39=3,M39*O39&gt;=6),"A",IF(AND(L39=3,M39*O39&gt;=3),"B",IF(AND(L39=3,M39*O39&gt;=1),"C","")))</f>
        <v>C</v>
      </c>
      <c r="Q39" s="8" t="s">
        <v>35</v>
      </c>
      <c r="R39" s="4" t="str">
        <f aca="false">SPRV_Source_For_Formulas!D152</f>
        <v>T1555.006</v>
      </c>
      <c r="S39" s="8" t="s">
        <v>26</v>
      </c>
      <c r="T39" s="8" t="n">
        <v>3</v>
      </c>
      <c r="U39" s="4" t="n">
        <v>1</v>
      </c>
      <c r="V39" s="4" t="n">
        <f aca="false">IF(SPRV_Source_For_Formulas!G152&lt;=0.2,3,IF(SPRV_Source_For_Formulas!G152&lt;=0.5,2,1))</f>
        <v>3</v>
      </c>
      <c r="W39" s="4" t="n">
        <f aca="false">4-V39</f>
        <v>1</v>
      </c>
      <c r="X39" s="4" t="str">
        <f aca="false">IF(AND(T39=3,U39*W39&gt;=6),"A",IF(AND(T39=3,U39*W39&gt;=3),"B",IF(AND(T39=3,U39*W39&gt;=1),"C","")))</f>
        <v>C</v>
      </c>
      <c r="Y39" s="8" t="s">
        <v>27</v>
      </c>
      <c r="Z39" s="4" t="str">
        <f aca="false">SPRV_Source_For_Formulas!D153</f>
        <v>T1496.001</v>
      </c>
      <c r="AA39" s="5" t="s">
        <v>20</v>
      </c>
      <c r="AB39" s="8" t="n">
        <v>3</v>
      </c>
      <c r="AC39" s="4" t="n">
        <v>1</v>
      </c>
      <c r="AD39" s="4" t="n">
        <f aca="false">IF(SPRV_Source_For_Formulas!G153&lt;=0.2,3,IF(SPRV_Source_For_Formulas!G153&lt;=0.5,2,1))</f>
        <v>2</v>
      </c>
      <c r="AE39" s="4" t="n">
        <f aca="false">4-AD39</f>
        <v>2</v>
      </c>
      <c r="AF39" s="4" t="str">
        <f aca="false">IF(AND(AB39=3,AC39*AE39&gt;=6),"A",IF(AND(AB39=3,AC39*AE39&gt;=3),"B",IF(AND(AB39=3,AC39*AE39&gt;=1),"C","")))</f>
        <v>C</v>
      </c>
      <c r="AG39" s="12" t="s">
        <v>21</v>
      </c>
      <c r="AP39" s="7" t="n">
        <f aca="false">MAX(D39,L39,T39,AB39)</f>
        <v>3</v>
      </c>
      <c r="AQ39" s="7" t="n">
        <v>1</v>
      </c>
      <c r="AR39" s="7" t="n">
        <f aca="false">4-AS39</f>
        <v>1</v>
      </c>
      <c r="AS39" s="10" t="n">
        <f aca="false">MAX(F39,N39,V39,AD39)</f>
        <v>3</v>
      </c>
      <c r="AT39" s="7" t="str">
        <f aca="false">IF(AND(AP39=3,AQ39*AR39&gt;=6),"A",IF(AND(AP39=3,AQ39*AR39&gt;=3),"B",IF(AND(AP39=3,AQ39*AR39&gt;=1),"C","")))</f>
        <v>C</v>
      </c>
      <c r="AU39" s="4" t="str">
        <f aca="false">"Scenario-level Threat=1; Step1="&amp;H39&amp;" Step2="&amp;P39&amp;" Step3="&amp;X39&amp;" Step4="&amp;AF39&amp;" ; Overall Threat fixed=1, Max Mitigation="&amp;AS39&amp;" =&gt; Overall="&amp;AT39</f>
        <v>Scenario-level Threat=1; Step1=C Step2=C Step3=C Step4=C ; Overall Threat fixed=1, Max Mitigation=3 =&gt; Overall=C</v>
      </c>
      <c r="AV39" s="11"/>
      <c r="AW39" s="11"/>
      <c r="AX39" s="11"/>
    </row>
    <row r="40" customFormat="false" ht="18" hidden="true" customHeight="false" outlineLevel="0" collapsed="false">
      <c r="A40" s="4" t="str">
        <f aca="false">SPRV_Source_For_Formulas!D154</f>
        <v>T1189</v>
      </c>
      <c r="B40" s="5" t="s">
        <v>12</v>
      </c>
      <c r="C40" s="6"/>
      <c r="D40" s="8" t="n">
        <v>3</v>
      </c>
      <c r="E40" s="4" t="n">
        <v>1</v>
      </c>
      <c r="F40" s="4" t="n">
        <f aca="false">IF(SPRV_Source_For_Formulas!G154&lt;=0.2,3,IF(SPRV_Source_For_Formulas!G154&lt;=0.5,2,1))</f>
        <v>3</v>
      </c>
      <c r="G40" s="4" t="n">
        <f aca="false">4-F40</f>
        <v>1</v>
      </c>
      <c r="H40" s="7" t="str">
        <f aca="false">IF(AND(D40=3,E40*G40&gt;=6),"A",IF(AND(D40=3,E40*G40&gt;=3),"B",IF(AND(D40=3,E40*G40&gt;=1),"C","")))</f>
        <v>C</v>
      </c>
      <c r="I40" s="8" t="s">
        <v>13</v>
      </c>
      <c r="J40" s="4" t="str">
        <f aca="false">SPRV_Source_For_Formulas!D155</f>
        <v>T1484.002</v>
      </c>
      <c r="K40" s="5" t="s">
        <v>34</v>
      </c>
      <c r="L40" s="8" t="n">
        <v>3</v>
      </c>
      <c r="M40" s="4" t="n">
        <v>1</v>
      </c>
      <c r="N40" s="4" t="n">
        <f aca="false">IF(SPRV_Source_For_Formulas!G155&lt;=0.2,3,IF(SPRV_Source_For_Formulas!G155&lt;=0.5,2,1))</f>
        <v>3</v>
      </c>
      <c r="O40" s="4" t="n">
        <f aca="false">4-N40</f>
        <v>1</v>
      </c>
      <c r="P40" s="7" t="str">
        <f aca="false">IF(AND(L40=3,M40*O40&gt;=6),"A",IF(AND(L40=3,M40*O40&gt;=3),"B",IF(AND(L40=3,M40*O40&gt;=1),"C","")))</f>
        <v>C</v>
      </c>
      <c r="Q40" s="8" t="s">
        <v>35</v>
      </c>
      <c r="R40" s="4" t="str">
        <f aca="false">SPRV_Source_For_Formulas!D156</f>
        <v>T1555.006</v>
      </c>
      <c r="S40" s="8" t="s">
        <v>26</v>
      </c>
      <c r="T40" s="8" t="n">
        <v>3</v>
      </c>
      <c r="U40" s="4" t="n">
        <v>1</v>
      </c>
      <c r="V40" s="4" t="n">
        <f aca="false">IF(SPRV_Source_For_Formulas!G156&lt;=0.2,3,IF(SPRV_Source_For_Formulas!G156&lt;=0.5,2,1))</f>
        <v>3</v>
      </c>
      <c r="W40" s="4" t="n">
        <f aca="false">4-V40</f>
        <v>1</v>
      </c>
      <c r="X40" s="4" t="str">
        <f aca="false">IF(AND(T40=3,U40*W40&gt;=6),"A",IF(AND(T40=3,U40*W40&gt;=3),"B",IF(AND(T40=3,U40*W40&gt;=1),"C","")))</f>
        <v>C</v>
      </c>
      <c r="Y40" s="8" t="s">
        <v>27</v>
      </c>
      <c r="Z40" s="4" t="str">
        <f aca="false">SPRV_Source_For_Formulas!D157</f>
        <v>T1496.004</v>
      </c>
      <c r="AA40" s="5" t="s">
        <v>22</v>
      </c>
      <c r="AB40" s="8" t="n">
        <v>3</v>
      </c>
      <c r="AC40" s="4" t="n">
        <v>1</v>
      </c>
      <c r="AD40" s="4" t="n">
        <f aca="false">IF(SPRV_Source_For_Formulas!G157&lt;=0.2,3,IF(SPRV_Source_For_Formulas!G157&lt;=0.5,2,1))</f>
        <v>2</v>
      </c>
      <c r="AE40" s="4" t="n">
        <f aca="false">4-AD40</f>
        <v>2</v>
      </c>
      <c r="AF40" s="4" t="str">
        <f aca="false">IF(AND(AB40=3,AC40*AE40&gt;=6),"A",IF(AND(AB40=3,AC40*AE40&gt;=3),"B",IF(AND(AB40=3,AC40*AE40&gt;=1),"C","")))</f>
        <v>C</v>
      </c>
      <c r="AG40" s="8" t="s">
        <v>23</v>
      </c>
      <c r="AP40" s="7" t="n">
        <f aca="false">MAX(D40,L40,T40,AB40)</f>
        <v>3</v>
      </c>
      <c r="AQ40" s="7" t="n">
        <v>1</v>
      </c>
      <c r="AR40" s="7" t="n">
        <f aca="false">4-AS40</f>
        <v>1</v>
      </c>
      <c r="AS40" s="10" t="n">
        <f aca="false">MAX(F40,N40,V40,AD40)</f>
        <v>3</v>
      </c>
      <c r="AT40" s="7" t="str">
        <f aca="false">IF(AND(AP40=3,AQ40*AR40&gt;=6),"A",IF(AND(AP40=3,AQ40*AR40&gt;=3),"B",IF(AND(AP40=3,AQ40*AR40&gt;=1),"C","")))</f>
        <v>C</v>
      </c>
      <c r="AU40" s="4" t="str">
        <f aca="false">"Scenario-level Threat=1; Step1="&amp;H40&amp;" Step2="&amp;P40&amp;" Step3="&amp;X40&amp;" Step4="&amp;AF40&amp;" ; Overall Threat fixed=1, Max Mitigation="&amp;AS40&amp;" =&gt; Overall="&amp;AT40</f>
        <v>Scenario-level Threat=1; Step1=C Step2=C Step3=C Step4=C ; Overall Threat fixed=1, Max Mitigation=3 =&gt; Overall=C</v>
      </c>
      <c r="AV40" s="11"/>
      <c r="AW40" s="11"/>
      <c r="AX40" s="11"/>
    </row>
    <row r="41" customFormat="false" ht="18" hidden="true" customHeight="false" outlineLevel="0" collapsed="false">
      <c r="A41" s="4" t="str">
        <f aca="false">SPRV_Source_For_Formulas!D158</f>
        <v>T1189</v>
      </c>
      <c r="B41" s="5" t="s">
        <v>12</v>
      </c>
      <c r="C41" s="6"/>
      <c r="D41" s="8" t="n">
        <v>3</v>
      </c>
      <c r="E41" s="4" t="n">
        <v>1</v>
      </c>
      <c r="F41" s="4" t="n">
        <f aca="false">IF(SPRV_Source_For_Formulas!G158&lt;=0.2,3,IF(SPRV_Source_For_Formulas!G158&lt;=0.5,2,1))</f>
        <v>3</v>
      </c>
      <c r="G41" s="4" t="n">
        <f aca="false">4-F41</f>
        <v>1</v>
      </c>
      <c r="H41" s="7" t="str">
        <f aca="false">IF(AND(D41=3,E41*G41&gt;=6),"A",IF(AND(D41=3,E41*G41&gt;=3),"B",IF(AND(D41=3,E41*G41&gt;=1),"C","")))</f>
        <v>C</v>
      </c>
      <c r="I41" s="8" t="s">
        <v>13</v>
      </c>
      <c r="J41" s="4" t="str">
        <f aca="false">SPRV_Source_For_Formulas!D159</f>
        <v>T1484.002</v>
      </c>
      <c r="K41" s="5" t="s">
        <v>34</v>
      </c>
      <c r="L41" s="8" t="n">
        <v>3</v>
      </c>
      <c r="M41" s="4" t="n">
        <v>1</v>
      </c>
      <c r="N41" s="4" t="n">
        <f aca="false">IF(SPRV_Source_For_Formulas!G159&lt;=0.2,3,IF(SPRV_Source_For_Formulas!G159&lt;=0.5,2,1))</f>
        <v>3</v>
      </c>
      <c r="O41" s="4" t="n">
        <f aca="false">4-N41</f>
        <v>1</v>
      </c>
      <c r="P41" s="7" t="str">
        <f aca="false">IF(AND(L41=3,M41*O41&gt;=6),"A",IF(AND(L41=3,M41*O41&gt;=3),"B",IF(AND(L41=3,M41*O41&gt;=1),"C","")))</f>
        <v>C</v>
      </c>
      <c r="Q41" s="8" t="s">
        <v>35</v>
      </c>
      <c r="R41" s="4" t="str">
        <f aca="false">SPRV_Source_For_Formulas!D160</f>
        <v>T1555.006</v>
      </c>
      <c r="S41" s="8" t="s">
        <v>26</v>
      </c>
      <c r="T41" s="8" t="n">
        <v>3</v>
      </c>
      <c r="U41" s="4" t="n">
        <v>1</v>
      </c>
      <c r="V41" s="4" t="n">
        <f aca="false">IF(SPRV_Source_For_Formulas!G160&lt;=0.2,3,IF(SPRV_Source_For_Formulas!G160&lt;=0.5,2,1))</f>
        <v>3</v>
      </c>
      <c r="W41" s="4" t="n">
        <f aca="false">4-V41</f>
        <v>1</v>
      </c>
      <c r="X41" s="4" t="str">
        <f aca="false">IF(AND(T41=3,U41*W41&gt;=6),"A",IF(AND(T41=3,U41*W41&gt;=3),"B",IF(AND(T41=3,U41*W41&gt;=1),"C","")))</f>
        <v>C</v>
      </c>
      <c r="Y41" s="8" t="s">
        <v>27</v>
      </c>
      <c r="Z41" s="4" t="str">
        <f aca="false">SPRV_Source_For_Formulas!D161</f>
        <v>T1496.002</v>
      </c>
      <c r="AA41" s="5" t="s">
        <v>24</v>
      </c>
      <c r="AB41" s="8" t="n">
        <v>3</v>
      </c>
      <c r="AC41" s="4" t="n">
        <v>1</v>
      </c>
      <c r="AD41" s="4" t="n">
        <f aca="false">IF(SPRV_Source_For_Formulas!G161&lt;=0.2,3,IF(SPRV_Source_For_Formulas!G161&lt;=0.5,2,1))</f>
        <v>2</v>
      </c>
      <c r="AE41" s="4" t="n">
        <f aca="false">4-AD41</f>
        <v>2</v>
      </c>
      <c r="AF41" s="4" t="str">
        <f aca="false">IF(AND(AB41=3,AC41*AE41&gt;=6),"A",IF(AND(AB41=3,AC41*AE41&gt;=3),"B",IF(AND(AB41=3,AC41*AE41&gt;=1),"C","")))</f>
        <v>C</v>
      </c>
      <c r="AG41" s="8" t="s">
        <v>25</v>
      </c>
      <c r="AP41" s="7" t="n">
        <f aca="false">MAX(D41,L41,T41,AB41)</f>
        <v>3</v>
      </c>
      <c r="AQ41" s="7" t="n">
        <v>1</v>
      </c>
      <c r="AR41" s="7" t="n">
        <f aca="false">4-AS41</f>
        <v>1</v>
      </c>
      <c r="AS41" s="10" t="n">
        <f aca="false">MAX(F41,N41,V41,AD41)</f>
        <v>3</v>
      </c>
      <c r="AT41" s="7" t="str">
        <f aca="false">IF(AND(AP41=3,AQ41*AR41&gt;=6),"A",IF(AND(AP41=3,AQ41*AR41&gt;=3),"B",IF(AND(AP41=3,AQ41*AR41&gt;=1),"C","")))</f>
        <v>C</v>
      </c>
      <c r="AU41" s="4" t="str">
        <f aca="false">"Scenario-level Threat=1; Step1="&amp;H41&amp;" Step2="&amp;P41&amp;" Step3="&amp;X41&amp;" Step4="&amp;AF41&amp;" ; Overall Threat fixed=1, Max Mitigation="&amp;AS41&amp;" =&gt; Overall="&amp;AT41</f>
        <v>Scenario-level Threat=1; Step1=C Step2=C Step3=C Step4=C ; Overall Threat fixed=1, Max Mitigation=3 =&gt; Overall=C</v>
      </c>
      <c r="AV41" s="11"/>
      <c r="AW41" s="11"/>
      <c r="AX41" s="11"/>
    </row>
    <row r="42" customFormat="false" ht="19.5" hidden="true" customHeight="true" outlineLevel="0" collapsed="false">
      <c r="A42" s="4" t="str">
        <f aca="false">SPRV_Source_For_Formulas!D162</f>
        <v>T1189</v>
      </c>
      <c r="B42" s="5" t="s">
        <v>12</v>
      </c>
      <c r="C42" s="6"/>
      <c r="D42" s="8" t="n">
        <v>3</v>
      </c>
      <c r="E42" s="4" t="n">
        <v>1</v>
      </c>
      <c r="F42" s="4" t="n">
        <f aca="false">IF(SPRV_Source_For_Formulas!G162&lt;=0.2,3,IF(SPRV_Source_For_Formulas!G162&lt;=0.5,2,1))</f>
        <v>3</v>
      </c>
      <c r="G42" s="4" t="n">
        <f aca="false">4-F42</f>
        <v>1</v>
      </c>
      <c r="H42" s="7" t="str">
        <f aca="false">IF(AND(D42=3,E42*G42&gt;=6),"A",IF(AND(D42=3,E42*G42&gt;=3),"B",IF(AND(D42=3,E42*G42&gt;=1),"C","")))</f>
        <v>C</v>
      </c>
      <c r="I42" s="8" t="s">
        <v>13</v>
      </c>
      <c r="J42" s="4" t="str">
        <f aca="false">SPRV_Source_For_Formulas!D163</f>
        <v>T1484.002</v>
      </c>
      <c r="K42" s="5" t="s">
        <v>34</v>
      </c>
      <c r="L42" s="8" t="n">
        <v>3</v>
      </c>
      <c r="M42" s="4" t="n">
        <v>1</v>
      </c>
      <c r="N42" s="4" t="n">
        <f aca="false">IF(SPRV_Source_For_Formulas!G163&lt;=0.2,3,IF(SPRV_Source_For_Formulas!G163&lt;=0.5,2,1))</f>
        <v>3</v>
      </c>
      <c r="O42" s="4" t="n">
        <f aca="false">4-N42</f>
        <v>1</v>
      </c>
      <c r="P42" s="7" t="str">
        <f aca="false">IF(AND(L42=3,M42*O42&gt;=6),"A",IF(AND(L42=3,M42*O42&gt;=3),"B",IF(AND(L42=3,M42*O42&gt;=1),"C","")))</f>
        <v>C</v>
      </c>
      <c r="Q42" s="8" t="s">
        <v>35</v>
      </c>
      <c r="R42" s="4" t="str">
        <f aca="false">SPRV_Source_For_Formulas!D164</f>
        <v>T1059.009</v>
      </c>
      <c r="S42" s="8" t="s">
        <v>28</v>
      </c>
      <c r="T42" s="8" t="n">
        <v>3</v>
      </c>
      <c r="U42" s="4" t="n">
        <v>1</v>
      </c>
      <c r="V42" s="4" t="n">
        <f aca="false">IF(SPRV_Source_For_Formulas!G164&lt;=0.2,3,IF(SPRV_Source_For_Formulas!G164&lt;=0.5,2,1))</f>
        <v>3</v>
      </c>
      <c r="W42" s="4" t="n">
        <f aca="false">4-V42</f>
        <v>1</v>
      </c>
      <c r="X42" s="4" t="str">
        <f aca="false">IF(AND(T42=3,U42*W42&gt;=6),"A",IF(AND(T42=3,U42*W42&gt;=3),"B",IF(AND(T42=3,U42*W42&gt;=1),"C","")))</f>
        <v>C</v>
      </c>
      <c r="Y42" s="8" t="s">
        <v>29</v>
      </c>
      <c r="Z42" s="4" t="str">
        <f aca="false">SPRV_Source_For_Formulas!D165</f>
        <v>T1486</v>
      </c>
      <c r="AA42" s="5" t="s">
        <v>18</v>
      </c>
      <c r="AB42" s="8" t="n">
        <v>3</v>
      </c>
      <c r="AC42" s="4" t="n">
        <v>1</v>
      </c>
      <c r="AD42" s="4" t="n">
        <f aca="false">IF(SPRV_Source_For_Formulas!G165&lt;=0.2,3,IF(SPRV_Source_For_Formulas!G165&lt;=0.5,2,1))</f>
        <v>3</v>
      </c>
      <c r="AE42" s="4" t="n">
        <f aca="false">4-AD42</f>
        <v>1</v>
      </c>
      <c r="AF42" s="4" t="str">
        <f aca="false">IF(AND(AB42=3,AC42*AE42&gt;=6),"A",IF(AND(AB42=3,AC42*AE42&gt;=3),"B",IF(AND(AB42=3,AC42*AE42&gt;=1),"C","")))</f>
        <v>C</v>
      </c>
      <c r="AG42" s="9" t="s">
        <v>19</v>
      </c>
      <c r="AP42" s="7" t="n">
        <f aca="false">MAX(D42,L42,T42,AB42)</f>
        <v>3</v>
      </c>
      <c r="AQ42" s="7" t="n">
        <v>1</v>
      </c>
      <c r="AR42" s="7" t="n">
        <f aca="false">4-AS42</f>
        <v>1</v>
      </c>
      <c r="AS42" s="10" t="n">
        <f aca="false">MAX(F42,N42,V42,AD42)</f>
        <v>3</v>
      </c>
      <c r="AT42" s="7" t="str">
        <f aca="false">IF(AND(AP42=3,AQ42*AR42&gt;=6),"A",IF(AND(AP42=3,AQ42*AR42&gt;=3),"B",IF(AND(AP42=3,AQ42*AR42&gt;=1),"C","")))</f>
        <v>C</v>
      </c>
      <c r="AU42" s="4" t="str">
        <f aca="false">"Scenario-level Threat=1; Step1="&amp;H42&amp;" Step2="&amp;P42&amp;" Step3="&amp;X42&amp;" Step4="&amp;AF42&amp;" ; Overall Threat fixed=1, Max Mitigation="&amp;AS42&amp;" =&gt; Overall="&amp;AT42</f>
        <v>Scenario-level Threat=1; Step1=C Step2=C Step3=C Step4=C ; Overall Threat fixed=1, Max Mitigation=3 =&gt; Overall=C</v>
      </c>
      <c r="AV42" s="11"/>
      <c r="AW42" s="11"/>
      <c r="AX42" s="11"/>
    </row>
    <row r="43" customFormat="false" ht="19.5" hidden="false" customHeight="true" outlineLevel="0" collapsed="false">
      <c r="A43" s="4" t="str">
        <f aca="false">SPRV_Source_For_Formulas!D166</f>
        <v>T1189</v>
      </c>
      <c r="B43" s="5" t="s">
        <v>12</v>
      </c>
      <c r="C43" s="6"/>
      <c r="D43" s="8" t="n">
        <v>3</v>
      </c>
      <c r="E43" s="4" t="n">
        <v>1</v>
      </c>
      <c r="F43" s="4" t="n">
        <f aca="false">IF(SPRV_Source_For_Formulas!G166&lt;=0.2,3,IF(SPRV_Source_For_Formulas!G166&lt;=0.5,2,1))</f>
        <v>3</v>
      </c>
      <c r="G43" s="4" t="n">
        <f aca="false">4-F43</f>
        <v>1</v>
      </c>
      <c r="H43" s="7" t="str">
        <f aca="false">IF(AND(D43=3,E43*G43&gt;=6),"A",IF(AND(D43=3,E43*G43&gt;=3),"B",IF(AND(D43=3,E43*G43&gt;=1),"C","")))</f>
        <v>C</v>
      </c>
      <c r="I43" s="8" t="s">
        <v>13</v>
      </c>
      <c r="J43" s="4" t="str">
        <f aca="false">SPRV_Source_For_Formulas!D167</f>
        <v>T1484.002</v>
      </c>
      <c r="K43" s="5" t="s">
        <v>34</v>
      </c>
      <c r="L43" s="8" t="n">
        <v>3</v>
      </c>
      <c r="M43" s="4" t="n">
        <v>1</v>
      </c>
      <c r="N43" s="4" t="n">
        <f aca="false">IF(SPRV_Source_For_Formulas!G167&lt;=0.2,3,IF(SPRV_Source_For_Formulas!G167&lt;=0.5,2,1))</f>
        <v>3</v>
      </c>
      <c r="O43" s="4" t="n">
        <f aca="false">4-N43</f>
        <v>1</v>
      </c>
      <c r="P43" s="7" t="str">
        <f aca="false">IF(AND(L43=3,M43*O43&gt;=6),"A",IF(AND(L43=3,M43*O43&gt;=3),"B",IF(AND(L43=3,M43*O43&gt;=1),"C","")))</f>
        <v>C</v>
      </c>
      <c r="Q43" s="8" t="s">
        <v>35</v>
      </c>
      <c r="R43" s="4" t="str">
        <f aca="false">SPRV_Source_For_Formulas!D168</f>
        <v>T1059.009</v>
      </c>
      <c r="S43" s="8" t="s">
        <v>28</v>
      </c>
      <c r="T43" s="8" t="n">
        <v>3</v>
      </c>
      <c r="U43" s="4" t="n">
        <v>1</v>
      </c>
      <c r="V43" s="4" t="n">
        <f aca="false">IF(SPRV_Source_For_Formulas!G168&lt;=0.2,3,IF(SPRV_Source_For_Formulas!G168&lt;=0.5,2,1))</f>
        <v>3</v>
      </c>
      <c r="W43" s="4" t="n">
        <f aca="false">4-V43</f>
        <v>1</v>
      </c>
      <c r="X43" s="4" t="str">
        <f aca="false">IF(AND(T43=3,U43*W43&gt;=6),"A",IF(AND(T43=3,U43*W43&gt;=3),"B",IF(AND(T43=3,U43*W43&gt;=1),"C","")))</f>
        <v>C</v>
      </c>
      <c r="Y43" s="8" t="s">
        <v>29</v>
      </c>
      <c r="Z43" s="4" t="str">
        <f aca="false">SPRV_Source_For_Formulas!D169</f>
        <v>T1496.001</v>
      </c>
      <c r="AA43" s="5" t="s">
        <v>20</v>
      </c>
      <c r="AB43" s="8" t="n">
        <v>3</v>
      </c>
      <c r="AC43" s="4" t="n">
        <v>1</v>
      </c>
      <c r="AD43" s="4" t="n">
        <f aca="false">IF(SPRV_Source_For_Formulas!G169&lt;=0.2,3,IF(SPRV_Source_For_Formulas!G169&lt;=0.5,2,1))</f>
        <v>2</v>
      </c>
      <c r="AE43" s="4" t="n">
        <f aca="false">4-AD43</f>
        <v>2</v>
      </c>
      <c r="AF43" s="4" t="str">
        <f aca="false">IF(AND(AB43=3,AC43*AE43&gt;=6),"A",IF(AND(AB43=3,AC43*AE43&gt;=3),"B",IF(AND(AB43=3,AC43*AE43&gt;=1),"C","")))</f>
        <v>C</v>
      </c>
      <c r="AG43" s="12" t="s">
        <v>21</v>
      </c>
      <c r="AP43" s="7" t="n">
        <f aca="false">MAX(D43,L43,T43,AB43)</f>
        <v>3</v>
      </c>
      <c r="AQ43" s="7" t="n">
        <v>1</v>
      </c>
      <c r="AR43" s="7" t="n">
        <f aca="false">4-AS43</f>
        <v>1</v>
      </c>
      <c r="AS43" s="10" t="n">
        <f aca="false">MAX(F43,N43,V43,AD43)</f>
        <v>3</v>
      </c>
      <c r="AT43" s="7" t="str">
        <f aca="false">IF(AND(AP43=3,AQ43*AR43&gt;=6),"A",IF(AND(AP43=3,AQ43*AR43&gt;=3),"B",IF(AND(AP43=3,AQ43*AR43&gt;=1),"C","")))</f>
        <v>C</v>
      </c>
      <c r="AU43" s="4" t="str">
        <f aca="false">"Scenario-level Threat=1; Step1="&amp;H43&amp;" Step2="&amp;P43&amp;" Step3="&amp;X43&amp;" Step4="&amp;AF43&amp;" ; Overall Threat fixed=1, Max Mitigation="&amp;AS43&amp;" =&gt; Overall="&amp;AT43</f>
        <v>Scenario-level Threat=1; Step1=C Step2=C Step3=C Step4=C ; Overall Threat fixed=1, Max Mitigation=3 =&gt; Overall=C</v>
      </c>
      <c r="AV43" s="11"/>
      <c r="AW43" s="11"/>
      <c r="AX43" s="11"/>
    </row>
    <row r="44" customFormat="false" ht="18" hidden="true" customHeight="false" outlineLevel="0" collapsed="false">
      <c r="A44" s="4" t="str">
        <f aca="false">SPRV_Source_For_Formulas!D170</f>
        <v>T1189</v>
      </c>
      <c r="B44" s="5" t="s">
        <v>12</v>
      </c>
      <c r="C44" s="6"/>
      <c r="D44" s="8" t="n">
        <v>3</v>
      </c>
      <c r="E44" s="4" t="n">
        <v>1</v>
      </c>
      <c r="F44" s="4" t="n">
        <f aca="false">IF(SPRV_Source_For_Formulas!G170&lt;=0.2,3,IF(SPRV_Source_For_Formulas!G170&lt;=0.5,2,1))</f>
        <v>3</v>
      </c>
      <c r="G44" s="4" t="n">
        <f aca="false">4-F44</f>
        <v>1</v>
      </c>
      <c r="H44" s="7" t="str">
        <f aca="false">IF(AND(D44=3,E44*G44&gt;=6),"A",IF(AND(D44=3,E44*G44&gt;=3),"B",IF(AND(D44=3,E44*G44&gt;=1),"C","")))</f>
        <v>C</v>
      </c>
      <c r="I44" s="8" t="s">
        <v>13</v>
      </c>
      <c r="J44" s="4" t="str">
        <f aca="false">SPRV_Source_For_Formulas!D171</f>
        <v>T1484.002</v>
      </c>
      <c r="K44" s="5" t="s">
        <v>34</v>
      </c>
      <c r="L44" s="8" t="n">
        <v>3</v>
      </c>
      <c r="M44" s="4" t="n">
        <v>1</v>
      </c>
      <c r="N44" s="4" t="n">
        <f aca="false">IF(SPRV_Source_For_Formulas!G171&lt;=0.2,3,IF(SPRV_Source_For_Formulas!G171&lt;=0.5,2,1))</f>
        <v>3</v>
      </c>
      <c r="O44" s="4" t="n">
        <f aca="false">4-N44</f>
        <v>1</v>
      </c>
      <c r="P44" s="7" t="str">
        <f aca="false">IF(AND(L44=3,M44*O44&gt;=6),"A",IF(AND(L44=3,M44*O44&gt;=3),"B",IF(AND(L44=3,M44*O44&gt;=1),"C","")))</f>
        <v>C</v>
      </c>
      <c r="Q44" s="8" t="s">
        <v>35</v>
      </c>
      <c r="R44" s="4" t="str">
        <f aca="false">SPRV_Source_For_Formulas!D172</f>
        <v>T1059.009</v>
      </c>
      <c r="S44" s="8" t="s">
        <v>28</v>
      </c>
      <c r="T44" s="8" t="n">
        <v>3</v>
      </c>
      <c r="U44" s="4" t="n">
        <v>1</v>
      </c>
      <c r="V44" s="4" t="n">
        <f aca="false">IF(SPRV_Source_For_Formulas!G172&lt;=0.2,3,IF(SPRV_Source_For_Formulas!G172&lt;=0.5,2,1))</f>
        <v>3</v>
      </c>
      <c r="W44" s="4" t="n">
        <f aca="false">4-V44</f>
        <v>1</v>
      </c>
      <c r="X44" s="4" t="str">
        <f aca="false">IF(AND(T44=3,U44*W44&gt;=6),"A",IF(AND(T44=3,U44*W44&gt;=3),"B",IF(AND(T44=3,U44*W44&gt;=1),"C","")))</f>
        <v>C</v>
      </c>
      <c r="Y44" s="8" t="s">
        <v>29</v>
      </c>
      <c r="Z44" s="4" t="str">
        <f aca="false">SPRV_Source_For_Formulas!D173</f>
        <v>T1496.004</v>
      </c>
      <c r="AA44" s="5" t="s">
        <v>22</v>
      </c>
      <c r="AB44" s="8" t="n">
        <v>3</v>
      </c>
      <c r="AC44" s="4" t="n">
        <v>1</v>
      </c>
      <c r="AD44" s="4" t="n">
        <f aca="false">IF(SPRV_Source_For_Formulas!G173&lt;=0.2,3,IF(SPRV_Source_For_Formulas!G173&lt;=0.5,2,1))</f>
        <v>2</v>
      </c>
      <c r="AE44" s="4" t="n">
        <f aca="false">4-AD44</f>
        <v>2</v>
      </c>
      <c r="AF44" s="4" t="str">
        <f aca="false">IF(AND(AB44=3,AC44*AE44&gt;=6),"A",IF(AND(AB44=3,AC44*AE44&gt;=3),"B",IF(AND(AB44=3,AC44*AE44&gt;=1),"C","")))</f>
        <v>C</v>
      </c>
      <c r="AG44" s="8" t="s">
        <v>23</v>
      </c>
      <c r="AP44" s="7" t="n">
        <f aca="false">MAX(D44,L44,T44,AB44)</f>
        <v>3</v>
      </c>
      <c r="AQ44" s="7" t="n">
        <v>1</v>
      </c>
      <c r="AR44" s="7" t="n">
        <f aca="false">4-AS44</f>
        <v>1</v>
      </c>
      <c r="AS44" s="10" t="n">
        <f aca="false">MAX(F44,N44,V44,AD44)</f>
        <v>3</v>
      </c>
      <c r="AT44" s="7" t="str">
        <f aca="false">IF(AND(AP44=3,AQ44*AR44&gt;=6),"A",IF(AND(AP44=3,AQ44*AR44&gt;=3),"B",IF(AND(AP44=3,AQ44*AR44&gt;=1),"C","")))</f>
        <v>C</v>
      </c>
      <c r="AU44" s="4" t="str">
        <f aca="false">"Scenario-level Threat=1; Step1="&amp;H44&amp;" Step2="&amp;P44&amp;" Step3="&amp;X44&amp;" Step4="&amp;AF44&amp;" ; Overall Threat fixed=1, Max Mitigation="&amp;AS44&amp;" =&gt; Overall="&amp;AT44</f>
        <v>Scenario-level Threat=1; Step1=C Step2=C Step3=C Step4=C ; Overall Threat fixed=1, Max Mitigation=3 =&gt; Overall=C</v>
      </c>
      <c r="AV44" s="11"/>
      <c r="AW44" s="11"/>
      <c r="AX44" s="11"/>
    </row>
    <row r="45" customFormat="false" ht="18" hidden="true" customHeight="false" outlineLevel="0" collapsed="false">
      <c r="A45" s="4" t="str">
        <f aca="false">SPRV_Source_For_Formulas!D174</f>
        <v>T1189</v>
      </c>
      <c r="B45" s="5" t="s">
        <v>12</v>
      </c>
      <c r="C45" s="6"/>
      <c r="D45" s="8" t="n">
        <v>3</v>
      </c>
      <c r="E45" s="4" t="n">
        <v>1</v>
      </c>
      <c r="F45" s="4" t="n">
        <f aca="false">IF(SPRV_Source_For_Formulas!G174&lt;=0.2,3,IF(SPRV_Source_For_Formulas!G174&lt;=0.5,2,1))</f>
        <v>3</v>
      </c>
      <c r="G45" s="4" t="n">
        <f aca="false">4-F45</f>
        <v>1</v>
      </c>
      <c r="H45" s="7" t="str">
        <f aca="false">IF(AND(D45=3,E45*G45&gt;=6),"A",IF(AND(D45=3,E45*G45&gt;=3),"B",IF(AND(D45=3,E45*G45&gt;=1),"C","")))</f>
        <v>C</v>
      </c>
      <c r="I45" s="8" t="s">
        <v>13</v>
      </c>
      <c r="J45" s="4" t="str">
        <f aca="false">SPRV_Source_For_Formulas!D175</f>
        <v>T1484.002</v>
      </c>
      <c r="K45" s="5" t="s">
        <v>34</v>
      </c>
      <c r="L45" s="8" t="n">
        <v>3</v>
      </c>
      <c r="M45" s="4" t="n">
        <v>1</v>
      </c>
      <c r="N45" s="4" t="n">
        <f aca="false">IF(SPRV_Source_For_Formulas!G175&lt;=0.2,3,IF(SPRV_Source_For_Formulas!G175&lt;=0.5,2,1))</f>
        <v>3</v>
      </c>
      <c r="O45" s="4" t="n">
        <f aca="false">4-N45</f>
        <v>1</v>
      </c>
      <c r="P45" s="7" t="str">
        <f aca="false">IF(AND(L45=3,M45*O45&gt;=6),"A",IF(AND(L45=3,M45*O45&gt;=3),"B",IF(AND(L45=3,M45*O45&gt;=1),"C","")))</f>
        <v>C</v>
      </c>
      <c r="Q45" s="8" t="s">
        <v>35</v>
      </c>
      <c r="R45" s="4" t="str">
        <f aca="false">SPRV_Source_For_Formulas!D176</f>
        <v>T1059.009</v>
      </c>
      <c r="S45" s="8" t="s">
        <v>28</v>
      </c>
      <c r="T45" s="8" t="n">
        <v>3</v>
      </c>
      <c r="U45" s="4" t="n">
        <v>1</v>
      </c>
      <c r="V45" s="4" t="n">
        <f aca="false">IF(SPRV_Source_For_Formulas!G176&lt;=0.2,3,IF(SPRV_Source_For_Formulas!G176&lt;=0.5,2,1))</f>
        <v>3</v>
      </c>
      <c r="W45" s="4" t="n">
        <f aca="false">4-V45</f>
        <v>1</v>
      </c>
      <c r="X45" s="4" t="str">
        <f aca="false">IF(AND(T45=3,U45*W45&gt;=6),"A",IF(AND(T45=3,U45*W45&gt;=3),"B",IF(AND(T45=3,U45*W45&gt;=1),"C","")))</f>
        <v>C</v>
      </c>
      <c r="Y45" s="8" t="s">
        <v>29</v>
      </c>
      <c r="Z45" s="4" t="str">
        <f aca="false">SPRV_Source_For_Formulas!D177</f>
        <v>T1496.002</v>
      </c>
      <c r="AA45" s="5" t="s">
        <v>24</v>
      </c>
      <c r="AB45" s="8" t="n">
        <v>3</v>
      </c>
      <c r="AC45" s="4" t="n">
        <v>1</v>
      </c>
      <c r="AD45" s="4" t="n">
        <f aca="false">IF(SPRV_Source_For_Formulas!G177&lt;=0.2,3,IF(SPRV_Source_For_Formulas!G177&lt;=0.5,2,1))</f>
        <v>2</v>
      </c>
      <c r="AE45" s="4" t="n">
        <f aca="false">4-AD45</f>
        <v>2</v>
      </c>
      <c r="AF45" s="4" t="str">
        <f aca="false">IF(AND(AB45=3,AC45*AE45&gt;=6),"A",IF(AND(AB45=3,AC45*AE45&gt;=3),"B",IF(AND(AB45=3,AC45*AE45&gt;=1),"C","")))</f>
        <v>C</v>
      </c>
      <c r="AG45" s="8" t="s">
        <v>25</v>
      </c>
      <c r="AP45" s="7" t="n">
        <f aca="false">MAX(D45,L45,T45,AB45)</f>
        <v>3</v>
      </c>
      <c r="AQ45" s="7" t="n">
        <v>1</v>
      </c>
      <c r="AR45" s="7" t="n">
        <f aca="false">4-AS45</f>
        <v>1</v>
      </c>
      <c r="AS45" s="10" t="n">
        <f aca="false">MAX(F45,N45,V45,AD45)</f>
        <v>3</v>
      </c>
      <c r="AT45" s="7" t="str">
        <f aca="false">IF(AND(AP45=3,AQ45*AR45&gt;=6),"A",IF(AND(AP45=3,AQ45*AR45&gt;=3),"B",IF(AND(AP45=3,AQ45*AR45&gt;=1),"C","")))</f>
        <v>C</v>
      </c>
      <c r="AU45" s="4" t="str">
        <f aca="false">"Scenario-level Threat=1; Step1="&amp;H45&amp;" Step2="&amp;P45&amp;" Step3="&amp;X45&amp;" Step4="&amp;AF45&amp;" ; Overall Threat fixed=1, Max Mitigation="&amp;AS45&amp;" =&gt; Overall="&amp;AT45</f>
        <v>Scenario-level Threat=1; Step1=C Step2=C Step3=C Step4=C ; Overall Threat fixed=1, Max Mitigation=3 =&gt; Overall=C</v>
      </c>
      <c r="AV45" s="11"/>
      <c r="AW45" s="11"/>
      <c r="AX45" s="11"/>
    </row>
    <row r="46" customFormat="false" ht="19.5" hidden="true" customHeight="true" outlineLevel="0" collapsed="false">
      <c r="A46" s="4" t="str">
        <f aca="false">SPRV_Source_For_Formulas!D178</f>
        <v>T1189</v>
      </c>
      <c r="B46" s="5" t="s">
        <v>12</v>
      </c>
      <c r="C46" s="6"/>
      <c r="D46" s="8" t="n">
        <v>3</v>
      </c>
      <c r="E46" s="4" t="n">
        <v>1</v>
      </c>
      <c r="F46" s="4" t="n">
        <f aca="false">IF(SPRV_Source_For_Formulas!G178&lt;=0.2,3,IF(SPRV_Source_For_Formulas!G178&lt;=0.5,2,1))</f>
        <v>3</v>
      </c>
      <c r="G46" s="4" t="n">
        <f aca="false">4-F46</f>
        <v>1</v>
      </c>
      <c r="H46" s="7" t="str">
        <f aca="false">IF(AND(D46=3,E46*G46&gt;=6),"A",IF(AND(D46=3,E46*G46&gt;=3),"B",IF(AND(D46=3,E46*G46&gt;=1),"C","")))</f>
        <v>C</v>
      </c>
      <c r="I46" s="8" t="s">
        <v>13</v>
      </c>
      <c r="J46" s="4" t="str">
        <f aca="false">SPRV_Source_For_Formulas!D179</f>
        <v>T1484.002</v>
      </c>
      <c r="K46" s="5" t="s">
        <v>34</v>
      </c>
      <c r="L46" s="8" t="n">
        <v>3</v>
      </c>
      <c r="M46" s="4" t="n">
        <v>1</v>
      </c>
      <c r="N46" s="4" t="n">
        <f aca="false">IF(SPRV_Source_For_Formulas!G179&lt;=0.2,3,IF(SPRV_Source_For_Formulas!G179&lt;=0.5,2,1))</f>
        <v>3</v>
      </c>
      <c r="O46" s="4" t="n">
        <f aca="false">4-N46</f>
        <v>1</v>
      </c>
      <c r="P46" s="7" t="str">
        <f aca="false">IF(AND(L46=3,M46*O46&gt;=6),"A",IF(AND(L46=3,M46*O46&gt;=3),"B",IF(AND(L46=3,M46*O46&gt;=1),"C","")))</f>
        <v>C</v>
      </c>
      <c r="Q46" s="8" t="s">
        <v>35</v>
      </c>
      <c r="R46" s="4" t="str">
        <f aca="false">SPRV_Source_For_Formulas!D180</f>
        <v>T1484.002</v>
      </c>
      <c r="S46" s="8" t="s">
        <v>30</v>
      </c>
      <c r="T46" s="8" t="n">
        <v>3</v>
      </c>
      <c r="U46" s="4" t="n">
        <v>1</v>
      </c>
      <c r="V46" s="4" t="n">
        <f aca="false">IF(SPRV_Source_For_Formulas!G180&lt;=0.2,3,IF(SPRV_Source_For_Formulas!G180&lt;=0.5,2,1))</f>
        <v>3</v>
      </c>
      <c r="W46" s="4" t="n">
        <f aca="false">4-V46</f>
        <v>1</v>
      </c>
      <c r="X46" s="4" t="str">
        <f aca="false">IF(AND(T46=3,U46*W46&gt;=6),"A",IF(AND(T46=3,U46*W46&gt;=3),"B",IF(AND(T46=3,U46*W46&gt;=1),"C","")))</f>
        <v>C</v>
      </c>
      <c r="Y46" s="8" t="s">
        <v>31</v>
      </c>
      <c r="Z46" s="4" t="str">
        <f aca="false">SPRV_Source_For_Formulas!D181</f>
        <v>T1486</v>
      </c>
      <c r="AA46" s="5" t="s">
        <v>18</v>
      </c>
      <c r="AB46" s="8" t="n">
        <v>3</v>
      </c>
      <c r="AC46" s="4" t="n">
        <v>1</v>
      </c>
      <c r="AD46" s="4" t="n">
        <f aca="false">IF(SPRV_Source_For_Formulas!G181&lt;=0.2,3,IF(SPRV_Source_For_Formulas!G181&lt;=0.5,2,1))</f>
        <v>3</v>
      </c>
      <c r="AE46" s="4" t="n">
        <f aca="false">4-AD46</f>
        <v>1</v>
      </c>
      <c r="AF46" s="4" t="str">
        <f aca="false">IF(AND(AB46=3,AC46*AE46&gt;=6),"A",IF(AND(AB46=3,AC46*AE46&gt;=3),"B",IF(AND(AB46=3,AC46*AE46&gt;=1),"C","")))</f>
        <v>C</v>
      </c>
      <c r="AG46" s="9" t="s">
        <v>19</v>
      </c>
      <c r="AP46" s="7" t="n">
        <f aca="false">MAX(D46,L46,T46,AB46)</f>
        <v>3</v>
      </c>
      <c r="AQ46" s="7" t="n">
        <v>1</v>
      </c>
      <c r="AR46" s="7" t="n">
        <f aca="false">4-AS46</f>
        <v>1</v>
      </c>
      <c r="AS46" s="10" t="n">
        <f aca="false">MAX(F46,N46,V46,AD46)</f>
        <v>3</v>
      </c>
      <c r="AT46" s="7" t="str">
        <f aca="false">IF(AND(AP46=3,AQ46*AR46&gt;=6),"A",IF(AND(AP46=3,AQ46*AR46&gt;=3),"B",IF(AND(AP46=3,AQ46*AR46&gt;=1),"C","")))</f>
        <v>C</v>
      </c>
      <c r="AU46" s="4" t="str">
        <f aca="false">"Scenario-level Threat=1; Step1="&amp;H46&amp;" Step2="&amp;P46&amp;" Step3="&amp;X46&amp;" Step4="&amp;AF46&amp;" ; Overall Threat fixed=1, Max Mitigation="&amp;AS46&amp;" =&gt; Overall="&amp;AT46</f>
        <v>Scenario-level Threat=1; Step1=C Step2=C Step3=C Step4=C ; Overall Threat fixed=1, Max Mitigation=3 =&gt; Overall=C</v>
      </c>
      <c r="AV46" s="11"/>
      <c r="AW46" s="11"/>
      <c r="AX46" s="11"/>
    </row>
    <row r="47" customFormat="false" ht="19.5" hidden="false" customHeight="true" outlineLevel="0" collapsed="false">
      <c r="A47" s="4" t="str">
        <f aca="false">SPRV_Source_For_Formulas!D182</f>
        <v>T1189</v>
      </c>
      <c r="B47" s="5" t="s">
        <v>12</v>
      </c>
      <c r="C47" s="6"/>
      <c r="D47" s="8" t="n">
        <v>3</v>
      </c>
      <c r="E47" s="4" t="n">
        <v>1</v>
      </c>
      <c r="F47" s="4" t="n">
        <f aca="false">IF(SPRV_Source_For_Formulas!G182&lt;=0.2,3,IF(SPRV_Source_For_Formulas!G182&lt;=0.5,2,1))</f>
        <v>3</v>
      </c>
      <c r="G47" s="4" t="n">
        <f aca="false">4-F47</f>
        <v>1</v>
      </c>
      <c r="H47" s="7" t="str">
        <f aca="false">IF(AND(D47=3,E47*G47&gt;=6),"A",IF(AND(D47=3,E47*G47&gt;=3),"B",IF(AND(D47=3,E47*G47&gt;=1),"C","")))</f>
        <v>C</v>
      </c>
      <c r="I47" s="8" t="s">
        <v>13</v>
      </c>
      <c r="J47" s="4" t="str">
        <f aca="false">SPRV_Source_For_Formulas!D183</f>
        <v>T1484.002</v>
      </c>
      <c r="K47" s="5" t="s">
        <v>34</v>
      </c>
      <c r="L47" s="8" t="n">
        <v>3</v>
      </c>
      <c r="M47" s="4" t="n">
        <v>1</v>
      </c>
      <c r="N47" s="4" t="n">
        <f aca="false">IF(SPRV_Source_For_Formulas!G183&lt;=0.2,3,IF(SPRV_Source_For_Formulas!G183&lt;=0.5,2,1))</f>
        <v>3</v>
      </c>
      <c r="O47" s="4" t="n">
        <f aca="false">4-N47</f>
        <v>1</v>
      </c>
      <c r="P47" s="7" t="str">
        <f aca="false">IF(AND(L47=3,M47*O47&gt;=6),"A",IF(AND(L47=3,M47*O47&gt;=3),"B",IF(AND(L47=3,M47*O47&gt;=1),"C","")))</f>
        <v>C</v>
      </c>
      <c r="Q47" s="8" t="s">
        <v>35</v>
      </c>
      <c r="R47" s="4" t="str">
        <f aca="false">SPRV_Source_For_Formulas!D184</f>
        <v>T1484.002</v>
      </c>
      <c r="S47" s="8" t="s">
        <v>30</v>
      </c>
      <c r="T47" s="8" t="n">
        <v>3</v>
      </c>
      <c r="U47" s="4" t="n">
        <v>1</v>
      </c>
      <c r="V47" s="4" t="n">
        <f aca="false">IF(SPRV_Source_For_Formulas!G184&lt;=0.2,3,IF(SPRV_Source_For_Formulas!G184&lt;=0.5,2,1))</f>
        <v>3</v>
      </c>
      <c r="W47" s="4" t="n">
        <f aca="false">4-V47</f>
        <v>1</v>
      </c>
      <c r="X47" s="4" t="str">
        <f aca="false">IF(AND(T47=3,U47*W47&gt;=6),"A",IF(AND(T47=3,U47*W47&gt;=3),"B",IF(AND(T47=3,U47*W47&gt;=1),"C","")))</f>
        <v>C</v>
      </c>
      <c r="Y47" s="8" t="s">
        <v>31</v>
      </c>
      <c r="Z47" s="4" t="str">
        <f aca="false">SPRV_Source_For_Formulas!D185</f>
        <v>T1496.001</v>
      </c>
      <c r="AA47" s="5" t="s">
        <v>20</v>
      </c>
      <c r="AB47" s="8" t="n">
        <v>3</v>
      </c>
      <c r="AC47" s="4" t="n">
        <v>1</v>
      </c>
      <c r="AD47" s="4" t="n">
        <f aca="false">IF(SPRV_Source_For_Formulas!G185&lt;=0.2,3,IF(SPRV_Source_For_Formulas!G185&lt;=0.5,2,1))</f>
        <v>2</v>
      </c>
      <c r="AE47" s="4" t="n">
        <f aca="false">4-AD47</f>
        <v>2</v>
      </c>
      <c r="AF47" s="4" t="str">
        <f aca="false">IF(AND(AB47=3,AC47*AE47&gt;=6),"A",IF(AND(AB47=3,AC47*AE47&gt;=3),"B",IF(AND(AB47=3,AC47*AE47&gt;=1),"C","")))</f>
        <v>C</v>
      </c>
      <c r="AG47" s="12" t="s">
        <v>21</v>
      </c>
      <c r="AP47" s="7" t="n">
        <f aca="false">MAX(D47,L47,T47,AB47)</f>
        <v>3</v>
      </c>
      <c r="AQ47" s="7" t="n">
        <v>1</v>
      </c>
      <c r="AR47" s="7" t="n">
        <f aca="false">4-AS47</f>
        <v>1</v>
      </c>
      <c r="AS47" s="10" t="n">
        <f aca="false">MAX(F47,N47,V47,AD47)</f>
        <v>3</v>
      </c>
      <c r="AT47" s="7" t="str">
        <f aca="false">IF(AND(AP47=3,AQ47*AR47&gt;=6),"A",IF(AND(AP47=3,AQ47*AR47&gt;=3),"B",IF(AND(AP47=3,AQ47*AR47&gt;=1),"C","")))</f>
        <v>C</v>
      </c>
      <c r="AU47" s="4" t="str">
        <f aca="false">"Scenario-level Threat=1; Step1="&amp;H47&amp;" Step2="&amp;P47&amp;" Step3="&amp;X47&amp;" Step4="&amp;AF47&amp;" ; Overall Threat fixed=1, Max Mitigation="&amp;AS47&amp;" =&gt; Overall="&amp;AT47</f>
        <v>Scenario-level Threat=1; Step1=C Step2=C Step3=C Step4=C ; Overall Threat fixed=1, Max Mitigation=3 =&gt; Overall=C</v>
      </c>
      <c r="AV47" s="11"/>
      <c r="AW47" s="11"/>
      <c r="AX47" s="11"/>
    </row>
    <row r="48" customFormat="false" ht="18" hidden="true" customHeight="false" outlineLevel="0" collapsed="false">
      <c r="A48" s="4" t="str">
        <f aca="false">SPRV_Source_For_Formulas!D186</f>
        <v>T1189</v>
      </c>
      <c r="B48" s="5" t="s">
        <v>12</v>
      </c>
      <c r="C48" s="6"/>
      <c r="D48" s="8" t="n">
        <v>3</v>
      </c>
      <c r="E48" s="4" t="n">
        <v>1</v>
      </c>
      <c r="F48" s="4" t="n">
        <f aca="false">IF(SPRV_Source_For_Formulas!G186&lt;=0.2,3,IF(SPRV_Source_For_Formulas!G186&lt;=0.5,2,1))</f>
        <v>3</v>
      </c>
      <c r="G48" s="4" t="n">
        <f aca="false">4-F48</f>
        <v>1</v>
      </c>
      <c r="H48" s="7" t="str">
        <f aca="false">IF(AND(D48=3,E48*G48&gt;=6),"A",IF(AND(D48=3,E48*G48&gt;=3),"B",IF(AND(D48=3,E48*G48&gt;=1),"C","")))</f>
        <v>C</v>
      </c>
      <c r="I48" s="8" t="s">
        <v>13</v>
      </c>
      <c r="J48" s="4" t="str">
        <f aca="false">SPRV_Source_For_Formulas!D187</f>
        <v>T1484.002</v>
      </c>
      <c r="K48" s="5" t="s">
        <v>34</v>
      </c>
      <c r="L48" s="8" t="n">
        <v>3</v>
      </c>
      <c r="M48" s="4" t="n">
        <v>1</v>
      </c>
      <c r="N48" s="4" t="n">
        <f aca="false">IF(SPRV_Source_For_Formulas!G187&lt;=0.2,3,IF(SPRV_Source_For_Formulas!G187&lt;=0.5,2,1))</f>
        <v>3</v>
      </c>
      <c r="O48" s="4" t="n">
        <f aca="false">4-N48</f>
        <v>1</v>
      </c>
      <c r="P48" s="7" t="str">
        <f aca="false">IF(AND(L48=3,M48*O48&gt;=6),"A",IF(AND(L48=3,M48*O48&gt;=3),"B",IF(AND(L48=3,M48*O48&gt;=1),"C","")))</f>
        <v>C</v>
      </c>
      <c r="Q48" s="8" t="s">
        <v>35</v>
      </c>
      <c r="R48" s="4" t="str">
        <f aca="false">SPRV_Source_For_Formulas!D188</f>
        <v>T1484.002</v>
      </c>
      <c r="S48" s="8" t="s">
        <v>30</v>
      </c>
      <c r="T48" s="8" t="n">
        <v>3</v>
      </c>
      <c r="U48" s="4" t="n">
        <v>1</v>
      </c>
      <c r="V48" s="4" t="n">
        <f aca="false">IF(SPRV_Source_For_Formulas!G188&lt;=0.2,3,IF(SPRV_Source_For_Formulas!G188&lt;=0.5,2,1))</f>
        <v>3</v>
      </c>
      <c r="W48" s="4" t="n">
        <f aca="false">4-V48</f>
        <v>1</v>
      </c>
      <c r="X48" s="4" t="str">
        <f aca="false">IF(AND(T48=3,U48*W48&gt;=6),"A",IF(AND(T48=3,U48*W48&gt;=3),"B",IF(AND(T48=3,U48*W48&gt;=1),"C","")))</f>
        <v>C</v>
      </c>
      <c r="Y48" s="8" t="s">
        <v>31</v>
      </c>
      <c r="Z48" s="4" t="str">
        <f aca="false">SPRV_Source_For_Formulas!D189</f>
        <v>T1496.004</v>
      </c>
      <c r="AA48" s="5" t="s">
        <v>22</v>
      </c>
      <c r="AB48" s="8" t="n">
        <v>3</v>
      </c>
      <c r="AC48" s="4" t="n">
        <v>1</v>
      </c>
      <c r="AD48" s="4" t="n">
        <f aca="false">IF(SPRV_Source_For_Formulas!G189&lt;=0.2,3,IF(SPRV_Source_For_Formulas!G189&lt;=0.5,2,1))</f>
        <v>2</v>
      </c>
      <c r="AE48" s="4" t="n">
        <f aca="false">4-AD48</f>
        <v>2</v>
      </c>
      <c r="AF48" s="4" t="str">
        <f aca="false">IF(AND(AB48=3,AC48*AE48&gt;=6),"A",IF(AND(AB48=3,AC48*AE48&gt;=3),"B",IF(AND(AB48=3,AC48*AE48&gt;=1),"C","")))</f>
        <v>C</v>
      </c>
      <c r="AG48" s="8" t="s">
        <v>23</v>
      </c>
      <c r="AP48" s="7" t="n">
        <f aca="false">MAX(D48,L48,T48,AB48)</f>
        <v>3</v>
      </c>
      <c r="AQ48" s="7" t="n">
        <v>1</v>
      </c>
      <c r="AR48" s="7" t="n">
        <f aca="false">4-AS48</f>
        <v>1</v>
      </c>
      <c r="AS48" s="10" t="n">
        <f aca="false">MAX(F48,N48,V48,AD48)</f>
        <v>3</v>
      </c>
      <c r="AT48" s="7" t="str">
        <f aca="false">IF(AND(AP48=3,AQ48*AR48&gt;=6),"A",IF(AND(AP48=3,AQ48*AR48&gt;=3),"B",IF(AND(AP48=3,AQ48*AR48&gt;=1),"C","")))</f>
        <v>C</v>
      </c>
      <c r="AU48" s="4" t="str">
        <f aca="false">"Scenario-level Threat=1; Step1="&amp;H48&amp;" Step2="&amp;P48&amp;" Step3="&amp;X48&amp;" Step4="&amp;AF48&amp;" ; Overall Threat fixed=1, Max Mitigation="&amp;AS48&amp;" =&gt; Overall="&amp;AT48</f>
        <v>Scenario-level Threat=1; Step1=C Step2=C Step3=C Step4=C ; Overall Threat fixed=1, Max Mitigation=3 =&gt; Overall=C</v>
      </c>
      <c r="AV48" s="11"/>
      <c r="AW48" s="11"/>
      <c r="AX48" s="11"/>
    </row>
    <row r="49" customFormat="false" ht="18" hidden="true" customHeight="false" outlineLevel="0" collapsed="false">
      <c r="A49" s="4" t="str">
        <f aca="false">SPRV_Source_For_Formulas!D190</f>
        <v>T1189</v>
      </c>
      <c r="B49" s="5" t="s">
        <v>12</v>
      </c>
      <c r="C49" s="6"/>
      <c r="D49" s="8" t="n">
        <v>3</v>
      </c>
      <c r="E49" s="4" t="n">
        <v>1</v>
      </c>
      <c r="F49" s="4" t="n">
        <f aca="false">IF(SPRV_Source_For_Formulas!G190&lt;=0.2,3,IF(SPRV_Source_For_Formulas!G190&lt;=0.5,2,1))</f>
        <v>3</v>
      </c>
      <c r="G49" s="4" t="n">
        <f aca="false">4-F49</f>
        <v>1</v>
      </c>
      <c r="H49" s="7" t="str">
        <f aca="false">IF(AND(D49=3,E49*G49&gt;=6),"A",IF(AND(D49=3,E49*G49&gt;=3),"B",IF(AND(D49=3,E49*G49&gt;=1),"C","")))</f>
        <v>C</v>
      </c>
      <c r="I49" s="8" t="s">
        <v>13</v>
      </c>
      <c r="J49" s="4" t="str">
        <f aca="false">SPRV_Source_For_Formulas!D191</f>
        <v>T1484.002</v>
      </c>
      <c r="K49" s="5" t="s">
        <v>34</v>
      </c>
      <c r="L49" s="8" t="n">
        <v>3</v>
      </c>
      <c r="M49" s="4" t="n">
        <v>1</v>
      </c>
      <c r="N49" s="4" t="n">
        <f aca="false">IF(SPRV_Source_For_Formulas!G191&lt;=0.2,3,IF(SPRV_Source_For_Formulas!G191&lt;=0.5,2,1))</f>
        <v>3</v>
      </c>
      <c r="O49" s="4" t="n">
        <f aca="false">4-N49</f>
        <v>1</v>
      </c>
      <c r="P49" s="7" t="str">
        <f aca="false">IF(AND(L49=3,M49*O49&gt;=6),"A",IF(AND(L49=3,M49*O49&gt;=3),"B",IF(AND(L49=3,M49*O49&gt;=1),"C","")))</f>
        <v>C</v>
      </c>
      <c r="Q49" s="8" t="s">
        <v>35</v>
      </c>
      <c r="R49" s="4" t="str">
        <f aca="false">SPRV_Source_For_Formulas!D192</f>
        <v>T1484.002</v>
      </c>
      <c r="S49" s="8" t="s">
        <v>30</v>
      </c>
      <c r="T49" s="8" t="n">
        <v>3</v>
      </c>
      <c r="U49" s="4" t="n">
        <v>1</v>
      </c>
      <c r="V49" s="4" t="n">
        <f aca="false">IF(SPRV_Source_For_Formulas!G192&lt;=0.2,3,IF(SPRV_Source_For_Formulas!G192&lt;=0.5,2,1))</f>
        <v>3</v>
      </c>
      <c r="W49" s="4" t="n">
        <f aca="false">4-V49</f>
        <v>1</v>
      </c>
      <c r="X49" s="4" t="str">
        <f aca="false">IF(AND(T49=3,U49*W49&gt;=6),"A",IF(AND(T49=3,U49*W49&gt;=3),"B",IF(AND(T49=3,U49*W49&gt;=1),"C","")))</f>
        <v>C</v>
      </c>
      <c r="Y49" s="8" t="s">
        <v>31</v>
      </c>
      <c r="Z49" s="4" t="str">
        <f aca="false">SPRV_Source_For_Formulas!D193</f>
        <v>T1496.002</v>
      </c>
      <c r="AA49" s="5" t="s">
        <v>24</v>
      </c>
      <c r="AB49" s="8" t="n">
        <v>3</v>
      </c>
      <c r="AC49" s="4" t="n">
        <v>1</v>
      </c>
      <c r="AD49" s="4" t="n">
        <f aca="false">IF(SPRV_Source_For_Formulas!G193&lt;=0.2,3,IF(SPRV_Source_For_Formulas!G193&lt;=0.5,2,1))</f>
        <v>2</v>
      </c>
      <c r="AE49" s="4" t="n">
        <f aca="false">4-AD49</f>
        <v>2</v>
      </c>
      <c r="AF49" s="4" t="str">
        <f aca="false">IF(AND(AB49=3,AC49*AE49&gt;=6),"A",IF(AND(AB49=3,AC49*AE49&gt;=3),"B",IF(AND(AB49=3,AC49*AE49&gt;=1),"C","")))</f>
        <v>C</v>
      </c>
      <c r="AG49" s="8" t="s">
        <v>25</v>
      </c>
      <c r="AP49" s="7" t="n">
        <f aca="false">MAX(D49,L49,T49,AB49)</f>
        <v>3</v>
      </c>
      <c r="AQ49" s="7" t="n">
        <v>1</v>
      </c>
      <c r="AR49" s="7" t="n">
        <f aca="false">4-AS49</f>
        <v>1</v>
      </c>
      <c r="AS49" s="10" t="n">
        <f aca="false">MAX(F49,N49,V49,AD49)</f>
        <v>3</v>
      </c>
      <c r="AT49" s="7" t="str">
        <f aca="false">IF(AND(AP49=3,AQ49*AR49&gt;=6),"A",IF(AND(AP49=3,AQ49*AR49&gt;=3),"B",IF(AND(AP49=3,AQ49*AR49&gt;=1),"C","")))</f>
        <v>C</v>
      </c>
      <c r="AU49" s="4" t="str">
        <f aca="false">"Scenario-level Threat=1; Step1="&amp;H49&amp;" Step2="&amp;P49&amp;" Step3="&amp;X49&amp;" Step4="&amp;AF49&amp;" ; Overall Threat fixed=1, Max Mitigation="&amp;AS49&amp;" =&gt; Overall="&amp;AT49</f>
        <v>Scenario-level Threat=1; Step1=C Step2=C Step3=C Step4=C ; Overall Threat fixed=1, Max Mitigation=3 =&gt; Overall=C</v>
      </c>
      <c r="AV49" s="11"/>
      <c r="AW49" s="11"/>
      <c r="AX49" s="11"/>
    </row>
    <row r="50" customFormat="false" ht="19.5" hidden="true" customHeight="true" outlineLevel="0" collapsed="false">
      <c r="A50" s="4" t="str">
        <f aca="false">SPRV_Source_For_Formulas!D194</f>
        <v>T1189</v>
      </c>
      <c r="B50" s="5" t="s">
        <v>12</v>
      </c>
      <c r="C50" s="6"/>
      <c r="D50" s="8" t="n">
        <v>3</v>
      </c>
      <c r="E50" s="4" t="n">
        <v>1</v>
      </c>
      <c r="F50" s="4" t="n">
        <f aca="false">IF(SPRV_Source_For_Formulas!G194&lt;=0.2,3,IF(SPRV_Source_For_Formulas!G194&lt;=0.5,2,1))</f>
        <v>3</v>
      </c>
      <c r="G50" s="4" t="n">
        <f aca="false">4-F50</f>
        <v>1</v>
      </c>
      <c r="H50" s="7" t="str">
        <f aca="false">IF(AND(D50=3,E50*G50&gt;=6),"A",IF(AND(D50=3,E50*G50&gt;=3),"B",IF(AND(D50=3,E50*G50&gt;=1),"C","")))</f>
        <v>C</v>
      </c>
      <c r="I50" s="8" t="s">
        <v>13</v>
      </c>
      <c r="J50" s="4" t="str">
        <f aca="false">SPRV_Source_For_Formulas!D195</f>
        <v>T1578.004</v>
      </c>
      <c r="K50" s="5" t="s">
        <v>36</v>
      </c>
      <c r="L50" s="8" t="n">
        <v>3</v>
      </c>
      <c r="M50" s="4" t="n">
        <v>1</v>
      </c>
      <c r="N50" s="4" t="n">
        <f aca="false">IF(SPRV_Source_For_Formulas!G195&lt;=0.2,3,IF(SPRV_Source_For_Formulas!G195&lt;=0.5,2,1))</f>
        <v>2</v>
      </c>
      <c r="O50" s="4" t="n">
        <f aca="false">4-N50</f>
        <v>2</v>
      </c>
      <c r="P50" s="7" t="str">
        <f aca="false">IF(AND(L50=3,M50*O50&gt;=6),"A",IF(AND(L50=3,M50*O50&gt;=3),"B",IF(AND(L50=3,M50*O50&gt;=1),"C","")))</f>
        <v>C</v>
      </c>
      <c r="Q50" s="8" t="s">
        <v>37</v>
      </c>
      <c r="R50" s="4" t="str">
        <f aca="false">SPRV_Source_For_Formulas!D196</f>
        <v>T1651</v>
      </c>
      <c r="S50" s="5" t="s">
        <v>16</v>
      </c>
      <c r="T50" s="8" t="n">
        <v>3</v>
      </c>
      <c r="U50" s="4" t="n">
        <v>1</v>
      </c>
      <c r="V50" s="4" t="n">
        <f aca="false">IF(SPRV_Source_For_Formulas!G196&lt;=0.2,3,IF(SPRV_Source_For_Formulas!G196&lt;=0.5,2,1))</f>
        <v>3</v>
      </c>
      <c r="W50" s="4" t="n">
        <f aca="false">4-V50</f>
        <v>1</v>
      </c>
      <c r="X50" s="4" t="str">
        <f aca="false">IF(AND(T50=3,U50*W50&gt;=6),"A",IF(AND(T50=3,U50*W50&gt;=3),"B",IF(AND(T50=3,U50*W50&gt;=1),"C","")))</f>
        <v>C</v>
      </c>
      <c r="Y50" s="8" t="s">
        <v>17</v>
      </c>
      <c r="Z50" s="4" t="str">
        <f aca="false">SPRV_Source_For_Formulas!D197</f>
        <v>T1486</v>
      </c>
      <c r="AA50" s="5" t="s">
        <v>18</v>
      </c>
      <c r="AB50" s="8" t="n">
        <v>3</v>
      </c>
      <c r="AC50" s="4" t="n">
        <v>1</v>
      </c>
      <c r="AD50" s="4" t="n">
        <f aca="false">IF(SPRV_Source_For_Formulas!G197&lt;=0.2,3,IF(SPRV_Source_For_Formulas!G197&lt;=0.5,2,1))</f>
        <v>3</v>
      </c>
      <c r="AE50" s="4" t="n">
        <f aca="false">4-AD50</f>
        <v>1</v>
      </c>
      <c r="AF50" s="4" t="str">
        <f aca="false">IF(AND(AB50=3,AC50*AE50&gt;=6),"A",IF(AND(AB50=3,AC50*AE50&gt;=3),"B",IF(AND(AB50=3,AC50*AE50&gt;=1),"C","")))</f>
        <v>C</v>
      </c>
      <c r="AG50" s="9" t="s">
        <v>19</v>
      </c>
      <c r="AP50" s="7" t="n">
        <f aca="false">MAX(D50,L50,T50,AB50)</f>
        <v>3</v>
      </c>
      <c r="AQ50" s="7" t="n">
        <v>1</v>
      </c>
      <c r="AR50" s="7" t="n">
        <f aca="false">4-AS50</f>
        <v>1</v>
      </c>
      <c r="AS50" s="10" t="n">
        <f aca="false">MAX(F50,N50,V50,AD50)</f>
        <v>3</v>
      </c>
      <c r="AT50" s="7" t="str">
        <f aca="false">IF(AND(AP50=3,AQ50*AR50&gt;=6),"A",IF(AND(AP50=3,AQ50*AR50&gt;=3),"B",IF(AND(AP50=3,AQ50*AR50&gt;=1),"C","")))</f>
        <v>C</v>
      </c>
      <c r="AU50" s="4" t="str">
        <f aca="false">"Scenario-level Threat=1; Step1="&amp;H50&amp;" Step2="&amp;P50&amp;" Step3="&amp;X50&amp;" Step4="&amp;AF50&amp;" ; Overall Threat fixed=1, Max Mitigation="&amp;AS50&amp;" =&gt; Overall="&amp;AT50</f>
        <v>Scenario-level Threat=1; Step1=C Step2=C Step3=C Step4=C ; Overall Threat fixed=1, Max Mitigation=3 =&gt; Overall=C</v>
      </c>
      <c r="AV50" s="11"/>
      <c r="AW50" s="11"/>
      <c r="AX50" s="11"/>
    </row>
    <row r="51" customFormat="false" ht="19.5" hidden="false" customHeight="true" outlineLevel="0" collapsed="false">
      <c r="A51" s="4" t="str">
        <f aca="false">SPRV_Source_For_Formulas!D198</f>
        <v>T1189</v>
      </c>
      <c r="B51" s="5" t="s">
        <v>12</v>
      </c>
      <c r="C51" s="6"/>
      <c r="D51" s="8" t="n">
        <v>3</v>
      </c>
      <c r="E51" s="4" t="n">
        <v>1</v>
      </c>
      <c r="F51" s="4" t="n">
        <f aca="false">IF(SPRV_Source_For_Formulas!G198&lt;=0.2,3,IF(SPRV_Source_For_Formulas!G198&lt;=0.5,2,1))</f>
        <v>3</v>
      </c>
      <c r="G51" s="4" t="n">
        <f aca="false">4-F51</f>
        <v>1</v>
      </c>
      <c r="H51" s="7" t="str">
        <f aca="false">IF(AND(D51=3,E51*G51&gt;=6),"A",IF(AND(D51=3,E51*G51&gt;=3),"B",IF(AND(D51=3,E51*G51&gt;=1),"C","")))</f>
        <v>C</v>
      </c>
      <c r="I51" s="8" t="s">
        <v>13</v>
      </c>
      <c r="J51" s="4" t="str">
        <f aca="false">SPRV_Source_For_Formulas!D199</f>
        <v>T1578.004</v>
      </c>
      <c r="K51" s="5" t="s">
        <v>36</v>
      </c>
      <c r="L51" s="8" t="n">
        <v>3</v>
      </c>
      <c r="M51" s="4" t="n">
        <v>1</v>
      </c>
      <c r="N51" s="4" t="n">
        <f aca="false">IF(SPRV_Source_For_Formulas!G199&lt;=0.2,3,IF(SPRV_Source_For_Formulas!G199&lt;=0.5,2,1))</f>
        <v>2</v>
      </c>
      <c r="O51" s="4" t="n">
        <f aca="false">4-N51</f>
        <v>2</v>
      </c>
      <c r="P51" s="7" t="str">
        <f aca="false">IF(AND(L51=3,M51*O51&gt;=6),"A",IF(AND(L51=3,M51*O51&gt;=3),"B",IF(AND(L51=3,M51*O51&gt;=1),"C","")))</f>
        <v>C</v>
      </c>
      <c r="Q51" s="8" t="s">
        <v>37</v>
      </c>
      <c r="R51" s="4" t="str">
        <f aca="false">SPRV_Source_For_Formulas!D200</f>
        <v>T1651</v>
      </c>
      <c r="S51" s="5" t="s">
        <v>16</v>
      </c>
      <c r="T51" s="8" t="n">
        <v>3</v>
      </c>
      <c r="U51" s="4" t="n">
        <v>1</v>
      </c>
      <c r="V51" s="4" t="n">
        <f aca="false">IF(SPRV_Source_For_Formulas!G200&lt;=0.2,3,IF(SPRV_Source_For_Formulas!G200&lt;=0.5,2,1))</f>
        <v>3</v>
      </c>
      <c r="W51" s="4" t="n">
        <f aca="false">4-V51</f>
        <v>1</v>
      </c>
      <c r="X51" s="4" t="str">
        <f aca="false">IF(AND(T51=3,U51*W51&gt;=6),"A",IF(AND(T51=3,U51*W51&gt;=3),"B",IF(AND(T51=3,U51*W51&gt;=1),"C","")))</f>
        <v>C</v>
      </c>
      <c r="Y51" s="8" t="s">
        <v>17</v>
      </c>
      <c r="Z51" s="4" t="str">
        <f aca="false">SPRV_Source_For_Formulas!D201</f>
        <v>T1496.001</v>
      </c>
      <c r="AA51" s="5" t="s">
        <v>20</v>
      </c>
      <c r="AB51" s="8" t="n">
        <v>3</v>
      </c>
      <c r="AC51" s="4" t="n">
        <v>1</v>
      </c>
      <c r="AD51" s="4" t="n">
        <f aca="false">IF(SPRV_Source_For_Formulas!G201&lt;=0.2,3,IF(SPRV_Source_For_Formulas!G201&lt;=0.5,2,1))</f>
        <v>2</v>
      </c>
      <c r="AE51" s="4" t="n">
        <f aca="false">4-AD51</f>
        <v>2</v>
      </c>
      <c r="AF51" s="4" t="str">
        <f aca="false">IF(AND(AB51=3,AC51*AE51&gt;=6),"A",IF(AND(AB51=3,AC51*AE51&gt;=3),"B",IF(AND(AB51=3,AC51*AE51&gt;=1),"C","")))</f>
        <v>C</v>
      </c>
      <c r="AG51" s="12" t="s">
        <v>21</v>
      </c>
      <c r="AP51" s="7" t="n">
        <f aca="false">MAX(D51,L51,T51,AB51)</f>
        <v>3</v>
      </c>
      <c r="AQ51" s="7" t="n">
        <v>1</v>
      </c>
      <c r="AR51" s="7" t="n">
        <f aca="false">4-AS51</f>
        <v>1</v>
      </c>
      <c r="AS51" s="10" t="n">
        <f aca="false">MAX(F51,N51,V51,AD51)</f>
        <v>3</v>
      </c>
      <c r="AT51" s="7" t="str">
        <f aca="false">IF(AND(AP51=3,AQ51*AR51&gt;=6),"A",IF(AND(AP51=3,AQ51*AR51&gt;=3),"B",IF(AND(AP51=3,AQ51*AR51&gt;=1),"C","")))</f>
        <v>C</v>
      </c>
      <c r="AU51" s="4" t="str">
        <f aca="false">"Scenario-level Threat=1; Step1="&amp;H51&amp;" Step2="&amp;P51&amp;" Step3="&amp;X51&amp;" Step4="&amp;AF51&amp;" ; Overall Threat fixed=1, Max Mitigation="&amp;AS51&amp;" =&gt; Overall="&amp;AT51</f>
        <v>Scenario-level Threat=1; Step1=C Step2=C Step3=C Step4=C ; Overall Threat fixed=1, Max Mitigation=3 =&gt; Overall=C</v>
      </c>
      <c r="AV51" s="11"/>
      <c r="AW51" s="11"/>
      <c r="AX51" s="11"/>
    </row>
    <row r="52" customFormat="false" ht="18" hidden="true" customHeight="false" outlineLevel="0" collapsed="false">
      <c r="A52" s="4" t="str">
        <f aca="false">SPRV_Source_For_Formulas!D202</f>
        <v>T1189</v>
      </c>
      <c r="B52" s="5" t="s">
        <v>12</v>
      </c>
      <c r="C52" s="6"/>
      <c r="D52" s="8" t="n">
        <v>3</v>
      </c>
      <c r="E52" s="4" t="n">
        <v>1</v>
      </c>
      <c r="F52" s="4" t="n">
        <f aca="false">IF(SPRV_Source_For_Formulas!G202&lt;=0.2,3,IF(SPRV_Source_For_Formulas!G202&lt;=0.5,2,1))</f>
        <v>3</v>
      </c>
      <c r="G52" s="4" t="n">
        <f aca="false">4-F52</f>
        <v>1</v>
      </c>
      <c r="H52" s="7" t="str">
        <f aca="false">IF(AND(D52=3,E52*G52&gt;=6),"A",IF(AND(D52=3,E52*G52&gt;=3),"B",IF(AND(D52=3,E52*G52&gt;=1),"C","")))</f>
        <v>C</v>
      </c>
      <c r="I52" s="8" t="s">
        <v>13</v>
      </c>
      <c r="J52" s="4" t="str">
        <f aca="false">SPRV_Source_For_Formulas!D203</f>
        <v>T1578.004</v>
      </c>
      <c r="K52" s="5" t="s">
        <v>36</v>
      </c>
      <c r="L52" s="8" t="n">
        <v>3</v>
      </c>
      <c r="M52" s="4" t="n">
        <v>1</v>
      </c>
      <c r="N52" s="4" t="n">
        <f aca="false">IF(SPRV_Source_For_Formulas!G203&lt;=0.2,3,IF(SPRV_Source_For_Formulas!G203&lt;=0.5,2,1))</f>
        <v>2</v>
      </c>
      <c r="O52" s="4" t="n">
        <f aca="false">4-N52</f>
        <v>2</v>
      </c>
      <c r="P52" s="7" t="str">
        <f aca="false">IF(AND(L52=3,M52*O52&gt;=6),"A",IF(AND(L52=3,M52*O52&gt;=3),"B",IF(AND(L52=3,M52*O52&gt;=1),"C","")))</f>
        <v>C</v>
      </c>
      <c r="Q52" s="8" t="s">
        <v>37</v>
      </c>
      <c r="R52" s="4" t="str">
        <f aca="false">SPRV_Source_For_Formulas!D204</f>
        <v>T1651</v>
      </c>
      <c r="S52" s="5" t="s">
        <v>16</v>
      </c>
      <c r="T52" s="8" t="n">
        <v>3</v>
      </c>
      <c r="U52" s="4" t="n">
        <v>1</v>
      </c>
      <c r="V52" s="4" t="n">
        <f aca="false">IF(SPRV_Source_For_Formulas!G204&lt;=0.2,3,IF(SPRV_Source_For_Formulas!G204&lt;=0.5,2,1))</f>
        <v>3</v>
      </c>
      <c r="W52" s="4" t="n">
        <f aca="false">4-V52</f>
        <v>1</v>
      </c>
      <c r="X52" s="4" t="str">
        <f aca="false">IF(AND(T52=3,U52*W52&gt;=6),"A",IF(AND(T52=3,U52*W52&gt;=3),"B",IF(AND(T52=3,U52*W52&gt;=1),"C","")))</f>
        <v>C</v>
      </c>
      <c r="Y52" s="8" t="s">
        <v>17</v>
      </c>
      <c r="Z52" s="4" t="str">
        <f aca="false">SPRV_Source_For_Formulas!D205</f>
        <v>T1496.004</v>
      </c>
      <c r="AA52" s="5" t="s">
        <v>22</v>
      </c>
      <c r="AB52" s="8" t="n">
        <v>3</v>
      </c>
      <c r="AC52" s="4" t="n">
        <v>1</v>
      </c>
      <c r="AD52" s="4" t="n">
        <f aca="false">IF(SPRV_Source_For_Formulas!G205&lt;=0.2,3,IF(SPRV_Source_For_Formulas!G205&lt;=0.5,2,1))</f>
        <v>2</v>
      </c>
      <c r="AE52" s="4" t="n">
        <f aca="false">4-AD52</f>
        <v>2</v>
      </c>
      <c r="AF52" s="4" t="str">
        <f aca="false">IF(AND(AB52=3,AC52*AE52&gt;=6),"A",IF(AND(AB52=3,AC52*AE52&gt;=3),"B",IF(AND(AB52=3,AC52*AE52&gt;=1),"C","")))</f>
        <v>C</v>
      </c>
      <c r="AG52" s="8" t="s">
        <v>23</v>
      </c>
      <c r="AP52" s="7" t="n">
        <f aca="false">MAX(D52,L52,T52,AB52)</f>
        <v>3</v>
      </c>
      <c r="AQ52" s="7" t="n">
        <v>1</v>
      </c>
      <c r="AR52" s="7" t="n">
        <f aca="false">4-AS52</f>
        <v>1</v>
      </c>
      <c r="AS52" s="10" t="n">
        <f aca="false">MAX(F52,N52,V52,AD52)</f>
        <v>3</v>
      </c>
      <c r="AT52" s="7" t="str">
        <f aca="false">IF(AND(AP52=3,AQ52*AR52&gt;=6),"A",IF(AND(AP52=3,AQ52*AR52&gt;=3),"B",IF(AND(AP52=3,AQ52*AR52&gt;=1),"C","")))</f>
        <v>C</v>
      </c>
      <c r="AU52" s="4" t="str">
        <f aca="false">"Scenario-level Threat=1; Step1="&amp;H52&amp;" Step2="&amp;P52&amp;" Step3="&amp;X52&amp;" Step4="&amp;AF52&amp;" ; Overall Threat fixed=1, Max Mitigation="&amp;AS52&amp;" =&gt; Overall="&amp;AT52</f>
        <v>Scenario-level Threat=1; Step1=C Step2=C Step3=C Step4=C ; Overall Threat fixed=1, Max Mitigation=3 =&gt; Overall=C</v>
      </c>
      <c r="AV52" s="11"/>
      <c r="AW52" s="11"/>
      <c r="AX52" s="11"/>
    </row>
    <row r="53" customFormat="false" ht="18" hidden="true" customHeight="false" outlineLevel="0" collapsed="false">
      <c r="A53" s="4" t="str">
        <f aca="false">SPRV_Source_For_Formulas!D206</f>
        <v>T1189</v>
      </c>
      <c r="B53" s="5" t="s">
        <v>12</v>
      </c>
      <c r="C53" s="6"/>
      <c r="D53" s="8" t="n">
        <v>3</v>
      </c>
      <c r="E53" s="4" t="n">
        <v>1</v>
      </c>
      <c r="F53" s="4" t="n">
        <f aca="false">IF(SPRV_Source_For_Formulas!G206&lt;=0.2,3,IF(SPRV_Source_For_Formulas!G206&lt;=0.5,2,1))</f>
        <v>3</v>
      </c>
      <c r="G53" s="4" t="n">
        <f aca="false">4-F53</f>
        <v>1</v>
      </c>
      <c r="H53" s="7" t="str">
        <f aca="false">IF(AND(D53=3,E53*G53&gt;=6),"A",IF(AND(D53=3,E53*G53&gt;=3),"B",IF(AND(D53=3,E53*G53&gt;=1),"C","")))</f>
        <v>C</v>
      </c>
      <c r="I53" s="8" t="s">
        <v>13</v>
      </c>
      <c r="J53" s="4" t="str">
        <f aca="false">SPRV_Source_For_Formulas!D207</f>
        <v>T1578.004</v>
      </c>
      <c r="K53" s="5" t="s">
        <v>36</v>
      </c>
      <c r="L53" s="8" t="n">
        <v>3</v>
      </c>
      <c r="M53" s="4" t="n">
        <v>1</v>
      </c>
      <c r="N53" s="4" t="n">
        <f aca="false">IF(SPRV_Source_For_Formulas!G207&lt;=0.2,3,IF(SPRV_Source_For_Formulas!G207&lt;=0.5,2,1))</f>
        <v>2</v>
      </c>
      <c r="O53" s="4" t="n">
        <f aca="false">4-N53</f>
        <v>2</v>
      </c>
      <c r="P53" s="7" t="str">
        <f aca="false">IF(AND(L53=3,M53*O53&gt;=6),"A",IF(AND(L53=3,M53*O53&gt;=3),"B",IF(AND(L53=3,M53*O53&gt;=1),"C","")))</f>
        <v>C</v>
      </c>
      <c r="Q53" s="8" t="s">
        <v>37</v>
      </c>
      <c r="R53" s="4" t="str">
        <f aca="false">SPRV_Source_For_Formulas!D208</f>
        <v>T1651</v>
      </c>
      <c r="S53" s="5" t="s">
        <v>16</v>
      </c>
      <c r="T53" s="8" t="n">
        <v>3</v>
      </c>
      <c r="U53" s="4" t="n">
        <v>1</v>
      </c>
      <c r="V53" s="4" t="n">
        <f aca="false">IF(SPRV_Source_For_Formulas!G208&lt;=0.2,3,IF(SPRV_Source_For_Formulas!G208&lt;=0.5,2,1))</f>
        <v>3</v>
      </c>
      <c r="W53" s="4" t="n">
        <f aca="false">4-V53</f>
        <v>1</v>
      </c>
      <c r="X53" s="4" t="str">
        <f aca="false">IF(AND(T53=3,U53*W53&gt;=6),"A",IF(AND(T53=3,U53*W53&gt;=3),"B",IF(AND(T53=3,U53*W53&gt;=1),"C","")))</f>
        <v>C</v>
      </c>
      <c r="Y53" s="8" t="s">
        <v>17</v>
      </c>
      <c r="Z53" s="4" t="str">
        <f aca="false">SPRV_Source_For_Formulas!D209</f>
        <v>T1496.002</v>
      </c>
      <c r="AA53" s="5" t="s">
        <v>24</v>
      </c>
      <c r="AB53" s="8" t="n">
        <v>3</v>
      </c>
      <c r="AC53" s="4" t="n">
        <v>1</v>
      </c>
      <c r="AD53" s="4" t="n">
        <f aca="false">IF(SPRV_Source_For_Formulas!G209&lt;=0.2,3,IF(SPRV_Source_For_Formulas!G209&lt;=0.5,2,1))</f>
        <v>2</v>
      </c>
      <c r="AE53" s="4" t="n">
        <f aca="false">4-AD53</f>
        <v>2</v>
      </c>
      <c r="AF53" s="4" t="str">
        <f aca="false">IF(AND(AB53=3,AC53*AE53&gt;=6),"A",IF(AND(AB53=3,AC53*AE53&gt;=3),"B",IF(AND(AB53=3,AC53*AE53&gt;=1),"C","")))</f>
        <v>C</v>
      </c>
      <c r="AG53" s="8" t="s">
        <v>25</v>
      </c>
      <c r="AP53" s="7" t="n">
        <f aca="false">MAX(D53,L53,T53,AB53)</f>
        <v>3</v>
      </c>
      <c r="AQ53" s="7" t="n">
        <v>1</v>
      </c>
      <c r="AR53" s="7" t="n">
        <f aca="false">4-AS53</f>
        <v>1</v>
      </c>
      <c r="AS53" s="10" t="n">
        <f aca="false">MAX(F53,N53,V53,AD53)</f>
        <v>3</v>
      </c>
      <c r="AT53" s="7" t="str">
        <f aca="false">IF(AND(AP53=3,AQ53*AR53&gt;=6),"A",IF(AND(AP53=3,AQ53*AR53&gt;=3),"B",IF(AND(AP53=3,AQ53*AR53&gt;=1),"C","")))</f>
        <v>C</v>
      </c>
      <c r="AU53" s="4" t="str">
        <f aca="false">"Scenario-level Threat=1; Step1="&amp;H53&amp;" Step2="&amp;P53&amp;" Step3="&amp;X53&amp;" Step4="&amp;AF53&amp;" ; Overall Threat fixed=1, Max Mitigation="&amp;AS53&amp;" =&gt; Overall="&amp;AT53</f>
        <v>Scenario-level Threat=1; Step1=C Step2=C Step3=C Step4=C ; Overall Threat fixed=1, Max Mitigation=3 =&gt; Overall=C</v>
      </c>
      <c r="AV53" s="11"/>
      <c r="AW53" s="11"/>
      <c r="AX53" s="11"/>
    </row>
    <row r="54" customFormat="false" ht="19.5" hidden="true" customHeight="true" outlineLevel="0" collapsed="false">
      <c r="A54" s="4" t="str">
        <f aca="false">SPRV_Source_For_Formulas!D210</f>
        <v>T1189</v>
      </c>
      <c r="B54" s="5" t="s">
        <v>12</v>
      </c>
      <c r="C54" s="6"/>
      <c r="D54" s="8" t="n">
        <v>3</v>
      </c>
      <c r="E54" s="4" t="n">
        <v>1</v>
      </c>
      <c r="F54" s="4" t="n">
        <f aca="false">IF(SPRV_Source_For_Formulas!G210&lt;=0.2,3,IF(SPRV_Source_For_Formulas!G210&lt;=0.5,2,1))</f>
        <v>3</v>
      </c>
      <c r="G54" s="4" t="n">
        <f aca="false">4-F54</f>
        <v>1</v>
      </c>
      <c r="H54" s="7" t="str">
        <f aca="false">IF(AND(D54=3,E54*G54&gt;=6),"A",IF(AND(D54=3,E54*G54&gt;=3),"B",IF(AND(D54=3,E54*G54&gt;=1),"C","")))</f>
        <v>C</v>
      </c>
      <c r="I54" s="8" t="s">
        <v>13</v>
      </c>
      <c r="J54" s="4" t="str">
        <f aca="false">SPRV_Source_For_Formulas!D211</f>
        <v>T1578.004</v>
      </c>
      <c r="K54" s="5" t="s">
        <v>36</v>
      </c>
      <c r="L54" s="8" t="n">
        <v>3</v>
      </c>
      <c r="M54" s="4" t="n">
        <v>1</v>
      </c>
      <c r="N54" s="4" t="n">
        <f aca="false">IF(SPRV_Source_For_Formulas!G211&lt;=0.2,3,IF(SPRV_Source_For_Formulas!G211&lt;=0.5,2,1))</f>
        <v>2</v>
      </c>
      <c r="O54" s="4" t="n">
        <f aca="false">4-N54</f>
        <v>2</v>
      </c>
      <c r="P54" s="7" t="str">
        <f aca="false">IF(AND(L54=3,M54*O54&gt;=6),"A",IF(AND(L54=3,M54*O54&gt;=3),"B",IF(AND(L54=3,M54*O54&gt;=1),"C","")))</f>
        <v>C</v>
      </c>
      <c r="Q54" s="8" t="s">
        <v>37</v>
      </c>
      <c r="R54" s="4" t="str">
        <f aca="false">SPRV_Source_For_Formulas!D212</f>
        <v>T1555.006</v>
      </c>
      <c r="S54" s="8" t="s">
        <v>26</v>
      </c>
      <c r="T54" s="8" t="n">
        <v>3</v>
      </c>
      <c r="U54" s="4" t="n">
        <v>1</v>
      </c>
      <c r="V54" s="4" t="n">
        <f aca="false">IF(SPRV_Source_For_Formulas!G212&lt;=0.2,3,IF(SPRV_Source_For_Formulas!G212&lt;=0.5,2,1))</f>
        <v>3</v>
      </c>
      <c r="W54" s="4" t="n">
        <f aca="false">4-V54</f>
        <v>1</v>
      </c>
      <c r="X54" s="4" t="str">
        <f aca="false">IF(AND(T54=3,U54*W54&gt;=6),"A",IF(AND(T54=3,U54*W54&gt;=3),"B",IF(AND(T54=3,U54*W54&gt;=1),"C","")))</f>
        <v>C</v>
      </c>
      <c r="Y54" s="8" t="s">
        <v>27</v>
      </c>
      <c r="Z54" s="4" t="str">
        <f aca="false">SPRV_Source_For_Formulas!D213</f>
        <v>T1486</v>
      </c>
      <c r="AA54" s="5" t="s">
        <v>18</v>
      </c>
      <c r="AB54" s="8" t="n">
        <v>3</v>
      </c>
      <c r="AC54" s="4" t="n">
        <v>1</v>
      </c>
      <c r="AD54" s="4" t="n">
        <f aca="false">IF(SPRV_Source_For_Formulas!G213&lt;=0.2,3,IF(SPRV_Source_For_Formulas!G213&lt;=0.5,2,1))</f>
        <v>3</v>
      </c>
      <c r="AE54" s="4" t="n">
        <f aca="false">4-AD54</f>
        <v>1</v>
      </c>
      <c r="AF54" s="4" t="str">
        <f aca="false">IF(AND(AB54=3,AC54*AE54&gt;=6),"A",IF(AND(AB54=3,AC54*AE54&gt;=3),"B",IF(AND(AB54=3,AC54*AE54&gt;=1),"C","")))</f>
        <v>C</v>
      </c>
      <c r="AG54" s="9" t="s">
        <v>19</v>
      </c>
      <c r="AP54" s="7" t="n">
        <f aca="false">MAX(D54,L54,T54,AB54)</f>
        <v>3</v>
      </c>
      <c r="AQ54" s="7" t="n">
        <v>1</v>
      </c>
      <c r="AR54" s="7" t="n">
        <f aca="false">4-AS54</f>
        <v>1</v>
      </c>
      <c r="AS54" s="10" t="n">
        <f aca="false">MAX(F54,N54,V54,AD54)</f>
        <v>3</v>
      </c>
      <c r="AT54" s="7" t="str">
        <f aca="false">IF(AND(AP54=3,AQ54*AR54&gt;=6),"A",IF(AND(AP54=3,AQ54*AR54&gt;=3),"B",IF(AND(AP54=3,AQ54*AR54&gt;=1),"C","")))</f>
        <v>C</v>
      </c>
      <c r="AU54" s="4" t="str">
        <f aca="false">"Scenario-level Threat=1; Step1="&amp;H54&amp;" Step2="&amp;P54&amp;" Step3="&amp;X54&amp;" Step4="&amp;AF54&amp;" ; Overall Threat fixed=1, Max Mitigation="&amp;AS54&amp;" =&gt; Overall="&amp;AT54</f>
        <v>Scenario-level Threat=1; Step1=C Step2=C Step3=C Step4=C ; Overall Threat fixed=1, Max Mitigation=3 =&gt; Overall=C</v>
      </c>
      <c r="AV54" s="11"/>
      <c r="AW54" s="11"/>
      <c r="AX54" s="11"/>
    </row>
    <row r="55" customFormat="false" ht="19.5" hidden="false" customHeight="true" outlineLevel="0" collapsed="false">
      <c r="A55" s="4" t="str">
        <f aca="false">SPRV_Source_For_Formulas!D214</f>
        <v>T1189</v>
      </c>
      <c r="B55" s="5" t="s">
        <v>12</v>
      </c>
      <c r="C55" s="6"/>
      <c r="D55" s="8" t="n">
        <v>3</v>
      </c>
      <c r="E55" s="4" t="n">
        <v>1</v>
      </c>
      <c r="F55" s="4" t="n">
        <f aca="false">IF(SPRV_Source_For_Formulas!G214&lt;=0.2,3,IF(SPRV_Source_For_Formulas!G214&lt;=0.5,2,1))</f>
        <v>3</v>
      </c>
      <c r="G55" s="4" t="n">
        <f aca="false">4-F55</f>
        <v>1</v>
      </c>
      <c r="H55" s="7" t="str">
        <f aca="false">IF(AND(D55=3,E55*G55&gt;=6),"A",IF(AND(D55=3,E55*G55&gt;=3),"B",IF(AND(D55=3,E55*G55&gt;=1),"C","")))</f>
        <v>C</v>
      </c>
      <c r="I55" s="8" t="s">
        <v>13</v>
      </c>
      <c r="J55" s="4" t="str">
        <f aca="false">SPRV_Source_For_Formulas!D215</f>
        <v>T1578.004</v>
      </c>
      <c r="K55" s="5" t="s">
        <v>36</v>
      </c>
      <c r="L55" s="8" t="n">
        <v>3</v>
      </c>
      <c r="M55" s="4" t="n">
        <v>1</v>
      </c>
      <c r="N55" s="4" t="n">
        <f aca="false">IF(SPRV_Source_For_Formulas!G215&lt;=0.2,3,IF(SPRV_Source_For_Formulas!G215&lt;=0.5,2,1))</f>
        <v>2</v>
      </c>
      <c r="O55" s="4" t="n">
        <f aca="false">4-N55</f>
        <v>2</v>
      </c>
      <c r="P55" s="7" t="str">
        <f aca="false">IF(AND(L55=3,M55*O55&gt;=6),"A",IF(AND(L55=3,M55*O55&gt;=3),"B",IF(AND(L55=3,M55*O55&gt;=1),"C","")))</f>
        <v>C</v>
      </c>
      <c r="Q55" s="8" t="s">
        <v>37</v>
      </c>
      <c r="R55" s="4" t="str">
        <f aca="false">SPRV_Source_For_Formulas!D216</f>
        <v>T1555.006</v>
      </c>
      <c r="S55" s="8" t="s">
        <v>26</v>
      </c>
      <c r="T55" s="8" t="n">
        <v>3</v>
      </c>
      <c r="U55" s="4" t="n">
        <v>1</v>
      </c>
      <c r="V55" s="4" t="n">
        <f aca="false">IF(SPRV_Source_For_Formulas!G216&lt;=0.2,3,IF(SPRV_Source_For_Formulas!G216&lt;=0.5,2,1))</f>
        <v>3</v>
      </c>
      <c r="W55" s="4" t="n">
        <f aca="false">4-V55</f>
        <v>1</v>
      </c>
      <c r="X55" s="4" t="str">
        <f aca="false">IF(AND(T55=3,U55*W55&gt;=6),"A",IF(AND(T55=3,U55*W55&gt;=3),"B",IF(AND(T55=3,U55*W55&gt;=1),"C","")))</f>
        <v>C</v>
      </c>
      <c r="Y55" s="8" t="s">
        <v>27</v>
      </c>
      <c r="Z55" s="4" t="str">
        <f aca="false">SPRV_Source_For_Formulas!D217</f>
        <v>T1496.001</v>
      </c>
      <c r="AA55" s="5" t="s">
        <v>20</v>
      </c>
      <c r="AB55" s="8" t="n">
        <v>3</v>
      </c>
      <c r="AC55" s="4" t="n">
        <v>1</v>
      </c>
      <c r="AD55" s="4" t="n">
        <f aca="false">IF(SPRV_Source_For_Formulas!G217&lt;=0.2,3,IF(SPRV_Source_For_Formulas!G217&lt;=0.5,2,1))</f>
        <v>2</v>
      </c>
      <c r="AE55" s="4" t="n">
        <f aca="false">4-AD55</f>
        <v>2</v>
      </c>
      <c r="AF55" s="4" t="str">
        <f aca="false">IF(AND(AB55=3,AC55*AE55&gt;=6),"A",IF(AND(AB55=3,AC55*AE55&gt;=3),"B",IF(AND(AB55=3,AC55*AE55&gt;=1),"C","")))</f>
        <v>C</v>
      </c>
      <c r="AG55" s="12" t="s">
        <v>21</v>
      </c>
      <c r="AP55" s="7" t="n">
        <f aca="false">MAX(D55,L55,T55,AB55)</f>
        <v>3</v>
      </c>
      <c r="AQ55" s="7" t="n">
        <v>1</v>
      </c>
      <c r="AR55" s="7" t="n">
        <f aca="false">4-AS55</f>
        <v>1</v>
      </c>
      <c r="AS55" s="10" t="n">
        <f aca="false">MAX(F55,N55,V55,AD55)</f>
        <v>3</v>
      </c>
      <c r="AT55" s="7" t="str">
        <f aca="false">IF(AND(AP55=3,AQ55*AR55&gt;=6),"A",IF(AND(AP55=3,AQ55*AR55&gt;=3),"B",IF(AND(AP55=3,AQ55*AR55&gt;=1),"C","")))</f>
        <v>C</v>
      </c>
      <c r="AU55" s="4" t="str">
        <f aca="false">"Scenario-level Threat=1; Step1="&amp;H55&amp;" Step2="&amp;P55&amp;" Step3="&amp;X55&amp;" Step4="&amp;AF55&amp;" ; Overall Threat fixed=1, Max Mitigation="&amp;AS55&amp;" =&gt; Overall="&amp;AT55</f>
        <v>Scenario-level Threat=1; Step1=C Step2=C Step3=C Step4=C ; Overall Threat fixed=1, Max Mitigation=3 =&gt; Overall=C</v>
      </c>
      <c r="AV55" s="11"/>
      <c r="AW55" s="11"/>
      <c r="AX55" s="11"/>
    </row>
    <row r="56" customFormat="false" ht="18" hidden="true" customHeight="false" outlineLevel="0" collapsed="false">
      <c r="A56" s="4" t="str">
        <f aca="false">SPRV_Source_For_Formulas!D218</f>
        <v>T1189</v>
      </c>
      <c r="B56" s="5" t="s">
        <v>12</v>
      </c>
      <c r="C56" s="6"/>
      <c r="D56" s="8" t="n">
        <v>3</v>
      </c>
      <c r="E56" s="4" t="n">
        <v>1</v>
      </c>
      <c r="F56" s="4" t="n">
        <f aca="false">IF(SPRV_Source_For_Formulas!G218&lt;=0.2,3,IF(SPRV_Source_For_Formulas!G218&lt;=0.5,2,1))</f>
        <v>3</v>
      </c>
      <c r="G56" s="4" t="n">
        <f aca="false">4-F56</f>
        <v>1</v>
      </c>
      <c r="H56" s="7" t="str">
        <f aca="false">IF(AND(D56=3,E56*G56&gt;=6),"A",IF(AND(D56=3,E56*G56&gt;=3),"B",IF(AND(D56=3,E56*G56&gt;=1),"C","")))</f>
        <v>C</v>
      </c>
      <c r="I56" s="8" t="s">
        <v>13</v>
      </c>
      <c r="J56" s="4" t="str">
        <f aca="false">SPRV_Source_For_Formulas!D219</f>
        <v>T1578.004</v>
      </c>
      <c r="K56" s="5" t="s">
        <v>36</v>
      </c>
      <c r="L56" s="8" t="n">
        <v>3</v>
      </c>
      <c r="M56" s="4" t="n">
        <v>1</v>
      </c>
      <c r="N56" s="4" t="n">
        <f aca="false">IF(SPRV_Source_For_Formulas!G219&lt;=0.2,3,IF(SPRV_Source_For_Formulas!G219&lt;=0.5,2,1))</f>
        <v>2</v>
      </c>
      <c r="O56" s="4" t="n">
        <f aca="false">4-N56</f>
        <v>2</v>
      </c>
      <c r="P56" s="7" t="str">
        <f aca="false">IF(AND(L56=3,M56*O56&gt;=6),"A",IF(AND(L56=3,M56*O56&gt;=3),"B",IF(AND(L56=3,M56*O56&gt;=1),"C","")))</f>
        <v>C</v>
      </c>
      <c r="Q56" s="8" t="s">
        <v>37</v>
      </c>
      <c r="R56" s="4" t="str">
        <f aca="false">SPRV_Source_For_Formulas!D220</f>
        <v>T1555.006</v>
      </c>
      <c r="S56" s="8" t="s">
        <v>26</v>
      </c>
      <c r="T56" s="8" t="n">
        <v>3</v>
      </c>
      <c r="U56" s="4" t="n">
        <v>1</v>
      </c>
      <c r="V56" s="4" t="n">
        <f aca="false">IF(SPRV_Source_For_Formulas!G220&lt;=0.2,3,IF(SPRV_Source_For_Formulas!G220&lt;=0.5,2,1))</f>
        <v>3</v>
      </c>
      <c r="W56" s="4" t="n">
        <f aca="false">4-V56</f>
        <v>1</v>
      </c>
      <c r="X56" s="4" t="str">
        <f aca="false">IF(AND(T56=3,U56*W56&gt;=6),"A",IF(AND(T56=3,U56*W56&gt;=3),"B",IF(AND(T56=3,U56*W56&gt;=1),"C","")))</f>
        <v>C</v>
      </c>
      <c r="Y56" s="8" t="s">
        <v>27</v>
      </c>
      <c r="Z56" s="4" t="str">
        <f aca="false">SPRV_Source_For_Formulas!D221</f>
        <v>T1496.004</v>
      </c>
      <c r="AA56" s="5" t="s">
        <v>22</v>
      </c>
      <c r="AB56" s="8" t="n">
        <v>3</v>
      </c>
      <c r="AC56" s="4" t="n">
        <v>1</v>
      </c>
      <c r="AD56" s="4" t="n">
        <f aca="false">IF(SPRV_Source_For_Formulas!G221&lt;=0.2,3,IF(SPRV_Source_For_Formulas!G221&lt;=0.5,2,1))</f>
        <v>2</v>
      </c>
      <c r="AE56" s="4" t="n">
        <f aca="false">4-AD56</f>
        <v>2</v>
      </c>
      <c r="AF56" s="4" t="str">
        <f aca="false">IF(AND(AB56=3,AC56*AE56&gt;=6),"A",IF(AND(AB56=3,AC56*AE56&gt;=3),"B",IF(AND(AB56=3,AC56*AE56&gt;=1),"C","")))</f>
        <v>C</v>
      </c>
      <c r="AG56" s="8" t="s">
        <v>23</v>
      </c>
      <c r="AP56" s="7" t="n">
        <f aca="false">MAX(D56,L56,T56,AB56)</f>
        <v>3</v>
      </c>
      <c r="AQ56" s="7" t="n">
        <v>1</v>
      </c>
      <c r="AR56" s="7" t="n">
        <f aca="false">4-AS56</f>
        <v>1</v>
      </c>
      <c r="AS56" s="10" t="n">
        <f aca="false">MAX(F56,N56,V56,AD56)</f>
        <v>3</v>
      </c>
      <c r="AT56" s="7" t="str">
        <f aca="false">IF(AND(AP56=3,AQ56*AR56&gt;=6),"A",IF(AND(AP56=3,AQ56*AR56&gt;=3),"B",IF(AND(AP56=3,AQ56*AR56&gt;=1),"C","")))</f>
        <v>C</v>
      </c>
      <c r="AU56" s="4" t="str">
        <f aca="false">"Scenario-level Threat=1; Step1="&amp;H56&amp;" Step2="&amp;P56&amp;" Step3="&amp;X56&amp;" Step4="&amp;AF56&amp;" ; Overall Threat fixed=1, Max Mitigation="&amp;AS56&amp;" =&gt; Overall="&amp;AT56</f>
        <v>Scenario-level Threat=1; Step1=C Step2=C Step3=C Step4=C ; Overall Threat fixed=1, Max Mitigation=3 =&gt; Overall=C</v>
      </c>
      <c r="AV56" s="11"/>
      <c r="AW56" s="11"/>
      <c r="AX56" s="11"/>
    </row>
    <row r="57" customFormat="false" ht="18" hidden="true" customHeight="false" outlineLevel="0" collapsed="false">
      <c r="A57" s="4" t="str">
        <f aca="false">SPRV_Source_For_Formulas!D222</f>
        <v>T1189</v>
      </c>
      <c r="B57" s="5" t="s">
        <v>12</v>
      </c>
      <c r="C57" s="6"/>
      <c r="D57" s="8" t="n">
        <v>3</v>
      </c>
      <c r="E57" s="4" t="n">
        <v>1</v>
      </c>
      <c r="F57" s="4" t="n">
        <f aca="false">IF(SPRV_Source_For_Formulas!G222&lt;=0.2,3,IF(SPRV_Source_For_Formulas!G222&lt;=0.5,2,1))</f>
        <v>3</v>
      </c>
      <c r="G57" s="4" t="n">
        <f aca="false">4-F57</f>
        <v>1</v>
      </c>
      <c r="H57" s="7" t="str">
        <f aca="false">IF(AND(D57=3,E57*G57&gt;=6),"A",IF(AND(D57=3,E57*G57&gt;=3),"B",IF(AND(D57=3,E57*G57&gt;=1),"C","")))</f>
        <v>C</v>
      </c>
      <c r="I57" s="8" t="s">
        <v>13</v>
      </c>
      <c r="J57" s="4" t="str">
        <f aca="false">SPRV_Source_For_Formulas!D223</f>
        <v>T1578.004</v>
      </c>
      <c r="K57" s="5" t="s">
        <v>36</v>
      </c>
      <c r="L57" s="8" t="n">
        <v>3</v>
      </c>
      <c r="M57" s="4" t="n">
        <v>1</v>
      </c>
      <c r="N57" s="4" t="n">
        <f aca="false">IF(SPRV_Source_For_Formulas!G223&lt;=0.2,3,IF(SPRV_Source_For_Formulas!G223&lt;=0.5,2,1))</f>
        <v>2</v>
      </c>
      <c r="O57" s="4" t="n">
        <f aca="false">4-N57</f>
        <v>2</v>
      </c>
      <c r="P57" s="7" t="str">
        <f aca="false">IF(AND(L57=3,M57*O57&gt;=6),"A",IF(AND(L57=3,M57*O57&gt;=3),"B",IF(AND(L57=3,M57*O57&gt;=1),"C","")))</f>
        <v>C</v>
      </c>
      <c r="Q57" s="8" t="s">
        <v>37</v>
      </c>
      <c r="R57" s="4" t="str">
        <f aca="false">SPRV_Source_For_Formulas!D224</f>
        <v>T1555.006</v>
      </c>
      <c r="S57" s="8" t="s">
        <v>26</v>
      </c>
      <c r="T57" s="8" t="n">
        <v>3</v>
      </c>
      <c r="U57" s="4" t="n">
        <v>1</v>
      </c>
      <c r="V57" s="4" t="n">
        <f aca="false">IF(SPRV_Source_For_Formulas!G224&lt;=0.2,3,IF(SPRV_Source_For_Formulas!G224&lt;=0.5,2,1))</f>
        <v>3</v>
      </c>
      <c r="W57" s="4" t="n">
        <f aca="false">4-V57</f>
        <v>1</v>
      </c>
      <c r="X57" s="4" t="str">
        <f aca="false">IF(AND(T57=3,U57*W57&gt;=6),"A",IF(AND(T57=3,U57*W57&gt;=3),"B",IF(AND(T57=3,U57*W57&gt;=1),"C","")))</f>
        <v>C</v>
      </c>
      <c r="Y57" s="8" t="s">
        <v>27</v>
      </c>
      <c r="Z57" s="4" t="str">
        <f aca="false">SPRV_Source_For_Formulas!D225</f>
        <v>T1496.002</v>
      </c>
      <c r="AA57" s="5" t="s">
        <v>24</v>
      </c>
      <c r="AB57" s="8" t="n">
        <v>3</v>
      </c>
      <c r="AC57" s="4" t="n">
        <v>1</v>
      </c>
      <c r="AD57" s="4" t="n">
        <f aca="false">IF(SPRV_Source_For_Formulas!G225&lt;=0.2,3,IF(SPRV_Source_For_Formulas!G225&lt;=0.5,2,1))</f>
        <v>2</v>
      </c>
      <c r="AE57" s="4" t="n">
        <f aca="false">4-AD57</f>
        <v>2</v>
      </c>
      <c r="AF57" s="4" t="str">
        <f aca="false">IF(AND(AB57=3,AC57*AE57&gt;=6),"A",IF(AND(AB57=3,AC57*AE57&gt;=3),"B",IF(AND(AB57=3,AC57*AE57&gt;=1),"C","")))</f>
        <v>C</v>
      </c>
      <c r="AG57" s="8" t="s">
        <v>25</v>
      </c>
      <c r="AP57" s="7" t="n">
        <f aca="false">MAX(D57,L57,T57,AB57)</f>
        <v>3</v>
      </c>
      <c r="AQ57" s="7" t="n">
        <v>1</v>
      </c>
      <c r="AR57" s="7" t="n">
        <f aca="false">4-AS57</f>
        <v>1</v>
      </c>
      <c r="AS57" s="10" t="n">
        <f aca="false">MAX(F57,N57,V57,AD57)</f>
        <v>3</v>
      </c>
      <c r="AT57" s="7" t="str">
        <f aca="false">IF(AND(AP57=3,AQ57*AR57&gt;=6),"A",IF(AND(AP57=3,AQ57*AR57&gt;=3),"B",IF(AND(AP57=3,AQ57*AR57&gt;=1),"C","")))</f>
        <v>C</v>
      </c>
      <c r="AU57" s="4" t="str">
        <f aca="false">"Scenario-level Threat=1; Step1="&amp;H57&amp;" Step2="&amp;P57&amp;" Step3="&amp;X57&amp;" Step4="&amp;AF57&amp;" ; Overall Threat fixed=1, Max Mitigation="&amp;AS57&amp;" =&gt; Overall="&amp;AT57</f>
        <v>Scenario-level Threat=1; Step1=C Step2=C Step3=C Step4=C ; Overall Threat fixed=1, Max Mitigation=3 =&gt; Overall=C</v>
      </c>
      <c r="AV57" s="11"/>
      <c r="AW57" s="11"/>
      <c r="AX57" s="11"/>
    </row>
    <row r="58" customFormat="false" ht="19.5" hidden="true" customHeight="true" outlineLevel="0" collapsed="false">
      <c r="A58" s="4" t="str">
        <f aca="false">SPRV_Source_For_Formulas!D226</f>
        <v>T1189</v>
      </c>
      <c r="B58" s="5" t="s">
        <v>12</v>
      </c>
      <c r="C58" s="6"/>
      <c r="D58" s="8" t="n">
        <v>3</v>
      </c>
      <c r="E58" s="4" t="n">
        <v>1</v>
      </c>
      <c r="F58" s="4" t="n">
        <f aca="false">IF(SPRV_Source_For_Formulas!G226&lt;=0.2,3,IF(SPRV_Source_For_Formulas!G226&lt;=0.5,2,1))</f>
        <v>3</v>
      </c>
      <c r="G58" s="4" t="n">
        <f aca="false">4-F58</f>
        <v>1</v>
      </c>
      <c r="H58" s="7" t="str">
        <f aca="false">IF(AND(D58=3,E58*G58&gt;=6),"A",IF(AND(D58=3,E58*G58&gt;=3),"B",IF(AND(D58=3,E58*G58&gt;=1),"C","")))</f>
        <v>C</v>
      </c>
      <c r="I58" s="8" t="s">
        <v>13</v>
      </c>
      <c r="J58" s="4" t="str">
        <f aca="false">SPRV_Source_For_Formulas!D227</f>
        <v>T1578.004</v>
      </c>
      <c r="K58" s="5" t="s">
        <v>36</v>
      </c>
      <c r="L58" s="8" t="n">
        <v>3</v>
      </c>
      <c r="M58" s="4" t="n">
        <v>1</v>
      </c>
      <c r="N58" s="4" t="n">
        <f aca="false">IF(SPRV_Source_For_Formulas!G227&lt;=0.2,3,IF(SPRV_Source_For_Formulas!G227&lt;=0.5,2,1))</f>
        <v>2</v>
      </c>
      <c r="O58" s="4" t="n">
        <f aca="false">4-N58</f>
        <v>2</v>
      </c>
      <c r="P58" s="7" t="str">
        <f aca="false">IF(AND(L58=3,M58*O58&gt;=6),"A",IF(AND(L58=3,M58*O58&gt;=3),"B",IF(AND(L58=3,M58*O58&gt;=1),"C","")))</f>
        <v>C</v>
      </c>
      <c r="Q58" s="8" t="s">
        <v>37</v>
      </c>
      <c r="R58" s="4" t="str">
        <f aca="false">SPRV_Source_For_Formulas!D228</f>
        <v>T1059.009</v>
      </c>
      <c r="S58" s="8" t="s">
        <v>28</v>
      </c>
      <c r="T58" s="8" t="n">
        <v>3</v>
      </c>
      <c r="U58" s="4" t="n">
        <v>1</v>
      </c>
      <c r="V58" s="4" t="n">
        <f aca="false">IF(SPRV_Source_For_Formulas!G228&lt;=0.2,3,IF(SPRV_Source_For_Formulas!G228&lt;=0.5,2,1))</f>
        <v>3</v>
      </c>
      <c r="W58" s="4" t="n">
        <f aca="false">4-V58</f>
        <v>1</v>
      </c>
      <c r="X58" s="4" t="str">
        <f aca="false">IF(AND(T58=3,U58*W58&gt;=6),"A",IF(AND(T58=3,U58*W58&gt;=3),"B",IF(AND(T58=3,U58*W58&gt;=1),"C","")))</f>
        <v>C</v>
      </c>
      <c r="Y58" s="8" t="s">
        <v>29</v>
      </c>
      <c r="Z58" s="4" t="str">
        <f aca="false">SPRV_Source_For_Formulas!D229</f>
        <v>T1486</v>
      </c>
      <c r="AA58" s="5" t="s">
        <v>18</v>
      </c>
      <c r="AB58" s="8" t="n">
        <v>3</v>
      </c>
      <c r="AC58" s="4" t="n">
        <v>1</v>
      </c>
      <c r="AD58" s="4" t="n">
        <f aca="false">IF(SPRV_Source_For_Formulas!G229&lt;=0.2,3,IF(SPRV_Source_For_Formulas!G229&lt;=0.5,2,1))</f>
        <v>3</v>
      </c>
      <c r="AE58" s="4" t="n">
        <f aca="false">4-AD58</f>
        <v>1</v>
      </c>
      <c r="AF58" s="4" t="str">
        <f aca="false">IF(AND(AB58=3,AC58*AE58&gt;=6),"A",IF(AND(AB58=3,AC58*AE58&gt;=3),"B",IF(AND(AB58=3,AC58*AE58&gt;=1),"C","")))</f>
        <v>C</v>
      </c>
      <c r="AG58" s="9" t="s">
        <v>19</v>
      </c>
      <c r="AP58" s="7" t="n">
        <f aca="false">MAX(D58,L58,T58,AB58)</f>
        <v>3</v>
      </c>
      <c r="AQ58" s="7" t="n">
        <v>1</v>
      </c>
      <c r="AR58" s="7" t="n">
        <f aca="false">4-AS58</f>
        <v>1</v>
      </c>
      <c r="AS58" s="10" t="n">
        <f aca="false">MAX(F58,N58,V58,AD58)</f>
        <v>3</v>
      </c>
      <c r="AT58" s="7" t="str">
        <f aca="false">IF(AND(AP58=3,AQ58*AR58&gt;=6),"A",IF(AND(AP58=3,AQ58*AR58&gt;=3),"B",IF(AND(AP58=3,AQ58*AR58&gt;=1),"C","")))</f>
        <v>C</v>
      </c>
      <c r="AU58" s="4" t="str">
        <f aca="false">"Scenario-level Threat=1; Step1="&amp;H58&amp;" Step2="&amp;P58&amp;" Step3="&amp;X58&amp;" Step4="&amp;AF58&amp;" ; Overall Threat fixed=1, Max Mitigation="&amp;AS58&amp;" =&gt; Overall="&amp;AT58</f>
        <v>Scenario-level Threat=1; Step1=C Step2=C Step3=C Step4=C ; Overall Threat fixed=1, Max Mitigation=3 =&gt; Overall=C</v>
      </c>
      <c r="AV58" s="11"/>
      <c r="AW58" s="11"/>
      <c r="AX58" s="11"/>
    </row>
    <row r="59" customFormat="false" ht="19.5" hidden="false" customHeight="true" outlineLevel="0" collapsed="false">
      <c r="A59" s="4" t="str">
        <f aca="false">SPRV_Source_For_Formulas!D230</f>
        <v>T1189</v>
      </c>
      <c r="B59" s="5" t="s">
        <v>12</v>
      </c>
      <c r="C59" s="6"/>
      <c r="D59" s="8" t="n">
        <v>3</v>
      </c>
      <c r="E59" s="4" t="n">
        <v>1</v>
      </c>
      <c r="F59" s="4" t="n">
        <f aca="false">IF(SPRV_Source_For_Formulas!G230&lt;=0.2,3,IF(SPRV_Source_For_Formulas!G230&lt;=0.5,2,1))</f>
        <v>3</v>
      </c>
      <c r="G59" s="4" t="n">
        <f aca="false">4-F59</f>
        <v>1</v>
      </c>
      <c r="H59" s="7" t="str">
        <f aca="false">IF(AND(D59=3,E59*G59&gt;=6),"A",IF(AND(D59=3,E59*G59&gt;=3),"B",IF(AND(D59=3,E59*G59&gt;=1),"C","")))</f>
        <v>C</v>
      </c>
      <c r="I59" s="8" t="s">
        <v>13</v>
      </c>
      <c r="J59" s="4" t="str">
        <f aca="false">SPRV_Source_For_Formulas!D231</f>
        <v>T1578.004</v>
      </c>
      <c r="K59" s="5" t="s">
        <v>36</v>
      </c>
      <c r="L59" s="8" t="n">
        <v>3</v>
      </c>
      <c r="M59" s="4" t="n">
        <v>1</v>
      </c>
      <c r="N59" s="4" t="n">
        <f aca="false">IF(SPRV_Source_For_Formulas!G231&lt;=0.2,3,IF(SPRV_Source_For_Formulas!G231&lt;=0.5,2,1))</f>
        <v>2</v>
      </c>
      <c r="O59" s="4" t="n">
        <f aca="false">4-N59</f>
        <v>2</v>
      </c>
      <c r="P59" s="7" t="str">
        <f aca="false">IF(AND(L59=3,M59*O59&gt;=6),"A",IF(AND(L59=3,M59*O59&gt;=3),"B",IF(AND(L59=3,M59*O59&gt;=1),"C","")))</f>
        <v>C</v>
      </c>
      <c r="Q59" s="8" t="s">
        <v>37</v>
      </c>
      <c r="R59" s="4" t="str">
        <f aca="false">SPRV_Source_For_Formulas!D232</f>
        <v>T1059.009</v>
      </c>
      <c r="S59" s="8" t="s">
        <v>28</v>
      </c>
      <c r="T59" s="8" t="n">
        <v>3</v>
      </c>
      <c r="U59" s="4" t="n">
        <v>1</v>
      </c>
      <c r="V59" s="4" t="n">
        <f aca="false">IF(SPRV_Source_For_Formulas!G232&lt;=0.2,3,IF(SPRV_Source_For_Formulas!G232&lt;=0.5,2,1))</f>
        <v>3</v>
      </c>
      <c r="W59" s="4" t="n">
        <f aca="false">4-V59</f>
        <v>1</v>
      </c>
      <c r="X59" s="4" t="str">
        <f aca="false">IF(AND(T59=3,U59*W59&gt;=6),"A",IF(AND(T59=3,U59*W59&gt;=3),"B",IF(AND(T59=3,U59*W59&gt;=1),"C","")))</f>
        <v>C</v>
      </c>
      <c r="Y59" s="8" t="s">
        <v>29</v>
      </c>
      <c r="Z59" s="4" t="str">
        <f aca="false">SPRV_Source_For_Formulas!D233</f>
        <v>T1496.001</v>
      </c>
      <c r="AA59" s="5" t="s">
        <v>20</v>
      </c>
      <c r="AB59" s="8" t="n">
        <v>3</v>
      </c>
      <c r="AC59" s="4" t="n">
        <v>1</v>
      </c>
      <c r="AD59" s="4" t="n">
        <f aca="false">IF(SPRV_Source_For_Formulas!G233&lt;=0.2,3,IF(SPRV_Source_For_Formulas!G233&lt;=0.5,2,1))</f>
        <v>2</v>
      </c>
      <c r="AE59" s="4" t="n">
        <f aca="false">4-AD59</f>
        <v>2</v>
      </c>
      <c r="AF59" s="4" t="str">
        <f aca="false">IF(AND(AB59=3,AC59*AE59&gt;=6),"A",IF(AND(AB59=3,AC59*AE59&gt;=3),"B",IF(AND(AB59=3,AC59*AE59&gt;=1),"C","")))</f>
        <v>C</v>
      </c>
      <c r="AG59" s="12" t="s">
        <v>21</v>
      </c>
      <c r="AP59" s="7" t="n">
        <f aca="false">MAX(D59,L59,T59,AB59)</f>
        <v>3</v>
      </c>
      <c r="AQ59" s="7" t="n">
        <v>1</v>
      </c>
      <c r="AR59" s="7" t="n">
        <f aca="false">4-AS59</f>
        <v>1</v>
      </c>
      <c r="AS59" s="10" t="n">
        <f aca="false">MAX(F59,N59,V59,AD59)</f>
        <v>3</v>
      </c>
      <c r="AT59" s="7" t="str">
        <f aca="false">IF(AND(AP59=3,AQ59*AR59&gt;=6),"A",IF(AND(AP59=3,AQ59*AR59&gt;=3),"B",IF(AND(AP59=3,AQ59*AR59&gt;=1),"C","")))</f>
        <v>C</v>
      </c>
      <c r="AU59" s="4" t="str">
        <f aca="false">"Scenario-level Threat=1; Step1="&amp;H59&amp;" Step2="&amp;P59&amp;" Step3="&amp;X59&amp;" Step4="&amp;AF59&amp;" ; Overall Threat fixed=1, Max Mitigation="&amp;AS59&amp;" =&gt; Overall="&amp;AT59</f>
        <v>Scenario-level Threat=1; Step1=C Step2=C Step3=C Step4=C ; Overall Threat fixed=1, Max Mitigation=3 =&gt; Overall=C</v>
      </c>
      <c r="AV59" s="11"/>
      <c r="AW59" s="11"/>
      <c r="AX59" s="11"/>
    </row>
    <row r="60" customFormat="false" ht="18" hidden="true" customHeight="false" outlineLevel="0" collapsed="false">
      <c r="A60" s="4" t="str">
        <f aca="false">SPRV_Source_For_Formulas!D234</f>
        <v>T1189</v>
      </c>
      <c r="B60" s="5" t="s">
        <v>12</v>
      </c>
      <c r="C60" s="6"/>
      <c r="D60" s="8" t="n">
        <v>3</v>
      </c>
      <c r="E60" s="4" t="n">
        <v>1</v>
      </c>
      <c r="F60" s="4" t="n">
        <f aca="false">IF(SPRV_Source_For_Formulas!G234&lt;=0.2,3,IF(SPRV_Source_For_Formulas!G234&lt;=0.5,2,1))</f>
        <v>3</v>
      </c>
      <c r="G60" s="4" t="n">
        <f aca="false">4-F60</f>
        <v>1</v>
      </c>
      <c r="H60" s="7" t="str">
        <f aca="false">IF(AND(D60=3,E60*G60&gt;=6),"A",IF(AND(D60=3,E60*G60&gt;=3),"B",IF(AND(D60=3,E60*G60&gt;=1),"C","")))</f>
        <v>C</v>
      </c>
      <c r="I60" s="8" t="s">
        <v>13</v>
      </c>
      <c r="J60" s="4" t="str">
        <f aca="false">SPRV_Source_For_Formulas!D235</f>
        <v>T1578.004</v>
      </c>
      <c r="K60" s="5" t="s">
        <v>36</v>
      </c>
      <c r="L60" s="8" t="n">
        <v>3</v>
      </c>
      <c r="M60" s="4" t="n">
        <v>1</v>
      </c>
      <c r="N60" s="4" t="n">
        <f aca="false">IF(SPRV_Source_For_Formulas!G235&lt;=0.2,3,IF(SPRV_Source_For_Formulas!G235&lt;=0.5,2,1))</f>
        <v>2</v>
      </c>
      <c r="O60" s="4" t="n">
        <f aca="false">4-N60</f>
        <v>2</v>
      </c>
      <c r="P60" s="7" t="str">
        <f aca="false">IF(AND(L60=3,M60*O60&gt;=6),"A",IF(AND(L60=3,M60*O60&gt;=3),"B",IF(AND(L60=3,M60*O60&gt;=1),"C","")))</f>
        <v>C</v>
      </c>
      <c r="Q60" s="8" t="s">
        <v>37</v>
      </c>
      <c r="R60" s="4" t="str">
        <f aca="false">SPRV_Source_For_Formulas!D236</f>
        <v>T1059.009</v>
      </c>
      <c r="S60" s="8" t="s">
        <v>28</v>
      </c>
      <c r="T60" s="8" t="n">
        <v>3</v>
      </c>
      <c r="U60" s="4" t="n">
        <v>1</v>
      </c>
      <c r="V60" s="4" t="n">
        <f aca="false">IF(SPRV_Source_For_Formulas!G236&lt;=0.2,3,IF(SPRV_Source_For_Formulas!G236&lt;=0.5,2,1))</f>
        <v>3</v>
      </c>
      <c r="W60" s="4" t="n">
        <f aca="false">4-V60</f>
        <v>1</v>
      </c>
      <c r="X60" s="4" t="str">
        <f aca="false">IF(AND(T60=3,U60*W60&gt;=6),"A",IF(AND(T60=3,U60*W60&gt;=3),"B",IF(AND(T60=3,U60*W60&gt;=1),"C","")))</f>
        <v>C</v>
      </c>
      <c r="Y60" s="8" t="s">
        <v>29</v>
      </c>
      <c r="Z60" s="4" t="str">
        <f aca="false">SPRV_Source_For_Formulas!D237</f>
        <v>T1496.004</v>
      </c>
      <c r="AA60" s="5" t="s">
        <v>22</v>
      </c>
      <c r="AB60" s="8" t="n">
        <v>3</v>
      </c>
      <c r="AC60" s="4" t="n">
        <v>1</v>
      </c>
      <c r="AD60" s="4" t="n">
        <f aca="false">IF(SPRV_Source_For_Formulas!G237&lt;=0.2,3,IF(SPRV_Source_For_Formulas!G237&lt;=0.5,2,1))</f>
        <v>2</v>
      </c>
      <c r="AE60" s="4" t="n">
        <f aca="false">4-AD60</f>
        <v>2</v>
      </c>
      <c r="AF60" s="4" t="str">
        <f aca="false">IF(AND(AB60=3,AC60*AE60&gt;=6),"A",IF(AND(AB60=3,AC60*AE60&gt;=3),"B",IF(AND(AB60=3,AC60*AE60&gt;=1),"C","")))</f>
        <v>C</v>
      </c>
      <c r="AG60" s="8" t="s">
        <v>23</v>
      </c>
      <c r="AP60" s="7" t="n">
        <f aca="false">MAX(D60,L60,T60,AB60)</f>
        <v>3</v>
      </c>
      <c r="AQ60" s="7" t="n">
        <v>1</v>
      </c>
      <c r="AR60" s="7" t="n">
        <f aca="false">4-AS60</f>
        <v>1</v>
      </c>
      <c r="AS60" s="10" t="n">
        <f aca="false">MAX(F60,N60,V60,AD60)</f>
        <v>3</v>
      </c>
      <c r="AT60" s="7" t="str">
        <f aca="false">IF(AND(AP60=3,AQ60*AR60&gt;=6),"A",IF(AND(AP60=3,AQ60*AR60&gt;=3),"B",IF(AND(AP60=3,AQ60*AR60&gt;=1),"C","")))</f>
        <v>C</v>
      </c>
      <c r="AU60" s="4" t="str">
        <f aca="false">"Scenario-level Threat=1; Step1="&amp;H60&amp;" Step2="&amp;P60&amp;" Step3="&amp;X60&amp;" Step4="&amp;AF60&amp;" ; Overall Threat fixed=1, Max Mitigation="&amp;AS60&amp;" =&gt; Overall="&amp;AT60</f>
        <v>Scenario-level Threat=1; Step1=C Step2=C Step3=C Step4=C ; Overall Threat fixed=1, Max Mitigation=3 =&gt; Overall=C</v>
      </c>
      <c r="AV60" s="11"/>
      <c r="AW60" s="11"/>
      <c r="AX60" s="11"/>
    </row>
    <row r="61" customFormat="false" ht="18" hidden="true" customHeight="false" outlineLevel="0" collapsed="false">
      <c r="A61" s="4" t="str">
        <f aca="false">SPRV_Source_For_Formulas!D238</f>
        <v>T1189</v>
      </c>
      <c r="B61" s="5" t="s">
        <v>12</v>
      </c>
      <c r="C61" s="6"/>
      <c r="D61" s="8" t="n">
        <v>3</v>
      </c>
      <c r="E61" s="4" t="n">
        <v>1</v>
      </c>
      <c r="F61" s="4" t="n">
        <f aca="false">IF(SPRV_Source_For_Formulas!G238&lt;=0.2,3,IF(SPRV_Source_For_Formulas!G238&lt;=0.5,2,1))</f>
        <v>3</v>
      </c>
      <c r="G61" s="4" t="n">
        <f aca="false">4-F61</f>
        <v>1</v>
      </c>
      <c r="H61" s="7" t="str">
        <f aca="false">IF(AND(D61=3,E61*G61&gt;=6),"A",IF(AND(D61=3,E61*G61&gt;=3),"B",IF(AND(D61=3,E61*G61&gt;=1),"C","")))</f>
        <v>C</v>
      </c>
      <c r="I61" s="8" t="s">
        <v>13</v>
      </c>
      <c r="J61" s="4" t="str">
        <f aca="false">SPRV_Source_For_Formulas!D239</f>
        <v>T1578.004</v>
      </c>
      <c r="K61" s="5" t="s">
        <v>36</v>
      </c>
      <c r="L61" s="8" t="n">
        <v>3</v>
      </c>
      <c r="M61" s="4" t="n">
        <v>1</v>
      </c>
      <c r="N61" s="4" t="n">
        <f aca="false">IF(SPRV_Source_For_Formulas!G239&lt;=0.2,3,IF(SPRV_Source_For_Formulas!G239&lt;=0.5,2,1))</f>
        <v>2</v>
      </c>
      <c r="O61" s="4" t="n">
        <f aca="false">4-N61</f>
        <v>2</v>
      </c>
      <c r="P61" s="7" t="str">
        <f aca="false">IF(AND(L61=3,M61*O61&gt;=6),"A",IF(AND(L61=3,M61*O61&gt;=3),"B",IF(AND(L61=3,M61*O61&gt;=1),"C","")))</f>
        <v>C</v>
      </c>
      <c r="Q61" s="8" t="s">
        <v>37</v>
      </c>
      <c r="R61" s="4" t="str">
        <f aca="false">SPRV_Source_For_Formulas!D240</f>
        <v>T1059.009</v>
      </c>
      <c r="S61" s="8" t="s">
        <v>28</v>
      </c>
      <c r="T61" s="8" t="n">
        <v>3</v>
      </c>
      <c r="U61" s="4" t="n">
        <v>1</v>
      </c>
      <c r="V61" s="4" t="n">
        <f aca="false">IF(SPRV_Source_For_Formulas!G240&lt;=0.2,3,IF(SPRV_Source_For_Formulas!G240&lt;=0.5,2,1))</f>
        <v>3</v>
      </c>
      <c r="W61" s="4" t="n">
        <f aca="false">4-V61</f>
        <v>1</v>
      </c>
      <c r="X61" s="4" t="str">
        <f aca="false">IF(AND(T61=3,U61*W61&gt;=6),"A",IF(AND(T61=3,U61*W61&gt;=3),"B",IF(AND(T61=3,U61*W61&gt;=1),"C","")))</f>
        <v>C</v>
      </c>
      <c r="Y61" s="8" t="s">
        <v>29</v>
      </c>
      <c r="Z61" s="4" t="str">
        <f aca="false">SPRV_Source_For_Formulas!D241</f>
        <v>T1496.002</v>
      </c>
      <c r="AA61" s="5" t="s">
        <v>24</v>
      </c>
      <c r="AB61" s="8" t="n">
        <v>3</v>
      </c>
      <c r="AC61" s="4" t="n">
        <v>1</v>
      </c>
      <c r="AD61" s="4" t="n">
        <f aca="false">IF(SPRV_Source_For_Formulas!G241&lt;=0.2,3,IF(SPRV_Source_For_Formulas!G241&lt;=0.5,2,1))</f>
        <v>2</v>
      </c>
      <c r="AE61" s="4" t="n">
        <f aca="false">4-AD61</f>
        <v>2</v>
      </c>
      <c r="AF61" s="4" t="str">
        <f aca="false">IF(AND(AB61=3,AC61*AE61&gt;=6),"A",IF(AND(AB61=3,AC61*AE61&gt;=3),"B",IF(AND(AB61=3,AC61*AE61&gt;=1),"C","")))</f>
        <v>C</v>
      </c>
      <c r="AG61" s="8" t="s">
        <v>25</v>
      </c>
      <c r="AP61" s="7" t="n">
        <f aca="false">MAX(D61,L61,T61,AB61)</f>
        <v>3</v>
      </c>
      <c r="AQ61" s="7" t="n">
        <v>1</v>
      </c>
      <c r="AR61" s="7" t="n">
        <f aca="false">4-AS61</f>
        <v>1</v>
      </c>
      <c r="AS61" s="10" t="n">
        <f aca="false">MAX(F61,N61,V61,AD61)</f>
        <v>3</v>
      </c>
      <c r="AT61" s="7" t="str">
        <f aca="false">IF(AND(AP61=3,AQ61*AR61&gt;=6),"A",IF(AND(AP61=3,AQ61*AR61&gt;=3),"B",IF(AND(AP61=3,AQ61*AR61&gt;=1),"C","")))</f>
        <v>C</v>
      </c>
      <c r="AU61" s="4" t="str">
        <f aca="false">"Scenario-level Threat=1; Step1="&amp;H61&amp;" Step2="&amp;P61&amp;" Step3="&amp;X61&amp;" Step4="&amp;AF61&amp;" ; Overall Threat fixed=1, Max Mitigation="&amp;AS61&amp;" =&gt; Overall="&amp;AT61</f>
        <v>Scenario-level Threat=1; Step1=C Step2=C Step3=C Step4=C ; Overall Threat fixed=1, Max Mitigation=3 =&gt; Overall=C</v>
      </c>
      <c r="AV61" s="11"/>
      <c r="AW61" s="11"/>
      <c r="AX61" s="11"/>
    </row>
    <row r="62" customFormat="false" ht="19.5" hidden="true" customHeight="true" outlineLevel="0" collapsed="false">
      <c r="A62" s="4" t="str">
        <f aca="false">SPRV_Source_For_Formulas!D242</f>
        <v>T1189</v>
      </c>
      <c r="B62" s="5" t="s">
        <v>12</v>
      </c>
      <c r="C62" s="6"/>
      <c r="D62" s="8" t="n">
        <v>3</v>
      </c>
      <c r="E62" s="4" t="n">
        <v>1</v>
      </c>
      <c r="F62" s="4" t="n">
        <f aca="false">IF(SPRV_Source_For_Formulas!G242&lt;=0.2,3,IF(SPRV_Source_For_Formulas!G242&lt;=0.5,2,1))</f>
        <v>3</v>
      </c>
      <c r="G62" s="4" t="n">
        <f aca="false">4-F62</f>
        <v>1</v>
      </c>
      <c r="H62" s="7" t="str">
        <f aca="false">IF(AND(D62=3,E62*G62&gt;=6),"A",IF(AND(D62=3,E62*G62&gt;=3),"B",IF(AND(D62=3,E62*G62&gt;=1),"C","")))</f>
        <v>C</v>
      </c>
      <c r="I62" s="8" t="s">
        <v>13</v>
      </c>
      <c r="J62" s="4" t="str">
        <f aca="false">SPRV_Source_For_Formulas!D243</f>
        <v>T1578.004</v>
      </c>
      <c r="K62" s="5" t="s">
        <v>36</v>
      </c>
      <c r="L62" s="8" t="n">
        <v>3</v>
      </c>
      <c r="M62" s="4" t="n">
        <v>1</v>
      </c>
      <c r="N62" s="4" t="n">
        <f aca="false">IF(SPRV_Source_For_Formulas!G243&lt;=0.2,3,IF(SPRV_Source_For_Formulas!G243&lt;=0.5,2,1))</f>
        <v>2</v>
      </c>
      <c r="O62" s="4" t="n">
        <f aca="false">4-N62</f>
        <v>2</v>
      </c>
      <c r="P62" s="7" t="str">
        <f aca="false">IF(AND(L62=3,M62*O62&gt;=6),"A",IF(AND(L62=3,M62*O62&gt;=3),"B",IF(AND(L62=3,M62*O62&gt;=1),"C","")))</f>
        <v>C</v>
      </c>
      <c r="Q62" s="8" t="s">
        <v>37</v>
      </c>
      <c r="R62" s="4" t="str">
        <f aca="false">SPRV_Source_For_Formulas!D244</f>
        <v>T1484.002</v>
      </c>
      <c r="S62" s="8" t="s">
        <v>30</v>
      </c>
      <c r="T62" s="8" t="n">
        <v>3</v>
      </c>
      <c r="U62" s="4" t="n">
        <v>1</v>
      </c>
      <c r="V62" s="4" t="n">
        <f aca="false">IF(SPRV_Source_For_Formulas!G244&lt;=0.2,3,IF(SPRV_Source_For_Formulas!G244&lt;=0.5,2,1))</f>
        <v>3</v>
      </c>
      <c r="W62" s="4" t="n">
        <f aca="false">4-V62</f>
        <v>1</v>
      </c>
      <c r="X62" s="4" t="str">
        <f aca="false">IF(AND(T62=3,U62*W62&gt;=6),"A",IF(AND(T62=3,U62*W62&gt;=3),"B",IF(AND(T62=3,U62*W62&gt;=1),"C","")))</f>
        <v>C</v>
      </c>
      <c r="Y62" s="8" t="s">
        <v>31</v>
      </c>
      <c r="Z62" s="4" t="str">
        <f aca="false">SPRV_Source_For_Formulas!D245</f>
        <v>T1486</v>
      </c>
      <c r="AA62" s="5" t="s">
        <v>18</v>
      </c>
      <c r="AB62" s="8" t="n">
        <v>3</v>
      </c>
      <c r="AC62" s="4" t="n">
        <v>1</v>
      </c>
      <c r="AD62" s="4" t="n">
        <f aca="false">IF(SPRV_Source_For_Formulas!G245&lt;=0.2,3,IF(SPRV_Source_For_Formulas!G245&lt;=0.5,2,1))</f>
        <v>3</v>
      </c>
      <c r="AE62" s="4" t="n">
        <f aca="false">4-AD62</f>
        <v>1</v>
      </c>
      <c r="AF62" s="4" t="str">
        <f aca="false">IF(AND(AB62=3,AC62*AE62&gt;=6),"A",IF(AND(AB62=3,AC62*AE62&gt;=3),"B",IF(AND(AB62=3,AC62*AE62&gt;=1),"C","")))</f>
        <v>C</v>
      </c>
      <c r="AG62" s="9" t="s">
        <v>19</v>
      </c>
      <c r="AP62" s="7" t="n">
        <f aca="false">MAX(D62,L62,T62,AB62)</f>
        <v>3</v>
      </c>
      <c r="AQ62" s="7" t="n">
        <v>1</v>
      </c>
      <c r="AR62" s="7" t="n">
        <f aca="false">4-AS62</f>
        <v>1</v>
      </c>
      <c r="AS62" s="10" t="n">
        <f aca="false">MAX(F62,N62,V62,AD62)</f>
        <v>3</v>
      </c>
      <c r="AT62" s="7" t="str">
        <f aca="false">IF(AND(AP62=3,AQ62*AR62&gt;=6),"A",IF(AND(AP62=3,AQ62*AR62&gt;=3),"B",IF(AND(AP62=3,AQ62*AR62&gt;=1),"C","")))</f>
        <v>C</v>
      </c>
      <c r="AU62" s="4" t="str">
        <f aca="false">"Scenario-level Threat=1; Step1="&amp;H62&amp;" Step2="&amp;P62&amp;" Step3="&amp;X62&amp;" Step4="&amp;AF62&amp;" ; Overall Threat fixed=1, Max Mitigation="&amp;AS62&amp;" =&gt; Overall="&amp;AT62</f>
        <v>Scenario-level Threat=1; Step1=C Step2=C Step3=C Step4=C ; Overall Threat fixed=1, Max Mitigation=3 =&gt; Overall=C</v>
      </c>
      <c r="AV62" s="11"/>
      <c r="AW62" s="11"/>
      <c r="AX62" s="11"/>
    </row>
    <row r="63" customFormat="false" ht="19.5" hidden="false" customHeight="true" outlineLevel="0" collapsed="false">
      <c r="A63" s="4" t="str">
        <f aca="false">SPRV_Source_For_Formulas!D246</f>
        <v>T1189</v>
      </c>
      <c r="B63" s="5" t="s">
        <v>12</v>
      </c>
      <c r="C63" s="6"/>
      <c r="D63" s="8" t="n">
        <v>3</v>
      </c>
      <c r="E63" s="4" t="n">
        <v>1</v>
      </c>
      <c r="F63" s="4" t="n">
        <f aca="false">IF(SPRV_Source_For_Formulas!G246&lt;=0.2,3,IF(SPRV_Source_For_Formulas!G246&lt;=0.5,2,1))</f>
        <v>3</v>
      </c>
      <c r="G63" s="4" t="n">
        <f aca="false">4-F63</f>
        <v>1</v>
      </c>
      <c r="H63" s="7" t="str">
        <f aca="false">IF(AND(D63=3,E63*G63&gt;=6),"A",IF(AND(D63=3,E63*G63&gt;=3),"B",IF(AND(D63=3,E63*G63&gt;=1),"C","")))</f>
        <v>C</v>
      </c>
      <c r="I63" s="8" t="s">
        <v>13</v>
      </c>
      <c r="J63" s="4" t="str">
        <f aca="false">SPRV_Source_For_Formulas!D247</f>
        <v>T1578.004</v>
      </c>
      <c r="K63" s="5" t="s">
        <v>36</v>
      </c>
      <c r="L63" s="8" t="n">
        <v>3</v>
      </c>
      <c r="M63" s="4" t="n">
        <v>1</v>
      </c>
      <c r="N63" s="4" t="n">
        <f aca="false">IF(SPRV_Source_For_Formulas!G247&lt;=0.2,3,IF(SPRV_Source_For_Formulas!G247&lt;=0.5,2,1))</f>
        <v>2</v>
      </c>
      <c r="O63" s="4" t="n">
        <f aca="false">4-N63</f>
        <v>2</v>
      </c>
      <c r="P63" s="7" t="str">
        <f aca="false">IF(AND(L63=3,M63*O63&gt;=6),"A",IF(AND(L63=3,M63*O63&gt;=3),"B",IF(AND(L63=3,M63*O63&gt;=1),"C","")))</f>
        <v>C</v>
      </c>
      <c r="Q63" s="8" t="s">
        <v>37</v>
      </c>
      <c r="R63" s="4" t="str">
        <f aca="false">SPRV_Source_For_Formulas!D248</f>
        <v>T1484.002</v>
      </c>
      <c r="S63" s="8" t="s">
        <v>30</v>
      </c>
      <c r="T63" s="8" t="n">
        <v>3</v>
      </c>
      <c r="U63" s="4" t="n">
        <v>1</v>
      </c>
      <c r="V63" s="4" t="n">
        <f aca="false">IF(SPRV_Source_For_Formulas!G248&lt;=0.2,3,IF(SPRV_Source_For_Formulas!G248&lt;=0.5,2,1))</f>
        <v>3</v>
      </c>
      <c r="W63" s="4" t="n">
        <f aca="false">4-V63</f>
        <v>1</v>
      </c>
      <c r="X63" s="4" t="str">
        <f aca="false">IF(AND(T63=3,U63*W63&gt;=6),"A",IF(AND(T63=3,U63*W63&gt;=3),"B",IF(AND(T63=3,U63*W63&gt;=1),"C","")))</f>
        <v>C</v>
      </c>
      <c r="Y63" s="8" t="s">
        <v>31</v>
      </c>
      <c r="Z63" s="4" t="str">
        <f aca="false">SPRV_Source_For_Formulas!D249</f>
        <v>T1496.001</v>
      </c>
      <c r="AA63" s="5" t="s">
        <v>20</v>
      </c>
      <c r="AB63" s="8" t="n">
        <v>3</v>
      </c>
      <c r="AC63" s="4" t="n">
        <v>1</v>
      </c>
      <c r="AD63" s="4" t="n">
        <f aca="false">IF(SPRV_Source_For_Formulas!G249&lt;=0.2,3,IF(SPRV_Source_For_Formulas!G249&lt;=0.5,2,1))</f>
        <v>2</v>
      </c>
      <c r="AE63" s="4" t="n">
        <f aca="false">4-AD63</f>
        <v>2</v>
      </c>
      <c r="AF63" s="4" t="str">
        <f aca="false">IF(AND(AB63=3,AC63*AE63&gt;=6),"A",IF(AND(AB63=3,AC63*AE63&gt;=3),"B",IF(AND(AB63=3,AC63*AE63&gt;=1),"C","")))</f>
        <v>C</v>
      </c>
      <c r="AG63" s="12" t="s">
        <v>21</v>
      </c>
      <c r="AP63" s="7" t="n">
        <f aca="false">MAX(D63,L63,T63,AB63)</f>
        <v>3</v>
      </c>
      <c r="AQ63" s="7" t="n">
        <v>1</v>
      </c>
      <c r="AR63" s="7" t="n">
        <f aca="false">4-AS63</f>
        <v>1</v>
      </c>
      <c r="AS63" s="10" t="n">
        <f aca="false">MAX(F63,N63,V63,AD63)</f>
        <v>3</v>
      </c>
      <c r="AT63" s="7" t="str">
        <f aca="false">IF(AND(AP63=3,AQ63*AR63&gt;=6),"A",IF(AND(AP63=3,AQ63*AR63&gt;=3),"B",IF(AND(AP63=3,AQ63*AR63&gt;=1),"C","")))</f>
        <v>C</v>
      </c>
      <c r="AU63" s="4" t="str">
        <f aca="false">"Scenario-level Threat=1; Step1="&amp;H63&amp;" Step2="&amp;P63&amp;" Step3="&amp;X63&amp;" Step4="&amp;AF63&amp;" ; Overall Threat fixed=1, Max Mitigation="&amp;AS63&amp;" =&gt; Overall="&amp;AT63</f>
        <v>Scenario-level Threat=1; Step1=C Step2=C Step3=C Step4=C ; Overall Threat fixed=1, Max Mitigation=3 =&gt; Overall=C</v>
      </c>
      <c r="AV63" s="11"/>
      <c r="AW63" s="11"/>
      <c r="AX63" s="11"/>
    </row>
    <row r="64" customFormat="false" ht="18" hidden="true" customHeight="false" outlineLevel="0" collapsed="false">
      <c r="A64" s="4" t="str">
        <f aca="false">SPRV_Source_For_Formulas!D250</f>
        <v>T1189</v>
      </c>
      <c r="B64" s="5" t="s">
        <v>12</v>
      </c>
      <c r="C64" s="6"/>
      <c r="D64" s="8" t="n">
        <v>3</v>
      </c>
      <c r="E64" s="4" t="n">
        <v>1</v>
      </c>
      <c r="F64" s="4" t="n">
        <f aca="false">IF(SPRV_Source_For_Formulas!G250&lt;=0.2,3,IF(SPRV_Source_For_Formulas!G250&lt;=0.5,2,1))</f>
        <v>3</v>
      </c>
      <c r="G64" s="4" t="n">
        <f aca="false">4-F64</f>
        <v>1</v>
      </c>
      <c r="H64" s="7" t="str">
        <f aca="false">IF(AND(D64=3,E64*G64&gt;=6),"A",IF(AND(D64=3,E64*G64&gt;=3),"B",IF(AND(D64=3,E64*G64&gt;=1),"C","")))</f>
        <v>C</v>
      </c>
      <c r="I64" s="8" t="s">
        <v>13</v>
      </c>
      <c r="J64" s="4" t="str">
        <f aca="false">SPRV_Source_For_Formulas!D251</f>
        <v>T1578.004</v>
      </c>
      <c r="K64" s="5" t="s">
        <v>36</v>
      </c>
      <c r="L64" s="8" t="n">
        <v>3</v>
      </c>
      <c r="M64" s="4" t="n">
        <v>1</v>
      </c>
      <c r="N64" s="4" t="n">
        <f aca="false">IF(SPRV_Source_For_Formulas!G251&lt;=0.2,3,IF(SPRV_Source_For_Formulas!G251&lt;=0.5,2,1))</f>
        <v>2</v>
      </c>
      <c r="O64" s="4" t="n">
        <f aca="false">4-N64</f>
        <v>2</v>
      </c>
      <c r="P64" s="7" t="str">
        <f aca="false">IF(AND(L64=3,M64*O64&gt;=6),"A",IF(AND(L64=3,M64*O64&gt;=3),"B",IF(AND(L64=3,M64*O64&gt;=1),"C","")))</f>
        <v>C</v>
      </c>
      <c r="Q64" s="8" t="s">
        <v>37</v>
      </c>
      <c r="R64" s="4" t="str">
        <f aca="false">SPRV_Source_For_Formulas!D252</f>
        <v>T1484.002</v>
      </c>
      <c r="S64" s="8" t="s">
        <v>30</v>
      </c>
      <c r="T64" s="8" t="n">
        <v>3</v>
      </c>
      <c r="U64" s="4" t="n">
        <v>1</v>
      </c>
      <c r="V64" s="4" t="n">
        <f aca="false">IF(SPRV_Source_For_Formulas!G252&lt;=0.2,3,IF(SPRV_Source_For_Formulas!G252&lt;=0.5,2,1))</f>
        <v>3</v>
      </c>
      <c r="W64" s="4" t="n">
        <f aca="false">4-V64</f>
        <v>1</v>
      </c>
      <c r="X64" s="4" t="str">
        <f aca="false">IF(AND(T64=3,U64*W64&gt;=6),"A",IF(AND(T64=3,U64*W64&gt;=3),"B",IF(AND(T64=3,U64*W64&gt;=1),"C","")))</f>
        <v>C</v>
      </c>
      <c r="Y64" s="8" t="s">
        <v>31</v>
      </c>
      <c r="Z64" s="4" t="str">
        <f aca="false">SPRV_Source_For_Formulas!D253</f>
        <v>T1496.004</v>
      </c>
      <c r="AA64" s="5" t="s">
        <v>22</v>
      </c>
      <c r="AB64" s="8" t="n">
        <v>3</v>
      </c>
      <c r="AC64" s="4" t="n">
        <v>1</v>
      </c>
      <c r="AD64" s="4" t="n">
        <f aca="false">IF(SPRV_Source_For_Formulas!G253&lt;=0.2,3,IF(SPRV_Source_For_Formulas!G253&lt;=0.5,2,1))</f>
        <v>2</v>
      </c>
      <c r="AE64" s="4" t="n">
        <f aca="false">4-AD64</f>
        <v>2</v>
      </c>
      <c r="AF64" s="4" t="str">
        <f aca="false">IF(AND(AB64=3,AC64*AE64&gt;=6),"A",IF(AND(AB64=3,AC64*AE64&gt;=3),"B",IF(AND(AB64=3,AC64*AE64&gt;=1),"C","")))</f>
        <v>C</v>
      </c>
      <c r="AG64" s="8" t="s">
        <v>23</v>
      </c>
      <c r="AP64" s="7" t="n">
        <f aca="false">MAX(D64,L64,T64,AB64)</f>
        <v>3</v>
      </c>
      <c r="AQ64" s="7" t="n">
        <v>1</v>
      </c>
      <c r="AR64" s="7" t="n">
        <f aca="false">4-AS64</f>
        <v>1</v>
      </c>
      <c r="AS64" s="10" t="n">
        <f aca="false">MAX(F64,N64,V64,AD64)</f>
        <v>3</v>
      </c>
      <c r="AT64" s="7" t="str">
        <f aca="false">IF(AND(AP64=3,AQ64*AR64&gt;=6),"A",IF(AND(AP64=3,AQ64*AR64&gt;=3),"B",IF(AND(AP64=3,AQ64*AR64&gt;=1),"C","")))</f>
        <v>C</v>
      </c>
      <c r="AU64" s="4" t="str">
        <f aca="false">"Scenario-level Threat=1; Step1="&amp;H64&amp;" Step2="&amp;P64&amp;" Step3="&amp;X64&amp;" Step4="&amp;AF64&amp;" ; Overall Threat fixed=1, Max Mitigation="&amp;AS64&amp;" =&gt; Overall="&amp;AT64</f>
        <v>Scenario-level Threat=1; Step1=C Step2=C Step3=C Step4=C ; Overall Threat fixed=1, Max Mitigation=3 =&gt; Overall=C</v>
      </c>
      <c r="AV64" s="11"/>
      <c r="AW64" s="11"/>
      <c r="AX64" s="11"/>
    </row>
    <row r="65" customFormat="false" ht="18" hidden="true" customHeight="false" outlineLevel="0" collapsed="false">
      <c r="A65" s="4" t="str">
        <f aca="false">SPRV_Source_For_Formulas!D254</f>
        <v>T1189</v>
      </c>
      <c r="B65" s="5" t="s">
        <v>12</v>
      </c>
      <c r="C65" s="6"/>
      <c r="D65" s="8" t="n">
        <v>3</v>
      </c>
      <c r="E65" s="4" t="n">
        <v>1</v>
      </c>
      <c r="F65" s="4" t="n">
        <f aca="false">IF(SPRV_Source_For_Formulas!G254&lt;=0.2,3,IF(SPRV_Source_For_Formulas!G254&lt;=0.5,2,1))</f>
        <v>3</v>
      </c>
      <c r="G65" s="4" t="n">
        <f aca="false">4-F65</f>
        <v>1</v>
      </c>
      <c r="H65" s="7" t="str">
        <f aca="false">IF(AND(D65=3,E65*G65&gt;=6),"A",IF(AND(D65=3,E65*G65&gt;=3),"B",IF(AND(D65=3,E65*G65&gt;=1),"C","")))</f>
        <v>C</v>
      </c>
      <c r="I65" s="8" t="s">
        <v>13</v>
      </c>
      <c r="J65" s="4" t="str">
        <f aca="false">SPRV_Source_For_Formulas!D255</f>
        <v>T1578.004</v>
      </c>
      <c r="K65" s="5" t="s">
        <v>36</v>
      </c>
      <c r="L65" s="8" t="n">
        <v>3</v>
      </c>
      <c r="M65" s="4" t="n">
        <v>1</v>
      </c>
      <c r="N65" s="4" t="n">
        <f aca="false">IF(SPRV_Source_For_Formulas!G255&lt;=0.2,3,IF(SPRV_Source_For_Formulas!G255&lt;=0.5,2,1))</f>
        <v>2</v>
      </c>
      <c r="O65" s="4" t="n">
        <f aca="false">4-N65</f>
        <v>2</v>
      </c>
      <c r="P65" s="7" t="str">
        <f aca="false">IF(AND(L65=3,M65*O65&gt;=6),"A",IF(AND(L65=3,M65*O65&gt;=3),"B",IF(AND(L65=3,M65*O65&gt;=1),"C","")))</f>
        <v>C</v>
      </c>
      <c r="Q65" s="8" t="s">
        <v>37</v>
      </c>
      <c r="R65" s="4" t="str">
        <f aca="false">SPRV_Source_For_Formulas!D256</f>
        <v>T1484.002</v>
      </c>
      <c r="S65" s="8" t="s">
        <v>30</v>
      </c>
      <c r="T65" s="8" t="n">
        <v>3</v>
      </c>
      <c r="U65" s="4" t="n">
        <v>1</v>
      </c>
      <c r="V65" s="4" t="n">
        <f aca="false">IF(SPRV_Source_For_Formulas!G256&lt;=0.2,3,IF(SPRV_Source_For_Formulas!G256&lt;=0.5,2,1))</f>
        <v>3</v>
      </c>
      <c r="W65" s="4" t="n">
        <f aca="false">4-V65</f>
        <v>1</v>
      </c>
      <c r="X65" s="4" t="str">
        <f aca="false">IF(AND(T65=3,U65*W65&gt;=6),"A",IF(AND(T65=3,U65*W65&gt;=3),"B",IF(AND(T65=3,U65*W65&gt;=1),"C","")))</f>
        <v>C</v>
      </c>
      <c r="Y65" s="8" t="s">
        <v>31</v>
      </c>
      <c r="Z65" s="4" t="str">
        <f aca="false">SPRV_Source_For_Formulas!D257</f>
        <v>T1496.002</v>
      </c>
      <c r="AA65" s="5" t="s">
        <v>24</v>
      </c>
      <c r="AB65" s="8" t="n">
        <v>3</v>
      </c>
      <c r="AC65" s="4" t="n">
        <v>1</v>
      </c>
      <c r="AD65" s="4" t="n">
        <f aca="false">IF(SPRV_Source_For_Formulas!G257&lt;=0.2,3,IF(SPRV_Source_For_Formulas!G257&lt;=0.5,2,1))</f>
        <v>2</v>
      </c>
      <c r="AE65" s="4" t="n">
        <f aca="false">4-AD65</f>
        <v>2</v>
      </c>
      <c r="AF65" s="4" t="str">
        <f aca="false">IF(AND(AB65=3,AC65*AE65&gt;=6),"A",IF(AND(AB65=3,AC65*AE65&gt;=3),"B",IF(AND(AB65=3,AC65*AE65&gt;=1),"C","")))</f>
        <v>C</v>
      </c>
      <c r="AG65" s="8" t="s">
        <v>25</v>
      </c>
      <c r="AP65" s="7" t="n">
        <f aca="false">MAX(D65,L65,T65,AB65)</f>
        <v>3</v>
      </c>
      <c r="AQ65" s="7" t="n">
        <v>1</v>
      </c>
      <c r="AR65" s="7" t="n">
        <f aca="false">4-AS65</f>
        <v>1</v>
      </c>
      <c r="AS65" s="10" t="n">
        <f aca="false">MAX(F65,N65,V65,AD65)</f>
        <v>3</v>
      </c>
      <c r="AT65" s="7" t="str">
        <f aca="false">IF(AND(AP65=3,AQ65*AR65&gt;=6),"A",IF(AND(AP65=3,AQ65*AR65&gt;=3),"B",IF(AND(AP65=3,AQ65*AR65&gt;=1),"C","")))</f>
        <v>C</v>
      </c>
      <c r="AU65" s="4" t="str">
        <f aca="false">"Scenario-level Threat=1; Step1="&amp;H65&amp;" Step2="&amp;P65&amp;" Step3="&amp;X65&amp;" Step4="&amp;AF65&amp;" ; Overall Threat fixed=1, Max Mitigation="&amp;AS65&amp;" =&gt; Overall="&amp;AT65</f>
        <v>Scenario-level Threat=1; Step1=C Step2=C Step3=C Step4=C ; Overall Threat fixed=1, Max Mitigation=3 =&gt; Overall=C</v>
      </c>
      <c r="AV65" s="11"/>
      <c r="AW65" s="11"/>
      <c r="AX65" s="11"/>
    </row>
    <row r="66" customFormat="false" ht="18" hidden="false" customHeight="false" outlineLevel="0" collapsed="false">
      <c r="AS66" s="13"/>
    </row>
    <row r="67" customFormat="false" ht="18" hidden="false" customHeight="false" outlineLevel="0" collapsed="false">
      <c r="AS67" s="13"/>
    </row>
  </sheetData>
  <autoFilter ref="A1:AY65">
    <filterColumn colId="45">
      <filters>
        <filter val="A"/>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14" t="s">
        <v>38</v>
      </c>
      <c r="B1" s="14" t="s">
        <v>39</v>
      </c>
      <c r="C1" s="14"/>
      <c r="D1" s="14"/>
      <c r="E1" s="14"/>
      <c r="F1" s="14"/>
      <c r="G1" s="14"/>
      <c r="H1" s="14"/>
    </row>
    <row r="2" customFormat="false" ht="18" hidden="false" customHeight="false" outlineLevel="0" collapsed="false">
      <c r="A2" s="8" t="s">
        <v>40</v>
      </c>
      <c r="B2" s="8" t="s">
        <v>41</v>
      </c>
    </row>
    <row r="3" customFormat="false" ht="18" hidden="false" customHeight="false" outlineLevel="0" collapsed="false">
      <c r="A3" s="8" t="s">
        <v>42</v>
      </c>
      <c r="B3" s="8" t="s">
        <v>43</v>
      </c>
    </row>
    <row r="4" customFormat="false" ht="18" hidden="false" customHeight="false" outlineLevel="0" collapsed="false">
      <c r="A4" s="8" t="s">
        <v>44</v>
      </c>
      <c r="B4" s="8" t="s">
        <v>45</v>
      </c>
    </row>
    <row r="6" customFormat="false" ht="18" hidden="false" customHeight="false" outlineLevel="0" collapsed="false">
      <c r="A6" s="8" t="s">
        <v>46</v>
      </c>
      <c r="B6" s="8" t="s">
        <v>47</v>
      </c>
      <c r="C6" s="8" t="s">
        <v>48</v>
      </c>
      <c r="D6" s="8" t="s">
        <v>49</v>
      </c>
      <c r="E6" s="8" t="s">
        <v>50</v>
      </c>
      <c r="F6" s="8" t="s">
        <v>51</v>
      </c>
      <c r="G6" s="8" t="s">
        <v>52</v>
      </c>
      <c r="H6" s="8" t="s">
        <v>53</v>
      </c>
    </row>
    <row r="7" customFormat="false" ht="18" hidden="false" customHeight="false" outlineLevel="0" collapsed="false">
      <c r="A7" s="8" t="n">
        <v>2</v>
      </c>
      <c r="B7" s="8" t="n">
        <v>1</v>
      </c>
      <c r="C7" s="8" t="s">
        <v>54</v>
      </c>
      <c r="D7" s="8" t="s">
        <v>55</v>
      </c>
      <c r="E7" s="8" t="n">
        <v>0.9</v>
      </c>
      <c r="F7" s="8" t="n">
        <v>3</v>
      </c>
      <c r="G7" s="8" t="n">
        <v>0.1</v>
      </c>
      <c r="H7" s="8" t="n">
        <v>3</v>
      </c>
    </row>
    <row r="8" customFormat="false" ht="18" hidden="false" customHeight="false" outlineLevel="0" collapsed="false">
      <c r="A8" s="8" t="n">
        <v>2</v>
      </c>
      <c r="B8" s="8" t="n">
        <v>2</v>
      </c>
      <c r="C8" s="8" t="s">
        <v>56</v>
      </c>
      <c r="D8" s="8" t="s">
        <v>57</v>
      </c>
      <c r="E8" s="8" t="n">
        <v>0.36</v>
      </c>
      <c r="F8" s="8" t="n">
        <v>2</v>
      </c>
      <c r="G8" s="8" t="n">
        <v>0.46</v>
      </c>
      <c r="H8" s="8" t="n">
        <v>2</v>
      </c>
    </row>
    <row r="9" customFormat="false" ht="18" hidden="false" customHeight="false" outlineLevel="0" collapsed="false">
      <c r="A9" s="8" t="n">
        <v>2</v>
      </c>
      <c r="B9" s="8" t="n">
        <v>3</v>
      </c>
      <c r="C9" s="8" t="s">
        <v>58</v>
      </c>
      <c r="D9" s="8" t="s">
        <v>59</v>
      </c>
      <c r="E9" s="8" t="n">
        <v>0.36</v>
      </c>
      <c r="F9" s="8" t="n">
        <v>2</v>
      </c>
      <c r="G9" s="8" t="n">
        <v>0.1</v>
      </c>
      <c r="H9" s="8" t="n">
        <v>3</v>
      </c>
    </row>
    <row r="10" customFormat="false" ht="18" hidden="false" customHeight="false" outlineLevel="0" collapsed="false">
      <c r="A10" s="8" t="n">
        <v>2</v>
      </c>
      <c r="B10" s="8" t="n">
        <v>4</v>
      </c>
      <c r="C10" s="8" t="s">
        <v>60</v>
      </c>
      <c r="D10" s="8" t="s">
        <v>61</v>
      </c>
      <c r="E10" s="8" t="n">
        <v>0.18</v>
      </c>
      <c r="F10" s="8" t="n">
        <v>1</v>
      </c>
      <c r="G10" s="8" t="n">
        <v>0.46</v>
      </c>
      <c r="H10" s="8" t="n">
        <v>2</v>
      </c>
    </row>
    <row r="11" customFormat="false" ht="18" hidden="false" customHeight="false" outlineLevel="0" collapsed="false">
      <c r="A11" s="8" t="n">
        <v>3</v>
      </c>
      <c r="B11" s="8" t="n">
        <v>1</v>
      </c>
      <c r="C11" s="8" t="s">
        <v>54</v>
      </c>
      <c r="D11" s="8" t="s">
        <v>55</v>
      </c>
      <c r="E11" s="8" t="n">
        <v>0.9</v>
      </c>
      <c r="F11" s="8" t="n">
        <v>3</v>
      </c>
      <c r="G11" s="8" t="n">
        <v>0.1</v>
      </c>
      <c r="H11" s="8" t="n">
        <v>3</v>
      </c>
    </row>
    <row r="12" customFormat="false" ht="18" hidden="false" customHeight="false" outlineLevel="0" collapsed="false">
      <c r="A12" s="8" t="n">
        <v>3</v>
      </c>
      <c r="B12" s="8" t="n">
        <v>2</v>
      </c>
      <c r="C12" s="8" t="s">
        <v>56</v>
      </c>
      <c r="D12" s="8" t="s">
        <v>57</v>
      </c>
      <c r="E12" s="8" t="n">
        <v>0.36</v>
      </c>
      <c r="F12" s="8" t="n">
        <v>2</v>
      </c>
      <c r="G12" s="8" t="n">
        <v>0.46</v>
      </c>
      <c r="H12" s="8" t="n">
        <v>2</v>
      </c>
    </row>
    <row r="13" customFormat="false" ht="18" hidden="false" customHeight="false" outlineLevel="0" collapsed="false">
      <c r="A13" s="8" t="n">
        <v>3</v>
      </c>
      <c r="B13" s="8" t="n">
        <v>3</v>
      </c>
      <c r="C13" s="8" t="s">
        <v>58</v>
      </c>
      <c r="D13" s="8" t="s">
        <v>59</v>
      </c>
      <c r="E13" s="8" t="n">
        <v>0.36</v>
      </c>
      <c r="F13" s="8" t="n">
        <v>2</v>
      </c>
      <c r="G13" s="8" t="n">
        <v>0.1</v>
      </c>
      <c r="H13" s="8" t="n">
        <v>3</v>
      </c>
    </row>
    <row r="14" customFormat="false" ht="18" hidden="false" customHeight="false" outlineLevel="0" collapsed="false">
      <c r="A14" s="8" t="n">
        <v>3</v>
      </c>
      <c r="B14" s="8" t="n">
        <v>4</v>
      </c>
      <c r="C14" s="8" t="s">
        <v>62</v>
      </c>
      <c r="D14" s="8" t="s">
        <v>63</v>
      </c>
      <c r="E14" s="8" t="n">
        <v>0.72</v>
      </c>
      <c r="F14" s="8" t="n">
        <v>3</v>
      </c>
      <c r="G14" s="8" t="n">
        <v>0.46</v>
      </c>
      <c r="H14" s="8" t="n">
        <v>2</v>
      </c>
    </row>
    <row r="15" customFormat="false" ht="18" hidden="false" customHeight="false" outlineLevel="0" collapsed="false">
      <c r="A15" s="8" t="n">
        <v>4</v>
      </c>
      <c r="B15" s="8" t="n">
        <v>1</v>
      </c>
      <c r="C15" s="8" t="s">
        <v>54</v>
      </c>
      <c r="D15" s="8" t="s">
        <v>55</v>
      </c>
      <c r="E15" s="8" t="n">
        <v>0.9</v>
      </c>
      <c r="F15" s="8" t="n">
        <v>3</v>
      </c>
      <c r="G15" s="8" t="n">
        <v>0.1</v>
      </c>
      <c r="H15" s="8" t="n">
        <v>3</v>
      </c>
    </row>
    <row r="16" customFormat="false" ht="18" hidden="false" customHeight="false" outlineLevel="0" collapsed="false">
      <c r="A16" s="8" t="n">
        <v>4</v>
      </c>
      <c r="B16" s="8" t="n">
        <v>2</v>
      </c>
      <c r="C16" s="8" t="s">
        <v>56</v>
      </c>
      <c r="D16" s="8" t="s">
        <v>57</v>
      </c>
      <c r="E16" s="8" t="n">
        <v>0.36</v>
      </c>
      <c r="F16" s="8" t="n">
        <v>2</v>
      </c>
      <c r="G16" s="8" t="n">
        <v>0.46</v>
      </c>
      <c r="H16" s="8" t="n">
        <v>2</v>
      </c>
    </row>
    <row r="17" customFormat="false" ht="18" hidden="false" customHeight="false" outlineLevel="0" collapsed="false">
      <c r="A17" s="8" t="n">
        <v>4</v>
      </c>
      <c r="B17" s="8" t="n">
        <v>3</v>
      </c>
      <c r="C17" s="8" t="s">
        <v>58</v>
      </c>
      <c r="D17" s="8" t="s">
        <v>59</v>
      </c>
      <c r="E17" s="8" t="n">
        <v>0.36</v>
      </c>
      <c r="F17" s="8" t="n">
        <v>2</v>
      </c>
      <c r="G17" s="8" t="n">
        <v>0.1</v>
      </c>
      <c r="H17" s="8" t="n">
        <v>3</v>
      </c>
    </row>
    <row r="18" customFormat="false" ht="18" hidden="false" customHeight="false" outlineLevel="0" collapsed="false">
      <c r="A18" s="8" t="n">
        <v>4</v>
      </c>
      <c r="B18" s="8" t="n">
        <v>4</v>
      </c>
      <c r="C18" s="8" t="s">
        <v>64</v>
      </c>
      <c r="D18" s="8" t="s">
        <v>65</v>
      </c>
      <c r="E18" s="8" t="n">
        <v>0.9</v>
      </c>
      <c r="F18" s="8" t="n">
        <v>3</v>
      </c>
      <c r="G18" s="8" t="n">
        <v>0.1</v>
      </c>
      <c r="H18" s="8" t="n">
        <v>3</v>
      </c>
    </row>
    <row r="19" customFormat="false" ht="18" hidden="false" customHeight="false" outlineLevel="0" collapsed="false">
      <c r="A19" s="8" t="n">
        <v>5</v>
      </c>
      <c r="B19" s="8" t="n">
        <v>1</v>
      </c>
      <c r="C19" s="8" t="s">
        <v>54</v>
      </c>
      <c r="D19" s="8" t="s">
        <v>55</v>
      </c>
      <c r="E19" s="8" t="n">
        <v>0.9</v>
      </c>
      <c r="F19" s="8" t="n">
        <v>3</v>
      </c>
      <c r="G19" s="8" t="n">
        <v>0.1</v>
      </c>
      <c r="H19" s="8" t="n">
        <v>3</v>
      </c>
    </row>
    <row r="20" customFormat="false" ht="18" hidden="false" customHeight="false" outlineLevel="0" collapsed="false">
      <c r="A20" s="8" t="n">
        <v>5</v>
      </c>
      <c r="B20" s="8" t="n">
        <v>2</v>
      </c>
      <c r="C20" s="8" t="s">
        <v>56</v>
      </c>
      <c r="D20" s="8" t="s">
        <v>57</v>
      </c>
      <c r="E20" s="8" t="n">
        <v>0.36</v>
      </c>
      <c r="F20" s="8" t="n">
        <v>2</v>
      </c>
      <c r="G20" s="8" t="n">
        <v>0.46</v>
      </c>
      <c r="H20" s="8" t="n">
        <v>2</v>
      </c>
    </row>
    <row r="21" customFormat="false" ht="18" hidden="false" customHeight="false" outlineLevel="0" collapsed="false">
      <c r="A21" s="8" t="n">
        <v>5</v>
      </c>
      <c r="B21" s="8" t="n">
        <v>3</v>
      </c>
      <c r="C21" s="8" t="s">
        <v>58</v>
      </c>
      <c r="D21" s="8" t="s">
        <v>59</v>
      </c>
      <c r="E21" s="8" t="n">
        <v>0.36</v>
      </c>
      <c r="F21" s="8" t="n">
        <v>2</v>
      </c>
      <c r="G21" s="8" t="n">
        <v>0.1</v>
      </c>
      <c r="H21" s="8" t="n">
        <v>3</v>
      </c>
    </row>
    <row r="22" customFormat="false" ht="18" hidden="false" customHeight="false" outlineLevel="0" collapsed="false">
      <c r="A22" s="8" t="n">
        <v>5</v>
      </c>
      <c r="B22" s="8" t="n">
        <v>4</v>
      </c>
      <c r="C22" s="8" t="s">
        <v>66</v>
      </c>
      <c r="D22" s="8" t="s">
        <v>67</v>
      </c>
      <c r="E22" s="8" t="n">
        <v>0.18</v>
      </c>
      <c r="F22" s="8" t="n">
        <v>1</v>
      </c>
      <c r="G22" s="8" t="n">
        <v>0.46</v>
      </c>
      <c r="H22" s="8" t="n">
        <v>2</v>
      </c>
    </row>
    <row r="23" customFormat="false" ht="18" hidden="false" customHeight="false" outlineLevel="0" collapsed="false">
      <c r="A23" s="8" t="n">
        <v>6</v>
      </c>
      <c r="B23" s="8" t="n">
        <v>1</v>
      </c>
      <c r="C23" s="8" t="s">
        <v>54</v>
      </c>
      <c r="D23" s="8" t="s">
        <v>55</v>
      </c>
      <c r="E23" s="8" t="n">
        <v>0.9</v>
      </c>
      <c r="F23" s="8" t="n">
        <v>3</v>
      </c>
      <c r="G23" s="8" t="n">
        <v>0.1</v>
      </c>
      <c r="H23" s="8" t="n">
        <v>3</v>
      </c>
    </row>
    <row r="24" customFormat="false" ht="18" hidden="false" customHeight="false" outlineLevel="0" collapsed="false">
      <c r="A24" s="8" t="n">
        <v>6</v>
      </c>
      <c r="B24" s="8" t="n">
        <v>2</v>
      </c>
      <c r="C24" s="8" t="s">
        <v>56</v>
      </c>
      <c r="D24" s="8" t="s">
        <v>57</v>
      </c>
      <c r="E24" s="8" t="n">
        <v>0.36</v>
      </c>
      <c r="F24" s="8" t="n">
        <v>2</v>
      </c>
      <c r="G24" s="8" t="n">
        <v>0.46</v>
      </c>
      <c r="H24" s="8" t="n">
        <v>2</v>
      </c>
    </row>
    <row r="25" customFormat="false" ht="18" hidden="false" customHeight="false" outlineLevel="0" collapsed="false">
      <c r="A25" s="8" t="n">
        <v>6</v>
      </c>
      <c r="B25" s="8" t="n">
        <v>3</v>
      </c>
      <c r="C25" s="8" t="s">
        <v>68</v>
      </c>
      <c r="D25" s="8" t="s">
        <v>69</v>
      </c>
      <c r="E25" s="8" t="n">
        <v>0.36</v>
      </c>
      <c r="F25" s="8" t="n">
        <v>2</v>
      </c>
      <c r="G25" s="8" t="n">
        <v>0.1</v>
      </c>
      <c r="H25" s="8" t="n">
        <v>3</v>
      </c>
    </row>
    <row r="26" customFormat="false" ht="18" hidden="false" customHeight="false" outlineLevel="0" collapsed="false">
      <c r="A26" s="8" t="n">
        <v>6</v>
      </c>
      <c r="B26" s="8" t="n">
        <v>4</v>
      </c>
      <c r="C26" s="8" t="s">
        <v>60</v>
      </c>
      <c r="D26" s="8" t="s">
        <v>61</v>
      </c>
      <c r="E26" s="8" t="n">
        <v>0.18</v>
      </c>
      <c r="F26" s="8" t="n">
        <v>1</v>
      </c>
      <c r="G26" s="8" t="n">
        <v>0.46</v>
      </c>
      <c r="H26" s="8" t="n">
        <v>2</v>
      </c>
    </row>
    <row r="27" customFormat="false" ht="18" hidden="false" customHeight="false" outlineLevel="0" collapsed="false">
      <c r="A27" s="8" t="n">
        <v>7</v>
      </c>
      <c r="B27" s="8" t="n">
        <v>1</v>
      </c>
      <c r="C27" s="8" t="s">
        <v>54</v>
      </c>
      <c r="D27" s="8" t="s">
        <v>55</v>
      </c>
      <c r="E27" s="8" t="n">
        <v>0.9</v>
      </c>
      <c r="F27" s="8" t="n">
        <v>3</v>
      </c>
      <c r="G27" s="8" t="n">
        <v>0.1</v>
      </c>
      <c r="H27" s="8" t="n">
        <v>3</v>
      </c>
    </row>
    <row r="28" customFormat="false" ht="18" hidden="false" customHeight="false" outlineLevel="0" collapsed="false">
      <c r="A28" s="8" t="n">
        <v>7</v>
      </c>
      <c r="B28" s="8" t="n">
        <v>2</v>
      </c>
      <c r="C28" s="8" t="s">
        <v>56</v>
      </c>
      <c r="D28" s="8" t="s">
        <v>57</v>
      </c>
      <c r="E28" s="8" t="n">
        <v>0.36</v>
      </c>
      <c r="F28" s="8" t="n">
        <v>2</v>
      </c>
      <c r="G28" s="8" t="n">
        <v>0.46</v>
      </c>
      <c r="H28" s="8" t="n">
        <v>2</v>
      </c>
    </row>
    <row r="29" customFormat="false" ht="18" hidden="false" customHeight="false" outlineLevel="0" collapsed="false">
      <c r="A29" s="8" t="n">
        <v>7</v>
      </c>
      <c r="B29" s="8" t="n">
        <v>3</v>
      </c>
      <c r="C29" s="8" t="s">
        <v>68</v>
      </c>
      <c r="D29" s="8" t="s">
        <v>69</v>
      </c>
      <c r="E29" s="8" t="n">
        <v>0.36</v>
      </c>
      <c r="F29" s="8" t="n">
        <v>2</v>
      </c>
      <c r="G29" s="8" t="n">
        <v>0.1</v>
      </c>
      <c r="H29" s="8" t="n">
        <v>3</v>
      </c>
    </row>
    <row r="30" customFormat="false" ht="18" hidden="false" customHeight="false" outlineLevel="0" collapsed="false">
      <c r="A30" s="8" t="n">
        <v>7</v>
      </c>
      <c r="B30" s="8" t="n">
        <v>4</v>
      </c>
      <c r="C30" s="8" t="s">
        <v>62</v>
      </c>
      <c r="D30" s="8" t="s">
        <v>63</v>
      </c>
      <c r="E30" s="8" t="n">
        <v>0.72</v>
      </c>
      <c r="F30" s="8" t="n">
        <v>3</v>
      </c>
      <c r="G30" s="8" t="n">
        <v>0.46</v>
      </c>
      <c r="H30" s="8" t="n">
        <v>2</v>
      </c>
    </row>
    <row r="31" customFormat="false" ht="18" hidden="false" customHeight="false" outlineLevel="0" collapsed="false">
      <c r="A31" s="8" t="n">
        <v>8</v>
      </c>
      <c r="B31" s="8" t="n">
        <v>1</v>
      </c>
      <c r="C31" s="8" t="s">
        <v>54</v>
      </c>
      <c r="D31" s="8" t="s">
        <v>55</v>
      </c>
      <c r="E31" s="8" t="n">
        <v>0.9</v>
      </c>
      <c r="F31" s="8" t="n">
        <v>3</v>
      </c>
      <c r="G31" s="8" t="n">
        <v>0.1</v>
      </c>
      <c r="H31" s="8" t="n">
        <v>3</v>
      </c>
    </row>
    <row r="32" customFormat="false" ht="18" hidden="false" customHeight="false" outlineLevel="0" collapsed="false">
      <c r="A32" s="8" t="n">
        <v>8</v>
      </c>
      <c r="B32" s="8" t="n">
        <v>2</v>
      </c>
      <c r="C32" s="8" t="s">
        <v>56</v>
      </c>
      <c r="D32" s="8" t="s">
        <v>57</v>
      </c>
      <c r="E32" s="8" t="n">
        <v>0.36</v>
      </c>
      <c r="F32" s="8" t="n">
        <v>2</v>
      </c>
      <c r="G32" s="8" t="n">
        <v>0.46</v>
      </c>
      <c r="H32" s="8" t="n">
        <v>2</v>
      </c>
    </row>
    <row r="33" customFormat="false" ht="18" hidden="false" customHeight="false" outlineLevel="0" collapsed="false">
      <c r="A33" s="8" t="n">
        <v>8</v>
      </c>
      <c r="B33" s="8" t="n">
        <v>3</v>
      </c>
      <c r="C33" s="8" t="s">
        <v>68</v>
      </c>
      <c r="D33" s="8" t="s">
        <v>69</v>
      </c>
      <c r="E33" s="8" t="n">
        <v>0.36</v>
      </c>
      <c r="F33" s="8" t="n">
        <v>2</v>
      </c>
      <c r="G33" s="8" t="n">
        <v>0.1</v>
      </c>
      <c r="H33" s="8" t="n">
        <v>3</v>
      </c>
    </row>
    <row r="34" customFormat="false" ht="18" hidden="false" customHeight="false" outlineLevel="0" collapsed="false">
      <c r="A34" s="8" t="n">
        <v>8</v>
      </c>
      <c r="B34" s="8" t="n">
        <v>4</v>
      </c>
      <c r="C34" s="8" t="s">
        <v>64</v>
      </c>
      <c r="D34" s="8" t="s">
        <v>65</v>
      </c>
      <c r="E34" s="8" t="n">
        <v>0.9</v>
      </c>
      <c r="F34" s="8" t="n">
        <v>3</v>
      </c>
      <c r="G34" s="8" t="n">
        <v>0.1</v>
      </c>
      <c r="H34" s="8" t="n">
        <v>3</v>
      </c>
    </row>
    <row r="35" customFormat="false" ht="18" hidden="false" customHeight="false" outlineLevel="0" collapsed="false">
      <c r="A35" s="8" t="n">
        <v>9</v>
      </c>
      <c r="B35" s="8" t="n">
        <v>1</v>
      </c>
      <c r="C35" s="8" t="s">
        <v>54</v>
      </c>
      <c r="D35" s="8" t="s">
        <v>55</v>
      </c>
      <c r="E35" s="8" t="n">
        <v>0.9</v>
      </c>
      <c r="F35" s="8" t="n">
        <v>3</v>
      </c>
      <c r="G35" s="8" t="n">
        <v>0.1</v>
      </c>
      <c r="H35" s="8" t="n">
        <v>3</v>
      </c>
    </row>
    <row r="36" customFormat="false" ht="18" hidden="false" customHeight="false" outlineLevel="0" collapsed="false">
      <c r="A36" s="8" t="n">
        <v>9</v>
      </c>
      <c r="B36" s="8" t="n">
        <v>2</v>
      </c>
      <c r="C36" s="8" t="s">
        <v>56</v>
      </c>
      <c r="D36" s="8" t="s">
        <v>57</v>
      </c>
      <c r="E36" s="8" t="n">
        <v>0.36</v>
      </c>
      <c r="F36" s="8" t="n">
        <v>2</v>
      </c>
      <c r="G36" s="8" t="n">
        <v>0.46</v>
      </c>
      <c r="H36" s="8" t="n">
        <v>2</v>
      </c>
    </row>
    <row r="37" customFormat="false" ht="18" hidden="false" customHeight="false" outlineLevel="0" collapsed="false">
      <c r="A37" s="8" t="n">
        <v>9</v>
      </c>
      <c r="B37" s="8" t="n">
        <v>3</v>
      </c>
      <c r="C37" s="8" t="s">
        <v>68</v>
      </c>
      <c r="D37" s="8" t="s">
        <v>69</v>
      </c>
      <c r="E37" s="8" t="n">
        <v>0.36</v>
      </c>
      <c r="F37" s="8" t="n">
        <v>2</v>
      </c>
      <c r="G37" s="8" t="n">
        <v>0.1</v>
      </c>
      <c r="H37" s="8" t="n">
        <v>3</v>
      </c>
    </row>
    <row r="38" customFormat="false" ht="18" hidden="false" customHeight="false" outlineLevel="0" collapsed="false">
      <c r="A38" s="8" t="n">
        <v>9</v>
      </c>
      <c r="B38" s="8" t="n">
        <v>4</v>
      </c>
      <c r="C38" s="8" t="s">
        <v>66</v>
      </c>
      <c r="D38" s="8" t="s">
        <v>67</v>
      </c>
      <c r="E38" s="8" t="n">
        <v>0.18</v>
      </c>
      <c r="F38" s="8" t="n">
        <v>1</v>
      </c>
      <c r="G38" s="8" t="n">
        <v>0.46</v>
      </c>
      <c r="H38" s="8" t="n">
        <v>2</v>
      </c>
    </row>
    <row r="39" customFormat="false" ht="18" hidden="false" customHeight="false" outlineLevel="0" collapsed="false">
      <c r="A39" s="8" t="n">
        <v>10</v>
      </c>
      <c r="B39" s="8" t="n">
        <v>1</v>
      </c>
      <c r="C39" s="8" t="s">
        <v>54</v>
      </c>
      <c r="D39" s="8" t="s">
        <v>55</v>
      </c>
      <c r="E39" s="8" t="n">
        <v>0.9</v>
      </c>
      <c r="F39" s="8" t="n">
        <v>3</v>
      </c>
      <c r="G39" s="8" t="n">
        <v>0.1</v>
      </c>
      <c r="H39" s="8" t="n">
        <v>3</v>
      </c>
    </row>
    <row r="40" customFormat="false" ht="18" hidden="false" customHeight="false" outlineLevel="0" collapsed="false">
      <c r="A40" s="8" t="n">
        <v>10</v>
      </c>
      <c r="B40" s="8" t="n">
        <v>2</v>
      </c>
      <c r="C40" s="8" t="s">
        <v>56</v>
      </c>
      <c r="D40" s="8" t="s">
        <v>57</v>
      </c>
      <c r="E40" s="8" t="n">
        <v>0.36</v>
      </c>
      <c r="F40" s="8" t="n">
        <v>2</v>
      </c>
      <c r="G40" s="8" t="n">
        <v>0.46</v>
      </c>
      <c r="H40" s="8" t="n">
        <v>2</v>
      </c>
    </row>
    <row r="41" customFormat="false" ht="18" hidden="false" customHeight="false" outlineLevel="0" collapsed="false">
      <c r="A41" s="8" t="n">
        <v>10</v>
      </c>
      <c r="B41" s="8" t="n">
        <v>3</v>
      </c>
      <c r="C41" s="8" t="s">
        <v>70</v>
      </c>
      <c r="D41" s="8" t="s">
        <v>71</v>
      </c>
      <c r="E41" s="8" t="n">
        <v>0.36</v>
      </c>
      <c r="F41" s="8" t="n">
        <v>2</v>
      </c>
      <c r="G41" s="8" t="n">
        <v>0.1</v>
      </c>
      <c r="H41" s="8" t="n">
        <v>3</v>
      </c>
    </row>
    <row r="42" customFormat="false" ht="18" hidden="false" customHeight="false" outlineLevel="0" collapsed="false">
      <c r="A42" s="8" t="n">
        <v>10</v>
      </c>
      <c r="B42" s="8" t="n">
        <v>4</v>
      </c>
      <c r="C42" s="8" t="s">
        <v>60</v>
      </c>
      <c r="D42" s="8" t="s">
        <v>61</v>
      </c>
      <c r="E42" s="8" t="n">
        <v>0.18</v>
      </c>
      <c r="F42" s="8" t="n">
        <v>1</v>
      </c>
      <c r="G42" s="8" t="n">
        <v>0.46</v>
      </c>
      <c r="H42" s="8" t="n">
        <v>2</v>
      </c>
    </row>
    <row r="43" customFormat="false" ht="18" hidden="false" customHeight="false" outlineLevel="0" collapsed="false">
      <c r="A43" s="8" t="n">
        <v>11</v>
      </c>
      <c r="B43" s="8" t="n">
        <v>1</v>
      </c>
      <c r="C43" s="8" t="s">
        <v>54</v>
      </c>
      <c r="D43" s="8" t="s">
        <v>55</v>
      </c>
      <c r="E43" s="8" t="n">
        <v>0.9</v>
      </c>
      <c r="F43" s="8" t="n">
        <v>3</v>
      </c>
      <c r="G43" s="8" t="n">
        <v>0.1</v>
      </c>
      <c r="H43" s="8" t="n">
        <v>3</v>
      </c>
    </row>
    <row r="44" customFormat="false" ht="18" hidden="false" customHeight="false" outlineLevel="0" collapsed="false">
      <c r="A44" s="8" t="n">
        <v>11</v>
      </c>
      <c r="B44" s="8" t="n">
        <v>2</v>
      </c>
      <c r="C44" s="8" t="s">
        <v>56</v>
      </c>
      <c r="D44" s="8" t="s">
        <v>57</v>
      </c>
      <c r="E44" s="8" t="n">
        <v>0.36</v>
      </c>
      <c r="F44" s="8" t="n">
        <v>2</v>
      </c>
      <c r="G44" s="8" t="n">
        <v>0.46</v>
      </c>
      <c r="H44" s="8" t="n">
        <v>2</v>
      </c>
    </row>
    <row r="45" customFormat="false" ht="18" hidden="false" customHeight="false" outlineLevel="0" collapsed="false">
      <c r="A45" s="8" t="n">
        <v>11</v>
      </c>
      <c r="B45" s="8" t="n">
        <v>3</v>
      </c>
      <c r="C45" s="8" t="s">
        <v>70</v>
      </c>
      <c r="D45" s="8" t="s">
        <v>71</v>
      </c>
      <c r="E45" s="8" t="n">
        <v>0.36</v>
      </c>
      <c r="F45" s="8" t="n">
        <v>2</v>
      </c>
      <c r="G45" s="8" t="n">
        <v>0.1</v>
      </c>
      <c r="H45" s="8" t="n">
        <v>3</v>
      </c>
    </row>
    <row r="46" customFormat="false" ht="18" hidden="false" customHeight="false" outlineLevel="0" collapsed="false">
      <c r="A46" s="8" t="n">
        <v>11</v>
      </c>
      <c r="B46" s="8" t="n">
        <v>4</v>
      </c>
      <c r="C46" s="8" t="s">
        <v>62</v>
      </c>
      <c r="D46" s="8" t="s">
        <v>63</v>
      </c>
      <c r="E46" s="8" t="n">
        <v>0.72</v>
      </c>
      <c r="F46" s="8" t="n">
        <v>3</v>
      </c>
      <c r="G46" s="8" t="n">
        <v>0.46</v>
      </c>
      <c r="H46" s="8" t="n">
        <v>2</v>
      </c>
    </row>
    <row r="47" customFormat="false" ht="18" hidden="false" customHeight="false" outlineLevel="0" collapsed="false">
      <c r="A47" s="8" t="n">
        <v>12</v>
      </c>
      <c r="B47" s="8" t="n">
        <v>1</v>
      </c>
      <c r="C47" s="8" t="s">
        <v>54</v>
      </c>
      <c r="D47" s="8" t="s">
        <v>55</v>
      </c>
      <c r="E47" s="8" t="n">
        <v>0.9</v>
      </c>
      <c r="F47" s="8" t="n">
        <v>3</v>
      </c>
      <c r="G47" s="8" t="n">
        <v>0.1</v>
      </c>
      <c r="H47" s="8" t="n">
        <v>3</v>
      </c>
    </row>
    <row r="48" customFormat="false" ht="18" hidden="false" customHeight="false" outlineLevel="0" collapsed="false">
      <c r="A48" s="8" t="n">
        <v>12</v>
      </c>
      <c r="B48" s="8" t="n">
        <v>2</v>
      </c>
      <c r="C48" s="8" t="s">
        <v>56</v>
      </c>
      <c r="D48" s="8" t="s">
        <v>57</v>
      </c>
      <c r="E48" s="8" t="n">
        <v>0.36</v>
      </c>
      <c r="F48" s="8" t="n">
        <v>2</v>
      </c>
      <c r="G48" s="8" t="n">
        <v>0.46</v>
      </c>
      <c r="H48" s="8" t="n">
        <v>2</v>
      </c>
    </row>
    <row r="49" customFormat="false" ht="18" hidden="false" customHeight="false" outlineLevel="0" collapsed="false">
      <c r="A49" s="8" t="n">
        <v>12</v>
      </c>
      <c r="B49" s="8" t="n">
        <v>3</v>
      </c>
      <c r="C49" s="8" t="s">
        <v>70</v>
      </c>
      <c r="D49" s="8" t="s">
        <v>71</v>
      </c>
      <c r="E49" s="8" t="n">
        <v>0.36</v>
      </c>
      <c r="F49" s="8" t="n">
        <v>2</v>
      </c>
      <c r="G49" s="8" t="n">
        <v>0.1</v>
      </c>
      <c r="H49" s="8" t="n">
        <v>3</v>
      </c>
    </row>
    <row r="50" customFormat="false" ht="18" hidden="false" customHeight="false" outlineLevel="0" collapsed="false">
      <c r="A50" s="8" t="n">
        <v>12</v>
      </c>
      <c r="B50" s="8" t="n">
        <v>4</v>
      </c>
      <c r="C50" s="8" t="s">
        <v>64</v>
      </c>
      <c r="D50" s="8" t="s">
        <v>65</v>
      </c>
      <c r="E50" s="8" t="n">
        <v>0.9</v>
      </c>
      <c r="F50" s="8" t="n">
        <v>3</v>
      </c>
      <c r="G50" s="8" t="n">
        <v>0.1</v>
      </c>
      <c r="H50" s="8" t="n">
        <v>3</v>
      </c>
    </row>
    <row r="51" customFormat="false" ht="18" hidden="false" customHeight="false" outlineLevel="0" collapsed="false">
      <c r="A51" s="8" t="n">
        <v>13</v>
      </c>
      <c r="B51" s="8" t="n">
        <v>1</v>
      </c>
      <c r="C51" s="8" t="s">
        <v>54</v>
      </c>
      <c r="D51" s="8" t="s">
        <v>55</v>
      </c>
      <c r="E51" s="8" t="n">
        <v>0.9</v>
      </c>
      <c r="F51" s="8" t="n">
        <v>3</v>
      </c>
      <c r="G51" s="8" t="n">
        <v>0.1</v>
      </c>
      <c r="H51" s="8" t="n">
        <v>3</v>
      </c>
    </row>
    <row r="52" customFormat="false" ht="18" hidden="false" customHeight="false" outlineLevel="0" collapsed="false">
      <c r="A52" s="8" t="n">
        <v>13</v>
      </c>
      <c r="B52" s="8" t="n">
        <v>2</v>
      </c>
      <c r="C52" s="8" t="s">
        <v>56</v>
      </c>
      <c r="D52" s="8" t="s">
        <v>57</v>
      </c>
      <c r="E52" s="8" t="n">
        <v>0.36</v>
      </c>
      <c r="F52" s="8" t="n">
        <v>2</v>
      </c>
      <c r="G52" s="8" t="n">
        <v>0.46</v>
      </c>
      <c r="H52" s="8" t="n">
        <v>2</v>
      </c>
    </row>
    <row r="53" customFormat="false" ht="18" hidden="false" customHeight="false" outlineLevel="0" collapsed="false">
      <c r="A53" s="8" t="n">
        <v>13</v>
      </c>
      <c r="B53" s="8" t="n">
        <v>3</v>
      </c>
      <c r="C53" s="8" t="s">
        <v>70</v>
      </c>
      <c r="D53" s="8" t="s">
        <v>71</v>
      </c>
      <c r="E53" s="8" t="n">
        <v>0.36</v>
      </c>
      <c r="F53" s="8" t="n">
        <v>2</v>
      </c>
      <c r="G53" s="8" t="n">
        <v>0.1</v>
      </c>
      <c r="H53" s="8" t="n">
        <v>3</v>
      </c>
    </row>
    <row r="54" customFormat="false" ht="18" hidden="false" customHeight="false" outlineLevel="0" collapsed="false">
      <c r="A54" s="8" t="n">
        <v>13</v>
      </c>
      <c r="B54" s="8" t="n">
        <v>4</v>
      </c>
      <c r="C54" s="8" t="s">
        <v>66</v>
      </c>
      <c r="D54" s="8" t="s">
        <v>67</v>
      </c>
      <c r="E54" s="8" t="n">
        <v>0.18</v>
      </c>
      <c r="F54" s="8" t="n">
        <v>1</v>
      </c>
      <c r="G54" s="8" t="n">
        <v>0.46</v>
      </c>
      <c r="H54" s="8" t="n">
        <v>2</v>
      </c>
    </row>
    <row r="55" customFormat="false" ht="18" hidden="false" customHeight="false" outlineLevel="0" collapsed="false">
      <c r="A55" s="8" t="n">
        <v>14</v>
      </c>
      <c r="B55" s="8" t="n">
        <v>1</v>
      </c>
      <c r="C55" s="8" t="s">
        <v>54</v>
      </c>
      <c r="D55" s="8" t="s">
        <v>55</v>
      </c>
      <c r="E55" s="8" t="n">
        <v>0.9</v>
      </c>
      <c r="F55" s="8" t="n">
        <v>3</v>
      </c>
      <c r="G55" s="8" t="n">
        <v>0.1</v>
      </c>
      <c r="H55" s="8" t="n">
        <v>3</v>
      </c>
    </row>
    <row r="56" customFormat="false" ht="18" hidden="false" customHeight="false" outlineLevel="0" collapsed="false">
      <c r="A56" s="8" t="n">
        <v>14</v>
      </c>
      <c r="B56" s="8" t="n">
        <v>2</v>
      </c>
      <c r="C56" s="8" t="s">
        <v>56</v>
      </c>
      <c r="D56" s="8" t="s">
        <v>57</v>
      </c>
      <c r="E56" s="8" t="n">
        <v>0.36</v>
      </c>
      <c r="F56" s="8" t="n">
        <v>2</v>
      </c>
      <c r="G56" s="8" t="n">
        <v>0.46</v>
      </c>
      <c r="H56" s="8" t="n">
        <v>2</v>
      </c>
    </row>
    <row r="57" customFormat="false" ht="18" hidden="false" customHeight="false" outlineLevel="0" collapsed="false">
      <c r="A57" s="8" t="n">
        <v>14</v>
      </c>
      <c r="B57" s="8" t="n">
        <v>3</v>
      </c>
      <c r="C57" s="8" t="s">
        <v>72</v>
      </c>
      <c r="D57" s="8" t="s">
        <v>73</v>
      </c>
      <c r="E57" s="8" t="n">
        <v>0.36</v>
      </c>
      <c r="F57" s="8" t="n">
        <v>2</v>
      </c>
      <c r="G57" s="8" t="n">
        <v>0.1</v>
      </c>
      <c r="H57" s="8" t="n">
        <v>3</v>
      </c>
    </row>
    <row r="58" customFormat="false" ht="18" hidden="false" customHeight="false" outlineLevel="0" collapsed="false">
      <c r="A58" s="8" t="n">
        <v>14</v>
      </c>
      <c r="B58" s="8" t="n">
        <v>4</v>
      </c>
      <c r="C58" s="8" t="s">
        <v>60</v>
      </c>
      <c r="D58" s="8" t="s">
        <v>61</v>
      </c>
      <c r="E58" s="8" t="n">
        <v>0.18</v>
      </c>
      <c r="F58" s="8" t="n">
        <v>1</v>
      </c>
      <c r="G58" s="8" t="n">
        <v>0.46</v>
      </c>
      <c r="H58" s="8" t="n">
        <v>2</v>
      </c>
    </row>
    <row r="59" customFormat="false" ht="18" hidden="false" customHeight="false" outlineLevel="0" collapsed="false">
      <c r="A59" s="8" t="n">
        <v>15</v>
      </c>
      <c r="B59" s="8" t="n">
        <v>1</v>
      </c>
      <c r="C59" s="8" t="s">
        <v>54</v>
      </c>
      <c r="D59" s="8" t="s">
        <v>55</v>
      </c>
      <c r="E59" s="8" t="n">
        <v>0.9</v>
      </c>
      <c r="F59" s="8" t="n">
        <v>3</v>
      </c>
      <c r="G59" s="8" t="n">
        <v>0.1</v>
      </c>
      <c r="H59" s="8" t="n">
        <v>3</v>
      </c>
    </row>
    <row r="60" customFormat="false" ht="18" hidden="false" customHeight="false" outlineLevel="0" collapsed="false">
      <c r="A60" s="8" t="n">
        <v>15</v>
      </c>
      <c r="B60" s="8" t="n">
        <v>2</v>
      </c>
      <c r="C60" s="8" t="s">
        <v>56</v>
      </c>
      <c r="D60" s="8" t="s">
        <v>57</v>
      </c>
      <c r="E60" s="8" t="n">
        <v>0.36</v>
      </c>
      <c r="F60" s="8" t="n">
        <v>2</v>
      </c>
      <c r="G60" s="8" t="n">
        <v>0.46</v>
      </c>
      <c r="H60" s="8" t="n">
        <v>2</v>
      </c>
    </row>
    <row r="61" customFormat="false" ht="18" hidden="false" customHeight="false" outlineLevel="0" collapsed="false">
      <c r="A61" s="8" t="n">
        <v>15</v>
      </c>
      <c r="B61" s="8" t="n">
        <v>3</v>
      </c>
      <c r="C61" s="8" t="s">
        <v>72</v>
      </c>
      <c r="D61" s="8" t="s">
        <v>73</v>
      </c>
      <c r="E61" s="8" t="n">
        <v>0.36</v>
      </c>
      <c r="F61" s="8" t="n">
        <v>2</v>
      </c>
      <c r="G61" s="8" t="n">
        <v>0.1</v>
      </c>
      <c r="H61" s="8" t="n">
        <v>3</v>
      </c>
    </row>
    <row r="62" customFormat="false" ht="18" hidden="false" customHeight="false" outlineLevel="0" collapsed="false">
      <c r="A62" s="8" t="n">
        <v>15</v>
      </c>
      <c r="B62" s="8" t="n">
        <v>4</v>
      </c>
      <c r="C62" s="8" t="s">
        <v>62</v>
      </c>
      <c r="D62" s="8" t="s">
        <v>63</v>
      </c>
      <c r="E62" s="8" t="n">
        <v>0.72</v>
      </c>
      <c r="F62" s="8" t="n">
        <v>3</v>
      </c>
      <c r="G62" s="8" t="n">
        <v>0.46</v>
      </c>
      <c r="H62" s="8" t="n">
        <v>2</v>
      </c>
    </row>
    <row r="63" customFormat="false" ht="18" hidden="false" customHeight="false" outlineLevel="0" collapsed="false">
      <c r="A63" s="8" t="n">
        <v>16</v>
      </c>
      <c r="B63" s="8" t="n">
        <v>1</v>
      </c>
      <c r="C63" s="8" t="s">
        <v>54</v>
      </c>
      <c r="D63" s="8" t="s">
        <v>55</v>
      </c>
      <c r="E63" s="8" t="n">
        <v>0.9</v>
      </c>
      <c r="F63" s="8" t="n">
        <v>3</v>
      </c>
      <c r="G63" s="8" t="n">
        <v>0.1</v>
      </c>
      <c r="H63" s="8" t="n">
        <v>3</v>
      </c>
    </row>
    <row r="64" customFormat="false" ht="18" hidden="false" customHeight="false" outlineLevel="0" collapsed="false">
      <c r="A64" s="8" t="n">
        <v>16</v>
      </c>
      <c r="B64" s="8" t="n">
        <v>2</v>
      </c>
      <c r="C64" s="8" t="s">
        <v>56</v>
      </c>
      <c r="D64" s="8" t="s">
        <v>57</v>
      </c>
      <c r="E64" s="8" t="n">
        <v>0.36</v>
      </c>
      <c r="F64" s="8" t="n">
        <v>2</v>
      </c>
      <c r="G64" s="8" t="n">
        <v>0.46</v>
      </c>
      <c r="H64" s="8" t="n">
        <v>2</v>
      </c>
    </row>
    <row r="65" customFormat="false" ht="18" hidden="false" customHeight="false" outlineLevel="0" collapsed="false">
      <c r="A65" s="8" t="n">
        <v>16</v>
      </c>
      <c r="B65" s="8" t="n">
        <v>3</v>
      </c>
      <c r="C65" s="8" t="s">
        <v>72</v>
      </c>
      <c r="D65" s="8" t="s">
        <v>73</v>
      </c>
      <c r="E65" s="8" t="n">
        <v>0.36</v>
      </c>
      <c r="F65" s="8" t="n">
        <v>2</v>
      </c>
      <c r="G65" s="8" t="n">
        <v>0.1</v>
      </c>
      <c r="H65" s="8" t="n">
        <v>3</v>
      </c>
    </row>
    <row r="66" customFormat="false" ht="18" hidden="false" customHeight="false" outlineLevel="0" collapsed="false">
      <c r="A66" s="8" t="n">
        <v>16</v>
      </c>
      <c r="B66" s="8" t="n">
        <v>4</v>
      </c>
      <c r="C66" s="8" t="s">
        <v>64</v>
      </c>
      <c r="D66" s="8" t="s">
        <v>65</v>
      </c>
      <c r="E66" s="8" t="n">
        <v>0.9</v>
      </c>
      <c r="F66" s="8" t="n">
        <v>3</v>
      </c>
      <c r="G66" s="8" t="n">
        <v>0.1</v>
      </c>
      <c r="H66" s="8" t="n">
        <v>3</v>
      </c>
    </row>
    <row r="67" customFormat="false" ht="18" hidden="false" customHeight="false" outlineLevel="0" collapsed="false">
      <c r="A67" s="8" t="n">
        <v>17</v>
      </c>
      <c r="B67" s="8" t="n">
        <v>1</v>
      </c>
      <c r="C67" s="8" t="s">
        <v>54</v>
      </c>
      <c r="D67" s="8" t="s">
        <v>55</v>
      </c>
      <c r="E67" s="8" t="n">
        <v>0.9</v>
      </c>
      <c r="F67" s="8" t="n">
        <v>3</v>
      </c>
      <c r="G67" s="8" t="n">
        <v>0.1</v>
      </c>
      <c r="H67" s="8" t="n">
        <v>3</v>
      </c>
    </row>
    <row r="68" customFormat="false" ht="18" hidden="false" customHeight="false" outlineLevel="0" collapsed="false">
      <c r="A68" s="8" t="n">
        <v>17</v>
      </c>
      <c r="B68" s="8" t="n">
        <v>2</v>
      </c>
      <c r="C68" s="8" t="s">
        <v>56</v>
      </c>
      <c r="D68" s="8" t="s">
        <v>57</v>
      </c>
      <c r="E68" s="8" t="n">
        <v>0.36</v>
      </c>
      <c r="F68" s="8" t="n">
        <v>2</v>
      </c>
      <c r="G68" s="8" t="n">
        <v>0.46</v>
      </c>
      <c r="H68" s="8" t="n">
        <v>2</v>
      </c>
    </row>
    <row r="69" customFormat="false" ht="18" hidden="false" customHeight="false" outlineLevel="0" collapsed="false">
      <c r="A69" s="8" t="n">
        <v>17</v>
      </c>
      <c r="B69" s="8" t="n">
        <v>3</v>
      </c>
      <c r="C69" s="8" t="s">
        <v>72</v>
      </c>
      <c r="D69" s="8" t="s">
        <v>73</v>
      </c>
      <c r="E69" s="8" t="n">
        <v>0.36</v>
      </c>
      <c r="F69" s="8" t="n">
        <v>2</v>
      </c>
      <c r="G69" s="8" t="n">
        <v>0.1</v>
      </c>
      <c r="H69" s="8" t="n">
        <v>3</v>
      </c>
    </row>
    <row r="70" customFormat="false" ht="18" hidden="false" customHeight="false" outlineLevel="0" collapsed="false">
      <c r="A70" s="8" t="n">
        <v>17</v>
      </c>
      <c r="B70" s="8" t="n">
        <v>4</v>
      </c>
      <c r="C70" s="8" t="s">
        <v>66</v>
      </c>
      <c r="D70" s="8" t="s">
        <v>67</v>
      </c>
      <c r="E70" s="8" t="n">
        <v>0.18</v>
      </c>
      <c r="F70" s="8" t="n">
        <v>1</v>
      </c>
      <c r="G70" s="8" t="n">
        <v>0.46</v>
      </c>
      <c r="H70" s="8" t="n">
        <v>2</v>
      </c>
    </row>
    <row r="71" customFormat="false" ht="18" hidden="false" customHeight="false" outlineLevel="0" collapsed="false">
      <c r="A71" s="8" t="n">
        <v>18</v>
      </c>
      <c r="B71" s="8" t="n">
        <v>1</v>
      </c>
      <c r="C71" s="8" t="s">
        <v>54</v>
      </c>
      <c r="D71" s="8" t="s">
        <v>55</v>
      </c>
      <c r="E71" s="8" t="n">
        <v>0.9</v>
      </c>
      <c r="F71" s="8" t="n">
        <v>3</v>
      </c>
      <c r="G71" s="8" t="n">
        <v>0.1</v>
      </c>
      <c r="H71" s="8" t="n">
        <v>3</v>
      </c>
    </row>
    <row r="72" customFormat="false" ht="18" hidden="false" customHeight="false" outlineLevel="0" collapsed="false">
      <c r="A72" s="8" t="n">
        <v>18</v>
      </c>
      <c r="B72" s="8" t="n">
        <v>2</v>
      </c>
      <c r="C72" s="8" t="s">
        <v>74</v>
      </c>
      <c r="D72" s="8" t="s">
        <v>75</v>
      </c>
      <c r="E72" s="8" t="n">
        <v>0.36</v>
      </c>
      <c r="F72" s="8" t="n">
        <v>2</v>
      </c>
      <c r="G72" s="8" t="n">
        <v>0.1</v>
      </c>
      <c r="H72" s="8" t="n">
        <v>3</v>
      </c>
    </row>
    <row r="73" customFormat="false" ht="18" hidden="false" customHeight="false" outlineLevel="0" collapsed="false">
      <c r="A73" s="8" t="n">
        <v>18</v>
      </c>
      <c r="B73" s="8" t="n">
        <v>3</v>
      </c>
      <c r="C73" s="8" t="s">
        <v>58</v>
      </c>
      <c r="D73" s="8" t="s">
        <v>59</v>
      </c>
      <c r="E73" s="8" t="n">
        <v>0.36</v>
      </c>
      <c r="F73" s="8" t="n">
        <v>2</v>
      </c>
      <c r="G73" s="8" t="n">
        <v>0.1</v>
      </c>
      <c r="H73" s="8" t="n">
        <v>3</v>
      </c>
    </row>
    <row r="74" customFormat="false" ht="18" hidden="false" customHeight="false" outlineLevel="0" collapsed="false">
      <c r="A74" s="8" t="n">
        <v>18</v>
      </c>
      <c r="B74" s="8" t="n">
        <v>4</v>
      </c>
      <c r="C74" s="8" t="s">
        <v>60</v>
      </c>
      <c r="D74" s="8" t="s">
        <v>61</v>
      </c>
      <c r="E74" s="8" t="n">
        <v>0.18</v>
      </c>
      <c r="F74" s="8" t="n">
        <v>1</v>
      </c>
      <c r="G74" s="8" t="n">
        <v>0.46</v>
      </c>
      <c r="H74" s="8" t="n">
        <v>2</v>
      </c>
    </row>
    <row r="75" customFormat="false" ht="18" hidden="false" customHeight="false" outlineLevel="0" collapsed="false">
      <c r="A75" s="8" t="n">
        <v>19</v>
      </c>
      <c r="B75" s="8" t="n">
        <v>1</v>
      </c>
      <c r="C75" s="8" t="s">
        <v>54</v>
      </c>
      <c r="D75" s="8" t="s">
        <v>55</v>
      </c>
      <c r="E75" s="8" t="n">
        <v>0.9</v>
      </c>
      <c r="F75" s="8" t="n">
        <v>3</v>
      </c>
      <c r="G75" s="8" t="n">
        <v>0.1</v>
      </c>
      <c r="H75" s="8" t="n">
        <v>3</v>
      </c>
    </row>
    <row r="76" customFormat="false" ht="18" hidden="false" customHeight="false" outlineLevel="0" collapsed="false">
      <c r="A76" s="8" t="n">
        <v>19</v>
      </c>
      <c r="B76" s="8" t="n">
        <v>2</v>
      </c>
      <c r="C76" s="8" t="s">
        <v>74</v>
      </c>
      <c r="D76" s="8" t="s">
        <v>75</v>
      </c>
      <c r="E76" s="8" t="n">
        <v>0.36</v>
      </c>
      <c r="F76" s="8" t="n">
        <v>2</v>
      </c>
      <c r="G76" s="8" t="n">
        <v>0.1</v>
      </c>
      <c r="H76" s="8" t="n">
        <v>3</v>
      </c>
    </row>
    <row r="77" customFormat="false" ht="18" hidden="false" customHeight="false" outlineLevel="0" collapsed="false">
      <c r="A77" s="8" t="n">
        <v>19</v>
      </c>
      <c r="B77" s="8" t="n">
        <v>3</v>
      </c>
      <c r="C77" s="8" t="s">
        <v>58</v>
      </c>
      <c r="D77" s="8" t="s">
        <v>59</v>
      </c>
      <c r="E77" s="8" t="n">
        <v>0.36</v>
      </c>
      <c r="F77" s="8" t="n">
        <v>2</v>
      </c>
      <c r="G77" s="8" t="n">
        <v>0.1</v>
      </c>
      <c r="H77" s="8" t="n">
        <v>3</v>
      </c>
    </row>
    <row r="78" customFormat="false" ht="18" hidden="false" customHeight="false" outlineLevel="0" collapsed="false">
      <c r="A78" s="8" t="n">
        <v>19</v>
      </c>
      <c r="B78" s="8" t="n">
        <v>4</v>
      </c>
      <c r="C78" s="8" t="s">
        <v>62</v>
      </c>
      <c r="D78" s="8" t="s">
        <v>63</v>
      </c>
      <c r="E78" s="8" t="n">
        <v>0.72</v>
      </c>
      <c r="F78" s="8" t="n">
        <v>3</v>
      </c>
      <c r="G78" s="8" t="n">
        <v>0.46</v>
      </c>
      <c r="H78" s="8" t="n">
        <v>2</v>
      </c>
    </row>
    <row r="79" customFormat="false" ht="18" hidden="false" customHeight="false" outlineLevel="0" collapsed="false">
      <c r="A79" s="8" t="n">
        <v>20</v>
      </c>
      <c r="B79" s="8" t="n">
        <v>1</v>
      </c>
      <c r="C79" s="8" t="s">
        <v>54</v>
      </c>
      <c r="D79" s="8" t="s">
        <v>55</v>
      </c>
      <c r="E79" s="8" t="n">
        <v>0.9</v>
      </c>
      <c r="F79" s="8" t="n">
        <v>3</v>
      </c>
      <c r="G79" s="8" t="n">
        <v>0.1</v>
      </c>
      <c r="H79" s="8" t="n">
        <v>3</v>
      </c>
    </row>
    <row r="80" customFormat="false" ht="18" hidden="false" customHeight="false" outlineLevel="0" collapsed="false">
      <c r="A80" s="8" t="n">
        <v>20</v>
      </c>
      <c r="B80" s="8" t="n">
        <v>2</v>
      </c>
      <c r="C80" s="8" t="s">
        <v>74</v>
      </c>
      <c r="D80" s="8" t="s">
        <v>75</v>
      </c>
      <c r="E80" s="8" t="n">
        <v>0.36</v>
      </c>
      <c r="F80" s="8" t="n">
        <v>2</v>
      </c>
      <c r="G80" s="8" t="n">
        <v>0.1</v>
      </c>
      <c r="H80" s="8" t="n">
        <v>3</v>
      </c>
    </row>
    <row r="81" customFormat="false" ht="18" hidden="false" customHeight="false" outlineLevel="0" collapsed="false">
      <c r="A81" s="8" t="n">
        <v>20</v>
      </c>
      <c r="B81" s="8" t="n">
        <v>3</v>
      </c>
      <c r="C81" s="8" t="s">
        <v>58</v>
      </c>
      <c r="D81" s="8" t="s">
        <v>59</v>
      </c>
      <c r="E81" s="8" t="n">
        <v>0.36</v>
      </c>
      <c r="F81" s="8" t="n">
        <v>2</v>
      </c>
      <c r="G81" s="8" t="n">
        <v>0.1</v>
      </c>
      <c r="H81" s="8" t="n">
        <v>3</v>
      </c>
    </row>
    <row r="82" customFormat="false" ht="18" hidden="false" customHeight="false" outlineLevel="0" collapsed="false">
      <c r="A82" s="8" t="n">
        <v>20</v>
      </c>
      <c r="B82" s="8" t="n">
        <v>4</v>
      </c>
      <c r="C82" s="8" t="s">
        <v>64</v>
      </c>
      <c r="D82" s="8" t="s">
        <v>65</v>
      </c>
      <c r="E82" s="8" t="n">
        <v>0.9</v>
      </c>
      <c r="F82" s="8" t="n">
        <v>3</v>
      </c>
      <c r="G82" s="8" t="n">
        <v>0.1</v>
      </c>
      <c r="H82" s="8" t="n">
        <v>3</v>
      </c>
    </row>
    <row r="83" customFormat="false" ht="18" hidden="false" customHeight="false" outlineLevel="0" collapsed="false">
      <c r="A83" s="8" t="n">
        <v>21</v>
      </c>
      <c r="B83" s="8" t="n">
        <v>1</v>
      </c>
      <c r="C83" s="8" t="s">
        <v>54</v>
      </c>
      <c r="D83" s="8" t="s">
        <v>55</v>
      </c>
      <c r="E83" s="8" t="n">
        <v>0.9</v>
      </c>
      <c r="F83" s="8" t="n">
        <v>3</v>
      </c>
      <c r="G83" s="8" t="n">
        <v>0.1</v>
      </c>
      <c r="H83" s="8" t="n">
        <v>3</v>
      </c>
    </row>
    <row r="84" customFormat="false" ht="18" hidden="false" customHeight="false" outlineLevel="0" collapsed="false">
      <c r="A84" s="8" t="n">
        <v>21</v>
      </c>
      <c r="B84" s="8" t="n">
        <v>2</v>
      </c>
      <c r="C84" s="8" t="s">
        <v>74</v>
      </c>
      <c r="D84" s="8" t="s">
        <v>75</v>
      </c>
      <c r="E84" s="8" t="n">
        <v>0.36</v>
      </c>
      <c r="F84" s="8" t="n">
        <v>2</v>
      </c>
      <c r="G84" s="8" t="n">
        <v>0.1</v>
      </c>
      <c r="H84" s="8" t="n">
        <v>3</v>
      </c>
    </row>
    <row r="85" customFormat="false" ht="18" hidden="false" customHeight="false" outlineLevel="0" collapsed="false">
      <c r="A85" s="8" t="n">
        <v>21</v>
      </c>
      <c r="B85" s="8" t="n">
        <v>3</v>
      </c>
      <c r="C85" s="8" t="s">
        <v>58</v>
      </c>
      <c r="D85" s="8" t="s">
        <v>59</v>
      </c>
      <c r="E85" s="8" t="n">
        <v>0.36</v>
      </c>
      <c r="F85" s="8" t="n">
        <v>2</v>
      </c>
      <c r="G85" s="8" t="n">
        <v>0.1</v>
      </c>
      <c r="H85" s="8" t="n">
        <v>3</v>
      </c>
    </row>
    <row r="86" customFormat="false" ht="18" hidden="false" customHeight="false" outlineLevel="0" collapsed="false">
      <c r="A86" s="8" t="n">
        <v>21</v>
      </c>
      <c r="B86" s="8" t="n">
        <v>4</v>
      </c>
      <c r="C86" s="8" t="s">
        <v>66</v>
      </c>
      <c r="D86" s="8" t="s">
        <v>67</v>
      </c>
      <c r="E86" s="8" t="n">
        <v>0.18</v>
      </c>
      <c r="F86" s="8" t="n">
        <v>1</v>
      </c>
      <c r="G86" s="8" t="n">
        <v>0.46</v>
      </c>
      <c r="H86" s="8" t="n">
        <v>2</v>
      </c>
    </row>
    <row r="87" customFormat="false" ht="18" hidden="false" customHeight="false" outlineLevel="0" collapsed="false">
      <c r="A87" s="8" t="n">
        <v>22</v>
      </c>
      <c r="B87" s="8" t="n">
        <v>1</v>
      </c>
      <c r="C87" s="8" t="s">
        <v>54</v>
      </c>
      <c r="D87" s="8" t="s">
        <v>55</v>
      </c>
      <c r="E87" s="8" t="n">
        <v>0.9</v>
      </c>
      <c r="F87" s="8" t="n">
        <v>3</v>
      </c>
      <c r="G87" s="8" t="n">
        <v>0.1</v>
      </c>
      <c r="H87" s="8" t="n">
        <v>3</v>
      </c>
    </row>
    <row r="88" customFormat="false" ht="18" hidden="false" customHeight="false" outlineLevel="0" collapsed="false">
      <c r="A88" s="8" t="n">
        <v>22</v>
      </c>
      <c r="B88" s="8" t="n">
        <v>2</v>
      </c>
      <c r="C88" s="8" t="s">
        <v>74</v>
      </c>
      <c r="D88" s="8" t="s">
        <v>75</v>
      </c>
      <c r="E88" s="8" t="n">
        <v>0.36</v>
      </c>
      <c r="F88" s="8" t="n">
        <v>2</v>
      </c>
      <c r="G88" s="8" t="n">
        <v>0.1</v>
      </c>
      <c r="H88" s="8" t="n">
        <v>3</v>
      </c>
    </row>
    <row r="89" customFormat="false" ht="18" hidden="false" customHeight="false" outlineLevel="0" collapsed="false">
      <c r="A89" s="8" t="n">
        <v>22</v>
      </c>
      <c r="B89" s="8" t="n">
        <v>3</v>
      </c>
      <c r="C89" s="8" t="s">
        <v>68</v>
      </c>
      <c r="D89" s="8" t="s">
        <v>69</v>
      </c>
      <c r="E89" s="8" t="n">
        <v>0.36</v>
      </c>
      <c r="F89" s="8" t="n">
        <v>2</v>
      </c>
      <c r="G89" s="8" t="n">
        <v>0.1</v>
      </c>
      <c r="H89" s="8" t="n">
        <v>3</v>
      </c>
    </row>
    <row r="90" customFormat="false" ht="18" hidden="false" customHeight="false" outlineLevel="0" collapsed="false">
      <c r="A90" s="8" t="n">
        <v>22</v>
      </c>
      <c r="B90" s="8" t="n">
        <v>4</v>
      </c>
      <c r="C90" s="8" t="s">
        <v>60</v>
      </c>
      <c r="D90" s="8" t="s">
        <v>61</v>
      </c>
      <c r="E90" s="8" t="n">
        <v>0.18</v>
      </c>
      <c r="F90" s="8" t="n">
        <v>1</v>
      </c>
      <c r="G90" s="8" t="n">
        <v>0.46</v>
      </c>
      <c r="H90" s="8" t="n">
        <v>2</v>
      </c>
    </row>
    <row r="91" customFormat="false" ht="18" hidden="false" customHeight="false" outlineLevel="0" collapsed="false">
      <c r="A91" s="8" t="n">
        <v>23</v>
      </c>
      <c r="B91" s="8" t="n">
        <v>1</v>
      </c>
      <c r="C91" s="8" t="s">
        <v>54</v>
      </c>
      <c r="D91" s="8" t="s">
        <v>55</v>
      </c>
      <c r="E91" s="8" t="n">
        <v>0.9</v>
      </c>
      <c r="F91" s="8" t="n">
        <v>3</v>
      </c>
      <c r="G91" s="8" t="n">
        <v>0.1</v>
      </c>
      <c r="H91" s="8" t="n">
        <v>3</v>
      </c>
    </row>
    <row r="92" customFormat="false" ht="18" hidden="false" customHeight="false" outlineLevel="0" collapsed="false">
      <c r="A92" s="8" t="n">
        <v>23</v>
      </c>
      <c r="B92" s="8" t="n">
        <v>2</v>
      </c>
      <c r="C92" s="8" t="s">
        <v>74</v>
      </c>
      <c r="D92" s="8" t="s">
        <v>75</v>
      </c>
      <c r="E92" s="8" t="n">
        <v>0.36</v>
      </c>
      <c r="F92" s="8" t="n">
        <v>2</v>
      </c>
      <c r="G92" s="8" t="n">
        <v>0.1</v>
      </c>
      <c r="H92" s="8" t="n">
        <v>3</v>
      </c>
    </row>
    <row r="93" customFormat="false" ht="18" hidden="false" customHeight="false" outlineLevel="0" collapsed="false">
      <c r="A93" s="8" t="n">
        <v>23</v>
      </c>
      <c r="B93" s="8" t="n">
        <v>3</v>
      </c>
      <c r="C93" s="8" t="s">
        <v>68</v>
      </c>
      <c r="D93" s="8" t="s">
        <v>69</v>
      </c>
      <c r="E93" s="8" t="n">
        <v>0.36</v>
      </c>
      <c r="F93" s="8" t="n">
        <v>2</v>
      </c>
      <c r="G93" s="8" t="n">
        <v>0.1</v>
      </c>
      <c r="H93" s="8" t="n">
        <v>3</v>
      </c>
    </row>
    <row r="94" customFormat="false" ht="18" hidden="false" customHeight="false" outlineLevel="0" collapsed="false">
      <c r="A94" s="8" t="n">
        <v>23</v>
      </c>
      <c r="B94" s="8" t="n">
        <v>4</v>
      </c>
      <c r="C94" s="8" t="s">
        <v>62</v>
      </c>
      <c r="D94" s="8" t="s">
        <v>63</v>
      </c>
      <c r="E94" s="8" t="n">
        <v>0.72</v>
      </c>
      <c r="F94" s="8" t="n">
        <v>3</v>
      </c>
      <c r="G94" s="8" t="n">
        <v>0.46</v>
      </c>
      <c r="H94" s="8" t="n">
        <v>2</v>
      </c>
    </row>
    <row r="95" customFormat="false" ht="18" hidden="false" customHeight="false" outlineLevel="0" collapsed="false">
      <c r="A95" s="8" t="n">
        <v>24</v>
      </c>
      <c r="B95" s="8" t="n">
        <v>1</v>
      </c>
      <c r="C95" s="8" t="s">
        <v>54</v>
      </c>
      <c r="D95" s="8" t="s">
        <v>55</v>
      </c>
      <c r="E95" s="8" t="n">
        <v>0.9</v>
      </c>
      <c r="F95" s="8" t="n">
        <v>3</v>
      </c>
      <c r="G95" s="8" t="n">
        <v>0.1</v>
      </c>
      <c r="H95" s="8" t="n">
        <v>3</v>
      </c>
    </row>
    <row r="96" customFormat="false" ht="18" hidden="false" customHeight="false" outlineLevel="0" collapsed="false">
      <c r="A96" s="8" t="n">
        <v>24</v>
      </c>
      <c r="B96" s="8" t="n">
        <v>2</v>
      </c>
      <c r="C96" s="8" t="s">
        <v>74</v>
      </c>
      <c r="D96" s="8" t="s">
        <v>75</v>
      </c>
      <c r="E96" s="8" t="n">
        <v>0.36</v>
      </c>
      <c r="F96" s="8" t="n">
        <v>2</v>
      </c>
      <c r="G96" s="8" t="n">
        <v>0.1</v>
      </c>
      <c r="H96" s="8" t="n">
        <v>3</v>
      </c>
    </row>
    <row r="97" customFormat="false" ht="18" hidden="false" customHeight="false" outlineLevel="0" collapsed="false">
      <c r="A97" s="8" t="n">
        <v>24</v>
      </c>
      <c r="B97" s="8" t="n">
        <v>3</v>
      </c>
      <c r="C97" s="8" t="s">
        <v>68</v>
      </c>
      <c r="D97" s="8" t="s">
        <v>69</v>
      </c>
      <c r="E97" s="8" t="n">
        <v>0.36</v>
      </c>
      <c r="F97" s="8" t="n">
        <v>2</v>
      </c>
      <c r="G97" s="8" t="n">
        <v>0.1</v>
      </c>
      <c r="H97" s="8" t="n">
        <v>3</v>
      </c>
    </row>
    <row r="98" customFormat="false" ht="18" hidden="false" customHeight="false" outlineLevel="0" collapsed="false">
      <c r="A98" s="8" t="n">
        <v>24</v>
      </c>
      <c r="B98" s="8" t="n">
        <v>4</v>
      </c>
      <c r="C98" s="8" t="s">
        <v>64</v>
      </c>
      <c r="D98" s="8" t="s">
        <v>65</v>
      </c>
      <c r="E98" s="8" t="n">
        <v>0.9</v>
      </c>
      <c r="F98" s="8" t="n">
        <v>3</v>
      </c>
      <c r="G98" s="8" t="n">
        <v>0.1</v>
      </c>
      <c r="H98" s="8" t="n">
        <v>3</v>
      </c>
    </row>
    <row r="99" customFormat="false" ht="18" hidden="false" customHeight="false" outlineLevel="0" collapsed="false">
      <c r="A99" s="8" t="n">
        <v>25</v>
      </c>
      <c r="B99" s="8" t="n">
        <v>1</v>
      </c>
      <c r="C99" s="8" t="s">
        <v>54</v>
      </c>
      <c r="D99" s="8" t="s">
        <v>55</v>
      </c>
      <c r="E99" s="8" t="n">
        <v>0.9</v>
      </c>
      <c r="F99" s="8" t="n">
        <v>3</v>
      </c>
      <c r="G99" s="8" t="n">
        <v>0.1</v>
      </c>
      <c r="H99" s="8" t="n">
        <v>3</v>
      </c>
    </row>
    <row r="100" customFormat="false" ht="18" hidden="false" customHeight="false" outlineLevel="0" collapsed="false">
      <c r="A100" s="8" t="n">
        <v>25</v>
      </c>
      <c r="B100" s="8" t="n">
        <v>2</v>
      </c>
      <c r="C100" s="8" t="s">
        <v>74</v>
      </c>
      <c r="D100" s="8" t="s">
        <v>75</v>
      </c>
      <c r="E100" s="8" t="n">
        <v>0.36</v>
      </c>
      <c r="F100" s="8" t="n">
        <v>2</v>
      </c>
      <c r="G100" s="8" t="n">
        <v>0.1</v>
      </c>
      <c r="H100" s="8" t="n">
        <v>3</v>
      </c>
    </row>
    <row r="101" customFormat="false" ht="18" hidden="false" customHeight="false" outlineLevel="0" collapsed="false">
      <c r="A101" s="8" t="n">
        <v>25</v>
      </c>
      <c r="B101" s="8" t="n">
        <v>3</v>
      </c>
      <c r="C101" s="8" t="s">
        <v>68</v>
      </c>
      <c r="D101" s="8" t="s">
        <v>69</v>
      </c>
      <c r="E101" s="8" t="n">
        <v>0.36</v>
      </c>
      <c r="F101" s="8" t="n">
        <v>2</v>
      </c>
      <c r="G101" s="8" t="n">
        <v>0.1</v>
      </c>
      <c r="H101" s="8" t="n">
        <v>3</v>
      </c>
    </row>
    <row r="102" customFormat="false" ht="18" hidden="false" customHeight="false" outlineLevel="0" collapsed="false">
      <c r="A102" s="8" t="n">
        <v>25</v>
      </c>
      <c r="B102" s="8" t="n">
        <v>4</v>
      </c>
      <c r="C102" s="8" t="s">
        <v>66</v>
      </c>
      <c r="D102" s="8" t="s">
        <v>67</v>
      </c>
      <c r="E102" s="8" t="n">
        <v>0.18</v>
      </c>
      <c r="F102" s="8" t="n">
        <v>1</v>
      </c>
      <c r="G102" s="8" t="n">
        <v>0.46</v>
      </c>
      <c r="H102" s="8" t="n">
        <v>2</v>
      </c>
    </row>
    <row r="103" customFormat="false" ht="18" hidden="false" customHeight="false" outlineLevel="0" collapsed="false">
      <c r="A103" s="8" t="n">
        <v>26</v>
      </c>
      <c r="B103" s="8" t="n">
        <v>1</v>
      </c>
      <c r="C103" s="8" t="s">
        <v>54</v>
      </c>
      <c r="D103" s="8" t="s">
        <v>55</v>
      </c>
      <c r="E103" s="8" t="n">
        <v>0.9</v>
      </c>
      <c r="F103" s="8" t="n">
        <v>3</v>
      </c>
      <c r="G103" s="8" t="n">
        <v>0.1</v>
      </c>
      <c r="H103" s="8" t="n">
        <v>3</v>
      </c>
    </row>
    <row r="104" customFormat="false" ht="18" hidden="false" customHeight="false" outlineLevel="0" collapsed="false">
      <c r="A104" s="8" t="n">
        <v>26</v>
      </c>
      <c r="B104" s="8" t="n">
        <v>2</v>
      </c>
      <c r="C104" s="8" t="s">
        <v>74</v>
      </c>
      <c r="D104" s="8" t="s">
        <v>75</v>
      </c>
      <c r="E104" s="8" t="n">
        <v>0.36</v>
      </c>
      <c r="F104" s="8" t="n">
        <v>2</v>
      </c>
      <c r="G104" s="8" t="n">
        <v>0.1</v>
      </c>
      <c r="H104" s="8" t="n">
        <v>3</v>
      </c>
    </row>
    <row r="105" customFormat="false" ht="18" hidden="false" customHeight="false" outlineLevel="0" collapsed="false">
      <c r="A105" s="8" t="n">
        <v>26</v>
      </c>
      <c r="B105" s="8" t="n">
        <v>3</v>
      </c>
      <c r="C105" s="8" t="s">
        <v>70</v>
      </c>
      <c r="D105" s="8" t="s">
        <v>71</v>
      </c>
      <c r="E105" s="8" t="n">
        <v>0.36</v>
      </c>
      <c r="F105" s="8" t="n">
        <v>2</v>
      </c>
      <c r="G105" s="8" t="n">
        <v>0.1</v>
      </c>
      <c r="H105" s="8" t="n">
        <v>3</v>
      </c>
    </row>
    <row r="106" customFormat="false" ht="18" hidden="false" customHeight="false" outlineLevel="0" collapsed="false">
      <c r="A106" s="8" t="n">
        <v>26</v>
      </c>
      <c r="B106" s="8" t="n">
        <v>4</v>
      </c>
      <c r="C106" s="8" t="s">
        <v>60</v>
      </c>
      <c r="D106" s="8" t="s">
        <v>61</v>
      </c>
      <c r="E106" s="8" t="n">
        <v>0.18</v>
      </c>
      <c r="F106" s="8" t="n">
        <v>1</v>
      </c>
      <c r="G106" s="8" t="n">
        <v>0.46</v>
      </c>
      <c r="H106" s="8" t="n">
        <v>2</v>
      </c>
    </row>
    <row r="107" customFormat="false" ht="18" hidden="false" customHeight="false" outlineLevel="0" collapsed="false">
      <c r="A107" s="8" t="n">
        <v>27</v>
      </c>
      <c r="B107" s="8" t="n">
        <v>1</v>
      </c>
      <c r="C107" s="8" t="s">
        <v>54</v>
      </c>
      <c r="D107" s="8" t="s">
        <v>55</v>
      </c>
      <c r="E107" s="8" t="n">
        <v>0.9</v>
      </c>
      <c r="F107" s="8" t="n">
        <v>3</v>
      </c>
      <c r="G107" s="8" t="n">
        <v>0.1</v>
      </c>
      <c r="H107" s="8" t="n">
        <v>3</v>
      </c>
    </row>
    <row r="108" customFormat="false" ht="18" hidden="false" customHeight="false" outlineLevel="0" collapsed="false">
      <c r="A108" s="8" t="n">
        <v>27</v>
      </c>
      <c r="B108" s="8" t="n">
        <v>2</v>
      </c>
      <c r="C108" s="8" t="s">
        <v>74</v>
      </c>
      <c r="D108" s="8" t="s">
        <v>75</v>
      </c>
      <c r="E108" s="8" t="n">
        <v>0.36</v>
      </c>
      <c r="F108" s="8" t="n">
        <v>2</v>
      </c>
      <c r="G108" s="8" t="n">
        <v>0.1</v>
      </c>
      <c r="H108" s="8" t="n">
        <v>3</v>
      </c>
    </row>
    <row r="109" customFormat="false" ht="18" hidden="false" customHeight="false" outlineLevel="0" collapsed="false">
      <c r="A109" s="8" t="n">
        <v>27</v>
      </c>
      <c r="B109" s="8" t="n">
        <v>3</v>
      </c>
      <c r="C109" s="8" t="s">
        <v>70</v>
      </c>
      <c r="D109" s="8" t="s">
        <v>71</v>
      </c>
      <c r="E109" s="8" t="n">
        <v>0.36</v>
      </c>
      <c r="F109" s="8" t="n">
        <v>2</v>
      </c>
      <c r="G109" s="8" t="n">
        <v>0.1</v>
      </c>
      <c r="H109" s="8" t="n">
        <v>3</v>
      </c>
    </row>
    <row r="110" customFormat="false" ht="18" hidden="false" customHeight="false" outlineLevel="0" collapsed="false">
      <c r="A110" s="8" t="n">
        <v>27</v>
      </c>
      <c r="B110" s="8" t="n">
        <v>4</v>
      </c>
      <c r="C110" s="8" t="s">
        <v>62</v>
      </c>
      <c r="D110" s="8" t="s">
        <v>63</v>
      </c>
      <c r="E110" s="8" t="n">
        <v>0.72</v>
      </c>
      <c r="F110" s="8" t="n">
        <v>3</v>
      </c>
      <c r="G110" s="8" t="n">
        <v>0.46</v>
      </c>
      <c r="H110" s="8" t="n">
        <v>2</v>
      </c>
    </row>
    <row r="111" customFormat="false" ht="18" hidden="false" customHeight="false" outlineLevel="0" collapsed="false">
      <c r="A111" s="8" t="n">
        <v>28</v>
      </c>
      <c r="B111" s="8" t="n">
        <v>1</v>
      </c>
      <c r="C111" s="8" t="s">
        <v>54</v>
      </c>
      <c r="D111" s="8" t="s">
        <v>55</v>
      </c>
      <c r="E111" s="8" t="n">
        <v>0.9</v>
      </c>
      <c r="F111" s="8" t="n">
        <v>3</v>
      </c>
      <c r="G111" s="8" t="n">
        <v>0.1</v>
      </c>
      <c r="H111" s="8" t="n">
        <v>3</v>
      </c>
    </row>
    <row r="112" customFormat="false" ht="18" hidden="false" customHeight="false" outlineLevel="0" collapsed="false">
      <c r="A112" s="8" t="n">
        <v>28</v>
      </c>
      <c r="B112" s="8" t="n">
        <v>2</v>
      </c>
      <c r="C112" s="8" t="s">
        <v>74</v>
      </c>
      <c r="D112" s="8" t="s">
        <v>75</v>
      </c>
      <c r="E112" s="8" t="n">
        <v>0.36</v>
      </c>
      <c r="F112" s="8" t="n">
        <v>2</v>
      </c>
      <c r="G112" s="8" t="n">
        <v>0.1</v>
      </c>
      <c r="H112" s="8" t="n">
        <v>3</v>
      </c>
    </row>
    <row r="113" customFormat="false" ht="18" hidden="false" customHeight="false" outlineLevel="0" collapsed="false">
      <c r="A113" s="8" t="n">
        <v>28</v>
      </c>
      <c r="B113" s="8" t="n">
        <v>3</v>
      </c>
      <c r="C113" s="8" t="s">
        <v>70</v>
      </c>
      <c r="D113" s="8" t="s">
        <v>71</v>
      </c>
      <c r="E113" s="8" t="n">
        <v>0.36</v>
      </c>
      <c r="F113" s="8" t="n">
        <v>2</v>
      </c>
      <c r="G113" s="8" t="n">
        <v>0.1</v>
      </c>
      <c r="H113" s="8" t="n">
        <v>3</v>
      </c>
    </row>
    <row r="114" customFormat="false" ht="18" hidden="false" customHeight="false" outlineLevel="0" collapsed="false">
      <c r="A114" s="8" t="n">
        <v>28</v>
      </c>
      <c r="B114" s="8" t="n">
        <v>4</v>
      </c>
      <c r="C114" s="8" t="s">
        <v>64</v>
      </c>
      <c r="D114" s="8" t="s">
        <v>65</v>
      </c>
      <c r="E114" s="8" t="n">
        <v>0.9</v>
      </c>
      <c r="F114" s="8" t="n">
        <v>3</v>
      </c>
      <c r="G114" s="8" t="n">
        <v>0.1</v>
      </c>
      <c r="H114" s="8" t="n">
        <v>3</v>
      </c>
    </row>
    <row r="115" customFormat="false" ht="18" hidden="false" customHeight="false" outlineLevel="0" collapsed="false">
      <c r="A115" s="8" t="n">
        <v>29</v>
      </c>
      <c r="B115" s="8" t="n">
        <v>1</v>
      </c>
      <c r="C115" s="8" t="s">
        <v>54</v>
      </c>
      <c r="D115" s="8" t="s">
        <v>55</v>
      </c>
      <c r="E115" s="8" t="n">
        <v>0.9</v>
      </c>
      <c r="F115" s="8" t="n">
        <v>3</v>
      </c>
      <c r="G115" s="8" t="n">
        <v>0.1</v>
      </c>
      <c r="H115" s="8" t="n">
        <v>3</v>
      </c>
    </row>
    <row r="116" customFormat="false" ht="18" hidden="false" customHeight="false" outlineLevel="0" collapsed="false">
      <c r="A116" s="8" t="n">
        <v>29</v>
      </c>
      <c r="B116" s="8" t="n">
        <v>2</v>
      </c>
      <c r="C116" s="8" t="s">
        <v>74</v>
      </c>
      <c r="D116" s="8" t="s">
        <v>75</v>
      </c>
      <c r="E116" s="8" t="n">
        <v>0.36</v>
      </c>
      <c r="F116" s="8" t="n">
        <v>2</v>
      </c>
      <c r="G116" s="8" t="n">
        <v>0.1</v>
      </c>
      <c r="H116" s="8" t="n">
        <v>3</v>
      </c>
    </row>
    <row r="117" customFormat="false" ht="18" hidden="false" customHeight="false" outlineLevel="0" collapsed="false">
      <c r="A117" s="8" t="n">
        <v>29</v>
      </c>
      <c r="B117" s="8" t="n">
        <v>3</v>
      </c>
      <c r="C117" s="8" t="s">
        <v>70</v>
      </c>
      <c r="D117" s="8" t="s">
        <v>71</v>
      </c>
      <c r="E117" s="8" t="n">
        <v>0.36</v>
      </c>
      <c r="F117" s="8" t="n">
        <v>2</v>
      </c>
      <c r="G117" s="8" t="n">
        <v>0.1</v>
      </c>
      <c r="H117" s="8" t="n">
        <v>3</v>
      </c>
    </row>
    <row r="118" customFormat="false" ht="18" hidden="false" customHeight="false" outlineLevel="0" collapsed="false">
      <c r="A118" s="8" t="n">
        <v>29</v>
      </c>
      <c r="B118" s="8" t="n">
        <v>4</v>
      </c>
      <c r="C118" s="8" t="s">
        <v>66</v>
      </c>
      <c r="D118" s="8" t="s">
        <v>67</v>
      </c>
      <c r="E118" s="8" t="n">
        <v>0.18</v>
      </c>
      <c r="F118" s="8" t="n">
        <v>1</v>
      </c>
      <c r="G118" s="8" t="n">
        <v>0.46</v>
      </c>
      <c r="H118" s="8" t="n">
        <v>2</v>
      </c>
    </row>
    <row r="119" customFormat="false" ht="18" hidden="false" customHeight="false" outlineLevel="0" collapsed="false">
      <c r="A119" s="8" t="n">
        <v>30</v>
      </c>
      <c r="B119" s="8" t="n">
        <v>1</v>
      </c>
      <c r="C119" s="8" t="s">
        <v>54</v>
      </c>
      <c r="D119" s="8" t="s">
        <v>55</v>
      </c>
      <c r="E119" s="8" t="n">
        <v>0.9</v>
      </c>
      <c r="F119" s="8" t="n">
        <v>3</v>
      </c>
      <c r="G119" s="8" t="n">
        <v>0.1</v>
      </c>
      <c r="H119" s="8" t="n">
        <v>3</v>
      </c>
    </row>
    <row r="120" customFormat="false" ht="18" hidden="false" customHeight="false" outlineLevel="0" collapsed="false">
      <c r="A120" s="8" t="n">
        <v>30</v>
      </c>
      <c r="B120" s="8" t="n">
        <v>2</v>
      </c>
      <c r="C120" s="8" t="s">
        <v>74</v>
      </c>
      <c r="D120" s="8" t="s">
        <v>75</v>
      </c>
      <c r="E120" s="8" t="n">
        <v>0.36</v>
      </c>
      <c r="F120" s="8" t="n">
        <v>2</v>
      </c>
      <c r="G120" s="8" t="n">
        <v>0.1</v>
      </c>
      <c r="H120" s="8" t="n">
        <v>3</v>
      </c>
    </row>
    <row r="121" customFormat="false" ht="18" hidden="false" customHeight="false" outlineLevel="0" collapsed="false">
      <c r="A121" s="8" t="n">
        <v>30</v>
      </c>
      <c r="B121" s="8" t="n">
        <v>3</v>
      </c>
      <c r="C121" s="8" t="s">
        <v>72</v>
      </c>
      <c r="D121" s="8" t="s">
        <v>73</v>
      </c>
      <c r="E121" s="8" t="n">
        <v>0.36</v>
      </c>
      <c r="F121" s="8" t="n">
        <v>2</v>
      </c>
      <c r="G121" s="8" t="n">
        <v>0.1</v>
      </c>
      <c r="H121" s="8" t="n">
        <v>3</v>
      </c>
    </row>
    <row r="122" customFormat="false" ht="18" hidden="false" customHeight="false" outlineLevel="0" collapsed="false">
      <c r="A122" s="8" t="n">
        <v>30</v>
      </c>
      <c r="B122" s="8" t="n">
        <v>4</v>
      </c>
      <c r="C122" s="8" t="s">
        <v>60</v>
      </c>
      <c r="D122" s="8" t="s">
        <v>61</v>
      </c>
      <c r="E122" s="8" t="n">
        <v>0.18</v>
      </c>
      <c r="F122" s="8" t="n">
        <v>1</v>
      </c>
      <c r="G122" s="8" t="n">
        <v>0.46</v>
      </c>
      <c r="H122" s="8" t="n">
        <v>2</v>
      </c>
    </row>
    <row r="123" customFormat="false" ht="18" hidden="false" customHeight="false" outlineLevel="0" collapsed="false">
      <c r="A123" s="8" t="n">
        <v>31</v>
      </c>
      <c r="B123" s="8" t="n">
        <v>1</v>
      </c>
      <c r="C123" s="8" t="s">
        <v>54</v>
      </c>
      <c r="D123" s="8" t="s">
        <v>55</v>
      </c>
      <c r="E123" s="8" t="n">
        <v>0.9</v>
      </c>
      <c r="F123" s="8" t="n">
        <v>3</v>
      </c>
      <c r="G123" s="8" t="n">
        <v>0.1</v>
      </c>
      <c r="H123" s="8" t="n">
        <v>3</v>
      </c>
    </row>
    <row r="124" customFormat="false" ht="18" hidden="false" customHeight="false" outlineLevel="0" collapsed="false">
      <c r="A124" s="8" t="n">
        <v>31</v>
      </c>
      <c r="B124" s="8" t="n">
        <v>2</v>
      </c>
      <c r="C124" s="8" t="s">
        <v>74</v>
      </c>
      <c r="D124" s="8" t="s">
        <v>75</v>
      </c>
      <c r="E124" s="8" t="n">
        <v>0.36</v>
      </c>
      <c r="F124" s="8" t="n">
        <v>2</v>
      </c>
      <c r="G124" s="8" t="n">
        <v>0.1</v>
      </c>
      <c r="H124" s="8" t="n">
        <v>3</v>
      </c>
    </row>
    <row r="125" customFormat="false" ht="18" hidden="false" customHeight="false" outlineLevel="0" collapsed="false">
      <c r="A125" s="8" t="n">
        <v>31</v>
      </c>
      <c r="B125" s="8" t="n">
        <v>3</v>
      </c>
      <c r="C125" s="8" t="s">
        <v>72</v>
      </c>
      <c r="D125" s="8" t="s">
        <v>73</v>
      </c>
      <c r="E125" s="8" t="n">
        <v>0.36</v>
      </c>
      <c r="F125" s="8" t="n">
        <v>2</v>
      </c>
      <c r="G125" s="8" t="n">
        <v>0.1</v>
      </c>
      <c r="H125" s="8" t="n">
        <v>3</v>
      </c>
    </row>
    <row r="126" customFormat="false" ht="18" hidden="false" customHeight="false" outlineLevel="0" collapsed="false">
      <c r="A126" s="8" t="n">
        <v>31</v>
      </c>
      <c r="B126" s="8" t="n">
        <v>4</v>
      </c>
      <c r="C126" s="8" t="s">
        <v>62</v>
      </c>
      <c r="D126" s="8" t="s">
        <v>63</v>
      </c>
      <c r="E126" s="8" t="n">
        <v>0.72</v>
      </c>
      <c r="F126" s="8" t="n">
        <v>3</v>
      </c>
      <c r="G126" s="8" t="n">
        <v>0.46</v>
      </c>
      <c r="H126" s="8" t="n">
        <v>2</v>
      </c>
    </row>
    <row r="127" customFormat="false" ht="18" hidden="false" customHeight="false" outlineLevel="0" collapsed="false">
      <c r="A127" s="8" t="n">
        <v>32</v>
      </c>
      <c r="B127" s="8" t="n">
        <v>1</v>
      </c>
      <c r="C127" s="8" t="s">
        <v>54</v>
      </c>
      <c r="D127" s="8" t="s">
        <v>55</v>
      </c>
      <c r="E127" s="8" t="n">
        <v>0.9</v>
      </c>
      <c r="F127" s="8" t="n">
        <v>3</v>
      </c>
      <c r="G127" s="8" t="n">
        <v>0.1</v>
      </c>
      <c r="H127" s="8" t="n">
        <v>3</v>
      </c>
    </row>
    <row r="128" customFormat="false" ht="18" hidden="false" customHeight="false" outlineLevel="0" collapsed="false">
      <c r="A128" s="8" t="n">
        <v>32</v>
      </c>
      <c r="B128" s="8" t="n">
        <v>2</v>
      </c>
      <c r="C128" s="8" t="s">
        <v>74</v>
      </c>
      <c r="D128" s="8" t="s">
        <v>75</v>
      </c>
      <c r="E128" s="8" t="n">
        <v>0.36</v>
      </c>
      <c r="F128" s="8" t="n">
        <v>2</v>
      </c>
      <c r="G128" s="8" t="n">
        <v>0.1</v>
      </c>
      <c r="H128" s="8" t="n">
        <v>3</v>
      </c>
    </row>
    <row r="129" customFormat="false" ht="18" hidden="false" customHeight="false" outlineLevel="0" collapsed="false">
      <c r="A129" s="8" t="n">
        <v>32</v>
      </c>
      <c r="B129" s="8" t="n">
        <v>3</v>
      </c>
      <c r="C129" s="8" t="s">
        <v>72</v>
      </c>
      <c r="D129" s="8" t="s">
        <v>73</v>
      </c>
      <c r="E129" s="8" t="n">
        <v>0.36</v>
      </c>
      <c r="F129" s="8" t="n">
        <v>2</v>
      </c>
      <c r="G129" s="8" t="n">
        <v>0.1</v>
      </c>
      <c r="H129" s="8" t="n">
        <v>3</v>
      </c>
    </row>
    <row r="130" customFormat="false" ht="18" hidden="false" customHeight="false" outlineLevel="0" collapsed="false">
      <c r="A130" s="8" t="n">
        <v>32</v>
      </c>
      <c r="B130" s="8" t="n">
        <v>4</v>
      </c>
      <c r="C130" s="8" t="s">
        <v>64</v>
      </c>
      <c r="D130" s="8" t="s">
        <v>65</v>
      </c>
      <c r="E130" s="8" t="n">
        <v>0.9</v>
      </c>
      <c r="F130" s="8" t="n">
        <v>3</v>
      </c>
      <c r="G130" s="8" t="n">
        <v>0.1</v>
      </c>
      <c r="H130" s="8" t="n">
        <v>3</v>
      </c>
    </row>
    <row r="131" customFormat="false" ht="18" hidden="false" customHeight="false" outlineLevel="0" collapsed="false">
      <c r="A131" s="8" t="n">
        <v>33</v>
      </c>
      <c r="B131" s="8" t="n">
        <v>1</v>
      </c>
      <c r="C131" s="8" t="s">
        <v>54</v>
      </c>
      <c r="D131" s="8" t="s">
        <v>55</v>
      </c>
      <c r="E131" s="8" t="n">
        <v>0.9</v>
      </c>
      <c r="F131" s="8" t="n">
        <v>3</v>
      </c>
      <c r="G131" s="8" t="n">
        <v>0.1</v>
      </c>
      <c r="H131" s="8" t="n">
        <v>3</v>
      </c>
    </row>
    <row r="132" customFormat="false" ht="18" hidden="false" customHeight="false" outlineLevel="0" collapsed="false">
      <c r="A132" s="8" t="n">
        <v>33</v>
      </c>
      <c r="B132" s="8" t="n">
        <v>2</v>
      </c>
      <c r="C132" s="8" t="s">
        <v>74</v>
      </c>
      <c r="D132" s="8" t="s">
        <v>75</v>
      </c>
      <c r="E132" s="8" t="n">
        <v>0.36</v>
      </c>
      <c r="F132" s="8" t="n">
        <v>2</v>
      </c>
      <c r="G132" s="8" t="n">
        <v>0.1</v>
      </c>
      <c r="H132" s="8" t="n">
        <v>3</v>
      </c>
    </row>
    <row r="133" customFormat="false" ht="18" hidden="false" customHeight="false" outlineLevel="0" collapsed="false">
      <c r="A133" s="8" t="n">
        <v>33</v>
      </c>
      <c r="B133" s="8" t="n">
        <v>3</v>
      </c>
      <c r="C133" s="8" t="s">
        <v>72</v>
      </c>
      <c r="D133" s="8" t="s">
        <v>73</v>
      </c>
      <c r="E133" s="8" t="n">
        <v>0.36</v>
      </c>
      <c r="F133" s="8" t="n">
        <v>2</v>
      </c>
      <c r="G133" s="8" t="n">
        <v>0.1</v>
      </c>
      <c r="H133" s="8" t="n">
        <v>3</v>
      </c>
    </row>
    <row r="134" customFormat="false" ht="18" hidden="false" customHeight="false" outlineLevel="0" collapsed="false">
      <c r="A134" s="8" t="n">
        <v>33</v>
      </c>
      <c r="B134" s="8" t="n">
        <v>4</v>
      </c>
      <c r="C134" s="8" t="s">
        <v>66</v>
      </c>
      <c r="D134" s="8" t="s">
        <v>67</v>
      </c>
      <c r="E134" s="8" t="n">
        <v>0.18</v>
      </c>
      <c r="F134" s="8" t="n">
        <v>1</v>
      </c>
      <c r="G134" s="8" t="n">
        <v>0.46</v>
      </c>
      <c r="H134" s="8" t="n">
        <v>2</v>
      </c>
    </row>
    <row r="135" customFormat="false" ht="18" hidden="false" customHeight="false" outlineLevel="0" collapsed="false">
      <c r="A135" s="8" t="n">
        <v>34</v>
      </c>
      <c r="B135" s="8" t="n">
        <v>1</v>
      </c>
      <c r="C135" s="8" t="s">
        <v>54</v>
      </c>
      <c r="D135" s="8" t="s">
        <v>55</v>
      </c>
      <c r="E135" s="8" t="n">
        <v>0.9</v>
      </c>
      <c r="F135" s="8" t="n">
        <v>3</v>
      </c>
      <c r="G135" s="8" t="n">
        <v>0.1</v>
      </c>
      <c r="H135" s="8" t="n">
        <v>3</v>
      </c>
    </row>
    <row r="136" customFormat="false" ht="18" hidden="false" customHeight="false" outlineLevel="0" collapsed="false">
      <c r="A136" s="8" t="n">
        <v>34</v>
      </c>
      <c r="B136" s="8" t="n">
        <v>2</v>
      </c>
      <c r="C136" s="8" t="s">
        <v>76</v>
      </c>
      <c r="D136" s="8" t="s">
        <v>77</v>
      </c>
      <c r="E136" s="8" t="n">
        <v>0.18</v>
      </c>
      <c r="F136" s="8" t="n">
        <v>1</v>
      </c>
      <c r="G136" s="8" t="n">
        <v>0.46</v>
      </c>
      <c r="H136" s="8" t="n">
        <v>2</v>
      </c>
    </row>
    <row r="137" customFormat="false" ht="18" hidden="false" customHeight="false" outlineLevel="0" collapsed="false">
      <c r="A137" s="8" t="n">
        <v>34</v>
      </c>
      <c r="B137" s="8" t="n">
        <v>3</v>
      </c>
      <c r="C137" s="8" t="s">
        <v>58</v>
      </c>
      <c r="D137" s="8" t="s">
        <v>59</v>
      </c>
      <c r="E137" s="8" t="n">
        <v>0.36</v>
      </c>
      <c r="F137" s="8" t="n">
        <v>2</v>
      </c>
      <c r="G137" s="8" t="n">
        <v>0.1</v>
      </c>
      <c r="H137" s="8" t="n">
        <v>3</v>
      </c>
    </row>
    <row r="138" customFormat="false" ht="18" hidden="false" customHeight="false" outlineLevel="0" collapsed="false">
      <c r="A138" s="8" t="n">
        <v>34</v>
      </c>
      <c r="B138" s="8" t="n">
        <v>4</v>
      </c>
      <c r="C138" s="8" t="s">
        <v>60</v>
      </c>
      <c r="D138" s="8" t="s">
        <v>61</v>
      </c>
      <c r="E138" s="8" t="n">
        <v>0.18</v>
      </c>
      <c r="F138" s="8" t="n">
        <v>1</v>
      </c>
      <c r="G138" s="8" t="n">
        <v>0.46</v>
      </c>
      <c r="H138" s="8" t="n">
        <v>2</v>
      </c>
    </row>
    <row r="139" customFormat="false" ht="18" hidden="false" customHeight="false" outlineLevel="0" collapsed="false">
      <c r="A139" s="8" t="n">
        <v>35</v>
      </c>
      <c r="B139" s="8" t="n">
        <v>1</v>
      </c>
      <c r="C139" s="8" t="s">
        <v>54</v>
      </c>
      <c r="D139" s="8" t="s">
        <v>55</v>
      </c>
      <c r="E139" s="8" t="n">
        <v>0.9</v>
      </c>
      <c r="F139" s="8" t="n">
        <v>3</v>
      </c>
      <c r="G139" s="8" t="n">
        <v>0.1</v>
      </c>
      <c r="H139" s="8" t="n">
        <v>3</v>
      </c>
    </row>
    <row r="140" customFormat="false" ht="18" hidden="false" customHeight="false" outlineLevel="0" collapsed="false">
      <c r="A140" s="8" t="n">
        <v>35</v>
      </c>
      <c r="B140" s="8" t="n">
        <v>2</v>
      </c>
      <c r="C140" s="8" t="s">
        <v>76</v>
      </c>
      <c r="D140" s="8" t="s">
        <v>77</v>
      </c>
      <c r="E140" s="8" t="n">
        <v>0.18</v>
      </c>
      <c r="F140" s="8" t="n">
        <v>1</v>
      </c>
      <c r="G140" s="8" t="n">
        <v>0.46</v>
      </c>
      <c r="H140" s="8" t="n">
        <v>2</v>
      </c>
    </row>
    <row r="141" customFormat="false" ht="18" hidden="false" customHeight="false" outlineLevel="0" collapsed="false">
      <c r="A141" s="8" t="n">
        <v>35</v>
      </c>
      <c r="B141" s="8" t="n">
        <v>3</v>
      </c>
      <c r="C141" s="8" t="s">
        <v>58</v>
      </c>
      <c r="D141" s="8" t="s">
        <v>59</v>
      </c>
      <c r="E141" s="8" t="n">
        <v>0.36</v>
      </c>
      <c r="F141" s="8" t="n">
        <v>2</v>
      </c>
      <c r="G141" s="8" t="n">
        <v>0.1</v>
      </c>
      <c r="H141" s="8" t="n">
        <v>3</v>
      </c>
    </row>
    <row r="142" customFormat="false" ht="18" hidden="false" customHeight="false" outlineLevel="0" collapsed="false">
      <c r="A142" s="8" t="n">
        <v>35</v>
      </c>
      <c r="B142" s="8" t="n">
        <v>4</v>
      </c>
      <c r="C142" s="8" t="s">
        <v>62</v>
      </c>
      <c r="D142" s="8" t="s">
        <v>63</v>
      </c>
      <c r="E142" s="8" t="n">
        <v>0.72</v>
      </c>
      <c r="F142" s="8" t="n">
        <v>3</v>
      </c>
      <c r="G142" s="8" t="n">
        <v>0.46</v>
      </c>
      <c r="H142" s="8" t="n">
        <v>2</v>
      </c>
    </row>
    <row r="143" customFormat="false" ht="18" hidden="false" customHeight="false" outlineLevel="0" collapsed="false">
      <c r="A143" s="8" t="n">
        <v>36</v>
      </c>
      <c r="B143" s="8" t="n">
        <v>1</v>
      </c>
      <c r="C143" s="8" t="s">
        <v>54</v>
      </c>
      <c r="D143" s="8" t="s">
        <v>55</v>
      </c>
      <c r="E143" s="8" t="n">
        <v>0.9</v>
      </c>
      <c r="F143" s="8" t="n">
        <v>3</v>
      </c>
      <c r="G143" s="8" t="n">
        <v>0.1</v>
      </c>
      <c r="H143" s="8" t="n">
        <v>3</v>
      </c>
    </row>
    <row r="144" customFormat="false" ht="18" hidden="false" customHeight="false" outlineLevel="0" collapsed="false">
      <c r="A144" s="8" t="n">
        <v>36</v>
      </c>
      <c r="B144" s="8" t="n">
        <v>2</v>
      </c>
      <c r="C144" s="8" t="s">
        <v>76</v>
      </c>
      <c r="D144" s="8" t="s">
        <v>77</v>
      </c>
      <c r="E144" s="8" t="n">
        <v>0.18</v>
      </c>
      <c r="F144" s="8" t="n">
        <v>1</v>
      </c>
      <c r="G144" s="8" t="n">
        <v>0.46</v>
      </c>
      <c r="H144" s="8" t="n">
        <v>2</v>
      </c>
    </row>
    <row r="145" customFormat="false" ht="18" hidden="false" customHeight="false" outlineLevel="0" collapsed="false">
      <c r="A145" s="8" t="n">
        <v>36</v>
      </c>
      <c r="B145" s="8" t="n">
        <v>3</v>
      </c>
      <c r="C145" s="8" t="s">
        <v>58</v>
      </c>
      <c r="D145" s="8" t="s">
        <v>59</v>
      </c>
      <c r="E145" s="8" t="n">
        <v>0.36</v>
      </c>
      <c r="F145" s="8" t="n">
        <v>2</v>
      </c>
      <c r="G145" s="8" t="n">
        <v>0.1</v>
      </c>
      <c r="H145" s="8" t="n">
        <v>3</v>
      </c>
    </row>
    <row r="146" customFormat="false" ht="18" hidden="false" customHeight="false" outlineLevel="0" collapsed="false">
      <c r="A146" s="8" t="n">
        <v>36</v>
      </c>
      <c r="B146" s="8" t="n">
        <v>4</v>
      </c>
      <c r="C146" s="8" t="s">
        <v>64</v>
      </c>
      <c r="D146" s="8" t="s">
        <v>65</v>
      </c>
      <c r="E146" s="8" t="n">
        <v>0.9</v>
      </c>
      <c r="F146" s="8" t="n">
        <v>3</v>
      </c>
      <c r="G146" s="8" t="n">
        <v>0.1</v>
      </c>
      <c r="H146" s="8" t="n">
        <v>3</v>
      </c>
    </row>
    <row r="147" customFormat="false" ht="18" hidden="false" customHeight="false" outlineLevel="0" collapsed="false">
      <c r="A147" s="8" t="n">
        <v>37</v>
      </c>
      <c r="B147" s="8" t="n">
        <v>1</v>
      </c>
      <c r="C147" s="8" t="s">
        <v>54</v>
      </c>
      <c r="D147" s="8" t="s">
        <v>55</v>
      </c>
      <c r="E147" s="8" t="n">
        <v>0.9</v>
      </c>
      <c r="F147" s="8" t="n">
        <v>3</v>
      </c>
      <c r="G147" s="8" t="n">
        <v>0.1</v>
      </c>
      <c r="H147" s="8" t="n">
        <v>3</v>
      </c>
    </row>
    <row r="148" customFormat="false" ht="18" hidden="false" customHeight="false" outlineLevel="0" collapsed="false">
      <c r="A148" s="8" t="n">
        <v>37</v>
      </c>
      <c r="B148" s="8" t="n">
        <v>2</v>
      </c>
      <c r="C148" s="8" t="s">
        <v>76</v>
      </c>
      <c r="D148" s="8" t="s">
        <v>77</v>
      </c>
      <c r="E148" s="8" t="n">
        <v>0.18</v>
      </c>
      <c r="F148" s="8" t="n">
        <v>1</v>
      </c>
      <c r="G148" s="8" t="n">
        <v>0.46</v>
      </c>
      <c r="H148" s="8" t="n">
        <v>2</v>
      </c>
    </row>
    <row r="149" customFormat="false" ht="18" hidden="false" customHeight="false" outlineLevel="0" collapsed="false">
      <c r="A149" s="8" t="n">
        <v>37</v>
      </c>
      <c r="B149" s="8" t="n">
        <v>3</v>
      </c>
      <c r="C149" s="8" t="s">
        <v>58</v>
      </c>
      <c r="D149" s="8" t="s">
        <v>59</v>
      </c>
      <c r="E149" s="8" t="n">
        <v>0.36</v>
      </c>
      <c r="F149" s="8" t="n">
        <v>2</v>
      </c>
      <c r="G149" s="8" t="n">
        <v>0.1</v>
      </c>
      <c r="H149" s="8" t="n">
        <v>3</v>
      </c>
    </row>
    <row r="150" customFormat="false" ht="18" hidden="false" customHeight="false" outlineLevel="0" collapsed="false">
      <c r="A150" s="8" t="n">
        <v>37</v>
      </c>
      <c r="B150" s="8" t="n">
        <v>4</v>
      </c>
      <c r="C150" s="8" t="s">
        <v>66</v>
      </c>
      <c r="D150" s="8" t="s">
        <v>67</v>
      </c>
      <c r="E150" s="8" t="n">
        <v>0.18</v>
      </c>
      <c r="F150" s="8" t="n">
        <v>1</v>
      </c>
      <c r="G150" s="8" t="n">
        <v>0.46</v>
      </c>
      <c r="H150" s="8" t="n">
        <v>2</v>
      </c>
    </row>
    <row r="151" customFormat="false" ht="18" hidden="false" customHeight="false" outlineLevel="0" collapsed="false">
      <c r="A151" s="8" t="n">
        <v>38</v>
      </c>
      <c r="B151" s="8" t="n">
        <v>1</v>
      </c>
      <c r="C151" s="8" t="s">
        <v>54</v>
      </c>
      <c r="D151" s="8" t="s">
        <v>55</v>
      </c>
      <c r="E151" s="8" t="n">
        <v>0.9</v>
      </c>
      <c r="F151" s="8" t="n">
        <v>3</v>
      </c>
      <c r="G151" s="8" t="n">
        <v>0.1</v>
      </c>
      <c r="H151" s="8" t="n">
        <v>3</v>
      </c>
    </row>
    <row r="152" customFormat="false" ht="18" hidden="false" customHeight="false" outlineLevel="0" collapsed="false">
      <c r="A152" s="8" t="n">
        <v>38</v>
      </c>
      <c r="B152" s="8" t="n">
        <v>2</v>
      </c>
      <c r="C152" s="8" t="s">
        <v>76</v>
      </c>
      <c r="D152" s="8" t="s">
        <v>77</v>
      </c>
      <c r="E152" s="8" t="n">
        <v>0.18</v>
      </c>
      <c r="F152" s="8" t="n">
        <v>1</v>
      </c>
      <c r="G152" s="8" t="n">
        <v>0.46</v>
      </c>
      <c r="H152" s="8" t="n">
        <v>2</v>
      </c>
    </row>
    <row r="153" customFormat="false" ht="18" hidden="false" customHeight="false" outlineLevel="0" collapsed="false">
      <c r="A153" s="8" t="n">
        <v>38</v>
      </c>
      <c r="B153" s="8" t="n">
        <v>3</v>
      </c>
      <c r="C153" s="8" t="s">
        <v>68</v>
      </c>
      <c r="D153" s="8" t="s">
        <v>69</v>
      </c>
      <c r="E153" s="8" t="n">
        <v>0.36</v>
      </c>
      <c r="F153" s="8" t="n">
        <v>2</v>
      </c>
      <c r="G153" s="8" t="n">
        <v>0.1</v>
      </c>
      <c r="H153" s="8" t="n">
        <v>3</v>
      </c>
    </row>
    <row r="154" customFormat="false" ht="18" hidden="false" customHeight="false" outlineLevel="0" collapsed="false">
      <c r="A154" s="8" t="n">
        <v>38</v>
      </c>
      <c r="B154" s="8" t="n">
        <v>4</v>
      </c>
      <c r="C154" s="8" t="s">
        <v>60</v>
      </c>
      <c r="D154" s="8" t="s">
        <v>61</v>
      </c>
      <c r="E154" s="8" t="n">
        <v>0.18</v>
      </c>
      <c r="F154" s="8" t="n">
        <v>1</v>
      </c>
      <c r="G154" s="8" t="n">
        <v>0.46</v>
      </c>
      <c r="H154" s="8" t="n">
        <v>2</v>
      </c>
    </row>
    <row r="155" customFormat="false" ht="18" hidden="false" customHeight="false" outlineLevel="0" collapsed="false">
      <c r="A155" s="8" t="n">
        <v>39</v>
      </c>
      <c r="B155" s="8" t="n">
        <v>1</v>
      </c>
      <c r="C155" s="8" t="s">
        <v>54</v>
      </c>
      <c r="D155" s="8" t="s">
        <v>55</v>
      </c>
      <c r="E155" s="8" t="n">
        <v>0.9</v>
      </c>
      <c r="F155" s="8" t="n">
        <v>3</v>
      </c>
      <c r="G155" s="8" t="n">
        <v>0.1</v>
      </c>
      <c r="H155" s="8" t="n">
        <v>3</v>
      </c>
    </row>
    <row r="156" customFormat="false" ht="18" hidden="false" customHeight="false" outlineLevel="0" collapsed="false">
      <c r="A156" s="8" t="n">
        <v>39</v>
      </c>
      <c r="B156" s="8" t="n">
        <v>2</v>
      </c>
      <c r="C156" s="8" t="s">
        <v>76</v>
      </c>
      <c r="D156" s="8" t="s">
        <v>77</v>
      </c>
      <c r="E156" s="8" t="n">
        <v>0.18</v>
      </c>
      <c r="F156" s="8" t="n">
        <v>1</v>
      </c>
      <c r="G156" s="8" t="n">
        <v>0.46</v>
      </c>
      <c r="H156" s="8" t="n">
        <v>2</v>
      </c>
    </row>
    <row r="157" customFormat="false" ht="18" hidden="false" customHeight="false" outlineLevel="0" collapsed="false">
      <c r="A157" s="8" t="n">
        <v>39</v>
      </c>
      <c r="B157" s="8" t="n">
        <v>3</v>
      </c>
      <c r="C157" s="8" t="s">
        <v>68</v>
      </c>
      <c r="D157" s="8" t="s">
        <v>69</v>
      </c>
      <c r="E157" s="8" t="n">
        <v>0.36</v>
      </c>
      <c r="F157" s="8" t="n">
        <v>2</v>
      </c>
      <c r="G157" s="8" t="n">
        <v>0.1</v>
      </c>
      <c r="H157" s="8" t="n">
        <v>3</v>
      </c>
    </row>
    <row r="158" customFormat="false" ht="18" hidden="false" customHeight="false" outlineLevel="0" collapsed="false">
      <c r="A158" s="8" t="n">
        <v>39</v>
      </c>
      <c r="B158" s="8" t="n">
        <v>4</v>
      </c>
      <c r="C158" s="8" t="s">
        <v>62</v>
      </c>
      <c r="D158" s="8" t="s">
        <v>63</v>
      </c>
      <c r="E158" s="8" t="n">
        <v>0.72</v>
      </c>
      <c r="F158" s="8" t="n">
        <v>3</v>
      </c>
      <c r="G158" s="8" t="n">
        <v>0.46</v>
      </c>
      <c r="H158" s="8" t="n">
        <v>2</v>
      </c>
    </row>
    <row r="159" customFormat="false" ht="18" hidden="false" customHeight="false" outlineLevel="0" collapsed="false">
      <c r="A159" s="8" t="n">
        <v>40</v>
      </c>
      <c r="B159" s="8" t="n">
        <v>1</v>
      </c>
      <c r="C159" s="8" t="s">
        <v>54</v>
      </c>
      <c r="D159" s="8" t="s">
        <v>55</v>
      </c>
      <c r="E159" s="8" t="n">
        <v>0.9</v>
      </c>
      <c r="F159" s="8" t="n">
        <v>3</v>
      </c>
      <c r="G159" s="8" t="n">
        <v>0.1</v>
      </c>
      <c r="H159" s="8" t="n">
        <v>3</v>
      </c>
    </row>
    <row r="160" customFormat="false" ht="18" hidden="false" customHeight="false" outlineLevel="0" collapsed="false">
      <c r="A160" s="8" t="n">
        <v>40</v>
      </c>
      <c r="B160" s="8" t="n">
        <v>2</v>
      </c>
      <c r="C160" s="8" t="s">
        <v>76</v>
      </c>
      <c r="D160" s="8" t="s">
        <v>77</v>
      </c>
      <c r="E160" s="8" t="n">
        <v>0.18</v>
      </c>
      <c r="F160" s="8" t="n">
        <v>1</v>
      </c>
      <c r="G160" s="8" t="n">
        <v>0.46</v>
      </c>
      <c r="H160" s="8" t="n">
        <v>2</v>
      </c>
    </row>
    <row r="161" customFormat="false" ht="18" hidden="false" customHeight="false" outlineLevel="0" collapsed="false">
      <c r="A161" s="8" t="n">
        <v>40</v>
      </c>
      <c r="B161" s="8" t="n">
        <v>3</v>
      </c>
      <c r="C161" s="8" t="s">
        <v>68</v>
      </c>
      <c r="D161" s="8" t="s">
        <v>69</v>
      </c>
      <c r="E161" s="8" t="n">
        <v>0.36</v>
      </c>
      <c r="F161" s="8" t="n">
        <v>2</v>
      </c>
      <c r="G161" s="8" t="n">
        <v>0.1</v>
      </c>
      <c r="H161" s="8" t="n">
        <v>3</v>
      </c>
    </row>
    <row r="162" customFormat="false" ht="18" hidden="false" customHeight="false" outlineLevel="0" collapsed="false">
      <c r="A162" s="8" t="n">
        <v>40</v>
      </c>
      <c r="B162" s="8" t="n">
        <v>4</v>
      </c>
      <c r="C162" s="8" t="s">
        <v>64</v>
      </c>
      <c r="D162" s="8" t="s">
        <v>65</v>
      </c>
      <c r="E162" s="8" t="n">
        <v>0.9</v>
      </c>
      <c r="F162" s="8" t="n">
        <v>3</v>
      </c>
      <c r="G162" s="8" t="n">
        <v>0.1</v>
      </c>
      <c r="H162" s="8" t="n">
        <v>3</v>
      </c>
    </row>
    <row r="163" customFormat="false" ht="18" hidden="false" customHeight="false" outlineLevel="0" collapsed="false">
      <c r="A163" s="8" t="n">
        <v>41</v>
      </c>
      <c r="B163" s="8" t="n">
        <v>1</v>
      </c>
      <c r="C163" s="8" t="s">
        <v>54</v>
      </c>
      <c r="D163" s="8" t="s">
        <v>55</v>
      </c>
      <c r="E163" s="8" t="n">
        <v>0.9</v>
      </c>
      <c r="F163" s="8" t="n">
        <v>3</v>
      </c>
      <c r="G163" s="8" t="n">
        <v>0.1</v>
      </c>
      <c r="H163" s="8" t="n">
        <v>3</v>
      </c>
    </row>
    <row r="164" customFormat="false" ht="18" hidden="false" customHeight="false" outlineLevel="0" collapsed="false">
      <c r="A164" s="8" t="n">
        <v>41</v>
      </c>
      <c r="B164" s="8" t="n">
        <v>2</v>
      </c>
      <c r="C164" s="8" t="s">
        <v>76</v>
      </c>
      <c r="D164" s="8" t="s">
        <v>77</v>
      </c>
      <c r="E164" s="8" t="n">
        <v>0.18</v>
      </c>
      <c r="F164" s="8" t="n">
        <v>1</v>
      </c>
      <c r="G164" s="8" t="n">
        <v>0.46</v>
      </c>
      <c r="H164" s="8" t="n">
        <v>2</v>
      </c>
    </row>
    <row r="165" customFormat="false" ht="18" hidden="false" customHeight="false" outlineLevel="0" collapsed="false">
      <c r="A165" s="8" t="n">
        <v>41</v>
      </c>
      <c r="B165" s="8" t="n">
        <v>3</v>
      </c>
      <c r="C165" s="8" t="s">
        <v>68</v>
      </c>
      <c r="D165" s="8" t="s">
        <v>69</v>
      </c>
      <c r="E165" s="8" t="n">
        <v>0.36</v>
      </c>
      <c r="F165" s="8" t="n">
        <v>2</v>
      </c>
      <c r="G165" s="8" t="n">
        <v>0.1</v>
      </c>
      <c r="H165" s="8" t="n">
        <v>3</v>
      </c>
    </row>
    <row r="166" customFormat="false" ht="18" hidden="false" customHeight="false" outlineLevel="0" collapsed="false">
      <c r="A166" s="8" t="n">
        <v>41</v>
      </c>
      <c r="B166" s="8" t="n">
        <v>4</v>
      </c>
      <c r="C166" s="8" t="s">
        <v>66</v>
      </c>
      <c r="D166" s="8" t="s">
        <v>67</v>
      </c>
      <c r="E166" s="8" t="n">
        <v>0.18</v>
      </c>
      <c r="F166" s="8" t="n">
        <v>1</v>
      </c>
      <c r="G166" s="8" t="n">
        <v>0.46</v>
      </c>
      <c r="H166" s="8" t="n">
        <v>2</v>
      </c>
    </row>
    <row r="167" customFormat="false" ht="18" hidden="false" customHeight="false" outlineLevel="0" collapsed="false">
      <c r="A167" s="8" t="n">
        <v>42</v>
      </c>
      <c r="B167" s="8" t="n">
        <v>1</v>
      </c>
      <c r="C167" s="8" t="s">
        <v>54</v>
      </c>
      <c r="D167" s="8" t="s">
        <v>55</v>
      </c>
      <c r="E167" s="8" t="n">
        <v>0.9</v>
      </c>
      <c r="F167" s="8" t="n">
        <v>3</v>
      </c>
      <c r="G167" s="8" t="n">
        <v>0.1</v>
      </c>
      <c r="H167" s="8" t="n">
        <v>3</v>
      </c>
    </row>
    <row r="168" customFormat="false" ht="18" hidden="false" customHeight="false" outlineLevel="0" collapsed="false">
      <c r="A168" s="8" t="n">
        <v>42</v>
      </c>
      <c r="B168" s="8" t="n">
        <v>2</v>
      </c>
      <c r="C168" s="8" t="s">
        <v>76</v>
      </c>
      <c r="D168" s="8" t="s">
        <v>77</v>
      </c>
      <c r="E168" s="8" t="n">
        <v>0.18</v>
      </c>
      <c r="F168" s="8" t="n">
        <v>1</v>
      </c>
      <c r="G168" s="8" t="n">
        <v>0.46</v>
      </c>
      <c r="H168" s="8" t="n">
        <v>2</v>
      </c>
    </row>
    <row r="169" customFormat="false" ht="18" hidden="false" customHeight="false" outlineLevel="0" collapsed="false">
      <c r="A169" s="8" t="n">
        <v>42</v>
      </c>
      <c r="B169" s="8" t="n">
        <v>3</v>
      </c>
      <c r="C169" s="8" t="s">
        <v>70</v>
      </c>
      <c r="D169" s="8" t="s">
        <v>71</v>
      </c>
      <c r="E169" s="8" t="n">
        <v>0.36</v>
      </c>
      <c r="F169" s="8" t="n">
        <v>2</v>
      </c>
      <c r="G169" s="8" t="n">
        <v>0.1</v>
      </c>
      <c r="H169" s="8" t="n">
        <v>3</v>
      </c>
    </row>
    <row r="170" customFormat="false" ht="18" hidden="false" customHeight="false" outlineLevel="0" collapsed="false">
      <c r="A170" s="8" t="n">
        <v>42</v>
      </c>
      <c r="B170" s="8" t="n">
        <v>4</v>
      </c>
      <c r="C170" s="8" t="s">
        <v>60</v>
      </c>
      <c r="D170" s="8" t="s">
        <v>61</v>
      </c>
      <c r="E170" s="8" t="n">
        <v>0.18</v>
      </c>
      <c r="F170" s="8" t="n">
        <v>1</v>
      </c>
      <c r="G170" s="8" t="n">
        <v>0.46</v>
      </c>
      <c r="H170" s="8" t="n">
        <v>2</v>
      </c>
    </row>
    <row r="171" customFormat="false" ht="18" hidden="false" customHeight="false" outlineLevel="0" collapsed="false">
      <c r="A171" s="8" t="n">
        <v>43</v>
      </c>
      <c r="B171" s="8" t="n">
        <v>1</v>
      </c>
      <c r="C171" s="8" t="s">
        <v>54</v>
      </c>
      <c r="D171" s="8" t="s">
        <v>55</v>
      </c>
      <c r="E171" s="8" t="n">
        <v>0.9</v>
      </c>
      <c r="F171" s="8" t="n">
        <v>3</v>
      </c>
      <c r="G171" s="8" t="n">
        <v>0.1</v>
      </c>
      <c r="H171" s="8" t="n">
        <v>3</v>
      </c>
    </row>
    <row r="172" customFormat="false" ht="18" hidden="false" customHeight="false" outlineLevel="0" collapsed="false">
      <c r="A172" s="8" t="n">
        <v>43</v>
      </c>
      <c r="B172" s="8" t="n">
        <v>2</v>
      </c>
      <c r="C172" s="8" t="s">
        <v>76</v>
      </c>
      <c r="D172" s="8" t="s">
        <v>77</v>
      </c>
      <c r="E172" s="8" t="n">
        <v>0.18</v>
      </c>
      <c r="F172" s="8" t="n">
        <v>1</v>
      </c>
      <c r="G172" s="8" t="n">
        <v>0.46</v>
      </c>
      <c r="H172" s="8" t="n">
        <v>2</v>
      </c>
    </row>
    <row r="173" customFormat="false" ht="18" hidden="false" customHeight="false" outlineLevel="0" collapsed="false">
      <c r="A173" s="8" t="n">
        <v>43</v>
      </c>
      <c r="B173" s="8" t="n">
        <v>3</v>
      </c>
      <c r="C173" s="8" t="s">
        <v>70</v>
      </c>
      <c r="D173" s="8" t="s">
        <v>71</v>
      </c>
      <c r="E173" s="8" t="n">
        <v>0.36</v>
      </c>
      <c r="F173" s="8" t="n">
        <v>2</v>
      </c>
      <c r="G173" s="8" t="n">
        <v>0.1</v>
      </c>
      <c r="H173" s="8" t="n">
        <v>3</v>
      </c>
    </row>
    <row r="174" customFormat="false" ht="18" hidden="false" customHeight="false" outlineLevel="0" collapsed="false">
      <c r="A174" s="8" t="n">
        <v>43</v>
      </c>
      <c r="B174" s="8" t="n">
        <v>4</v>
      </c>
      <c r="C174" s="8" t="s">
        <v>62</v>
      </c>
      <c r="D174" s="8" t="s">
        <v>63</v>
      </c>
      <c r="E174" s="8" t="n">
        <v>0.72</v>
      </c>
      <c r="F174" s="8" t="n">
        <v>3</v>
      </c>
      <c r="G174" s="8" t="n">
        <v>0.46</v>
      </c>
      <c r="H174" s="8" t="n">
        <v>2</v>
      </c>
    </row>
    <row r="175" customFormat="false" ht="18" hidden="false" customHeight="false" outlineLevel="0" collapsed="false">
      <c r="A175" s="8" t="n">
        <v>44</v>
      </c>
      <c r="B175" s="8" t="n">
        <v>1</v>
      </c>
      <c r="C175" s="8" t="s">
        <v>54</v>
      </c>
      <c r="D175" s="8" t="s">
        <v>55</v>
      </c>
      <c r="E175" s="8" t="n">
        <v>0.9</v>
      </c>
      <c r="F175" s="8" t="n">
        <v>3</v>
      </c>
      <c r="G175" s="8" t="n">
        <v>0.1</v>
      </c>
      <c r="H175" s="8" t="n">
        <v>3</v>
      </c>
    </row>
    <row r="176" customFormat="false" ht="18" hidden="false" customHeight="false" outlineLevel="0" collapsed="false">
      <c r="A176" s="8" t="n">
        <v>44</v>
      </c>
      <c r="B176" s="8" t="n">
        <v>2</v>
      </c>
      <c r="C176" s="8" t="s">
        <v>76</v>
      </c>
      <c r="D176" s="8" t="s">
        <v>77</v>
      </c>
      <c r="E176" s="8" t="n">
        <v>0.18</v>
      </c>
      <c r="F176" s="8" t="n">
        <v>1</v>
      </c>
      <c r="G176" s="8" t="n">
        <v>0.46</v>
      </c>
      <c r="H176" s="8" t="n">
        <v>2</v>
      </c>
    </row>
    <row r="177" customFormat="false" ht="18" hidden="false" customHeight="false" outlineLevel="0" collapsed="false">
      <c r="A177" s="8" t="n">
        <v>44</v>
      </c>
      <c r="B177" s="8" t="n">
        <v>3</v>
      </c>
      <c r="C177" s="8" t="s">
        <v>70</v>
      </c>
      <c r="D177" s="8" t="s">
        <v>71</v>
      </c>
      <c r="E177" s="8" t="n">
        <v>0.36</v>
      </c>
      <c r="F177" s="8" t="n">
        <v>2</v>
      </c>
      <c r="G177" s="8" t="n">
        <v>0.1</v>
      </c>
      <c r="H177" s="8" t="n">
        <v>3</v>
      </c>
    </row>
    <row r="178" customFormat="false" ht="18" hidden="false" customHeight="false" outlineLevel="0" collapsed="false">
      <c r="A178" s="8" t="n">
        <v>44</v>
      </c>
      <c r="B178" s="8" t="n">
        <v>4</v>
      </c>
      <c r="C178" s="8" t="s">
        <v>64</v>
      </c>
      <c r="D178" s="8" t="s">
        <v>65</v>
      </c>
      <c r="E178" s="8" t="n">
        <v>0.9</v>
      </c>
      <c r="F178" s="8" t="n">
        <v>3</v>
      </c>
      <c r="G178" s="8" t="n">
        <v>0.1</v>
      </c>
      <c r="H178" s="8" t="n">
        <v>3</v>
      </c>
    </row>
    <row r="179" customFormat="false" ht="18" hidden="false" customHeight="false" outlineLevel="0" collapsed="false">
      <c r="A179" s="8" t="n">
        <v>45</v>
      </c>
      <c r="B179" s="8" t="n">
        <v>1</v>
      </c>
      <c r="C179" s="8" t="s">
        <v>54</v>
      </c>
      <c r="D179" s="8" t="s">
        <v>55</v>
      </c>
      <c r="E179" s="8" t="n">
        <v>0.9</v>
      </c>
      <c r="F179" s="8" t="n">
        <v>3</v>
      </c>
      <c r="G179" s="8" t="n">
        <v>0.1</v>
      </c>
      <c r="H179" s="8" t="n">
        <v>3</v>
      </c>
    </row>
    <row r="180" customFormat="false" ht="18" hidden="false" customHeight="false" outlineLevel="0" collapsed="false">
      <c r="A180" s="8" t="n">
        <v>45</v>
      </c>
      <c r="B180" s="8" t="n">
        <v>2</v>
      </c>
      <c r="C180" s="8" t="s">
        <v>76</v>
      </c>
      <c r="D180" s="8" t="s">
        <v>77</v>
      </c>
      <c r="E180" s="8" t="n">
        <v>0.18</v>
      </c>
      <c r="F180" s="8" t="n">
        <v>1</v>
      </c>
      <c r="G180" s="8" t="n">
        <v>0.46</v>
      </c>
      <c r="H180" s="8" t="n">
        <v>2</v>
      </c>
    </row>
    <row r="181" customFormat="false" ht="18" hidden="false" customHeight="false" outlineLevel="0" collapsed="false">
      <c r="A181" s="8" t="n">
        <v>45</v>
      </c>
      <c r="B181" s="8" t="n">
        <v>3</v>
      </c>
      <c r="C181" s="8" t="s">
        <v>70</v>
      </c>
      <c r="D181" s="8" t="s">
        <v>71</v>
      </c>
      <c r="E181" s="8" t="n">
        <v>0.36</v>
      </c>
      <c r="F181" s="8" t="n">
        <v>2</v>
      </c>
      <c r="G181" s="8" t="n">
        <v>0.1</v>
      </c>
      <c r="H181" s="8" t="n">
        <v>3</v>
      </c>
    </row>
    <row r="182" customFormat="false" ht="18" hidden="false" customHeight="false" outlineLevel="0" collapsed="false">
      <c r="A182" s="8" t="n">
        <v>45</v>
      </c>
      <c r="B182" s="8" t="n">
        <v>4</v>
      </c>
      <c r="C182" s="8" t="s">
        <v>66</v>
      </c>
      <c r="D182" s="8" t="s">
        <v>67</v>
      </c>
      <c r="E182" s="8" t="n">
        <v>0.18</v>
      </c>
      <c r="F182" s="8" t="n">
        <v>1</v>
      </c>
      <c r="G182" s="8" t="n">
        <v>0.46</v>
      </c>
      <c r="H182" s="8" t="n">
        <v>2</v>
      </c>
    </row>
    <row r="183" customFormat="false" ht="18" hidden="false" customHeight="false" outlineLevel="0" collapsed="false">
      <c r="A183" s="8" t="n">
        <v>46</v>
      </c>
      <c r="B183" s="8" t="n">
        <v>1</v>
      </c>
      <c r="C183" s="8" t="s">
        <v>54</v>
      </c>
      <c r="D183" s="8" t="s">
        <v>55</v>
      </c>
      <c r="E183" s="8" t="n">
        <v>0.9</v>
      </c>
      <c r="F183" s="8" t="n">
        <v>3</v>
      </c>
      <c r="G183" s="8" t="n">
        <v>0.1</v>
      </c>
      <c r="H183" s="8" t="n">
        <v>3</v>
      </c>
    </row>
    <row r="184" customFormat="false" ht="18" hidden="false" customHeight="false" outlineLevel="0" collapsed="false">
      <c r="A184" s="8" t="n">
        <v>46</v>
      </c>
      <c r="B184" s="8" t="n">
        <v>2</v>
      </c>
      <c r="C184" s="8" t="s">
        <v>76</v>
      </c>
      <c r="D184" s="8" t="s">
        <v>77</v>
      </c>
      <c r="E184" s="8" t="n">
        <v>0.18</v>
      </c>
      <c r="F184" s="8" t="n">
        <v>1</v>
      </c>
      <c r="G184" s="8" t="n">
        <v>0.46</v>
      </c>
      <c r="H184" s="8" t="n">
        <v>2</v>
      </c>
    </row>
    <row r="185" customFormat="false" ht="18" hidden="false" customHeight="false" outlineLevel="0" collapsed="false">
      <c r="A185" s="8" t="n">
        <v>46</v>
      </c>
      <c r="B185" s="8" t="n">
        <v>3</v>
      </c>
      <c r="C185" s="8" t="s">
        <v>72</v>
      </c>
      <c r="D185" s="8" t="s">
        <v>73</v>
      </c>
      <c r="E185" s="8" t="n">
        <v>0.36</v>
      </c>
      <c r="F185" s="8" t="n">
        <v>2</v>
      </c>
      <c r="G185" s="8" t="n">
        <v>0.1</v>
      </c>
      <c r="H185" s="8" t="n">
        <v>3</v>
      </c>
    </row>
    <row r="186" customFormat="false" ht="18" hidden="false" customHeight="false" outlineLevel="0" collapsed="false">
      <c r="A186" s="8" t="n">
        <v>46</v>
      </c>
      <c r="B186" s="8" t="n">
        <v>4</v>
      </c>
      <c r="C186" s="8" t="s">
        <v>60</v>
      </c>
      <c r="D186" s="8" t="s">
        <v>61</v>
      </c>
      <c r="E186" s="8" t="n">
        <v>0.18</v>
      </c>
      <c r="F186" s="8" t="n">
        <v>1</v>
      </c>
      <c r="G186" s="8" t="n">
        <v>0.46</v>
      </c>
      <c r="H186" s="8" t="n">
        <v>2</v>
      </c>
    </row>
    <row r="187" customFormat="false" ht="18" hidden="false" customHeight="false" outlineLevel="0" collapsed="false">
      <c r="A187" s="8" t="n">
        <v>47</v>
      </c>
      <c r="B187" s="8" t="n">
        <v>1</v>
      </c>
      <c r="C187" s="8" t="s">
        <v>54</v>
      </c>
      <c r="D187" s="8" t="s">
        <v>55</v>
      </c>
      <c r="E187" s="8" t="n">
        <v>0.9</v>
      </c>
      <c r="F187" s="8" t="n">
        <v>3</v>
      </c>
      <c r="G187" s="8" t="n">
        <v>0.1</v>
      </c>
      <c r="H187" s="8" t="n">
        <v>3</v>
      </c>
    </row>
    <row r="188" customFormat="false" ht="18" hidden="false" customHeight="false" outlineLevel="0" collapsed="false">
      <c r="A188" s="8" t="n">
        <v>47</v>
      </c>
      <c r="B188" s="8" t="n">
        <v>2</v>
      </c>
      <c r="C188" s="8" t="s">
        <v>76</v>
      </c>
      <c r="D188" s="8" t="s">
        <v>77</v>
      </c>
      <c r="E188" s="8" t="n">
        <v>0.18</v>
      </c>
      <c r="F188" s="8" t="n">
        <v>1</v>
      </c>
      <c r="G188" s="8" t="n">
        <v>0.46</v>
      </c>
      <c r="H188" s="8" t="n">
        <v>2</v>
      </c>
    </row>
    <row r="189" customFormat="false" ht="18" hidden="false" customHeight="false" outlineLevel="0" collapsed="false">
      <c r="A189" s="8" t="n">
        <v>47</v>
      </c>
      <c r="B189" s="8" t="n">
        <v>3</v>
      </c>
      <c r="C189" s="8" t="s">
        <v>72</v>
      </c>
      <c r="D189" s="8" t="s">
        <v>73</v>
      </c>
      <c r="E189" s="8" t="n">
        <v>0.36</v>
      </c>
      <c r="F189" s="8" t="n">
        <v>2</v>
      </c>
      <c r="G189" s="8" t="n">
        <v>0.1</v>
      </c>
      <c r="H189" s="8" t="n">
        <v>3</v>
      </c>
    </row>
    <row r="190" customFormat="false" ht="18" hidden="false" customHeight="false" outlineLevel="0" collapsed="false">
      <c r="A190" s="8" t="n">
        <v>47</v>
      </c>
      <c r="B190" s="8" t="n">
        <v>4</v>
      </c>
      <c r="C190" s="8" t="s">
        <v>62</v>
      </c>
      <c r="D190" s="8" t="s">
        <v>63</v>
      </c>
      <c r="E190" s="8" t="n">
        <v>0.72</v>
      </c>
      <c r="F190" s="8" t="n">
        <v>3</v>
      </c>
      <c r="G190" s="8" t="n">
        <v>0.46</v>
      </c>
      <c r="H190" s="8" t="n">
        <v>2</v>
      </c>
    </row>
    <row r="191" customFormat="false" ht="18" hidden="false" customHeight="false" outlineLevel="0" collapsed="false">
      <c r="A191" s="8" t="n">
        <v>48</v>
      </c>
      <c r="B191" s="8" t="n">
        <v>1</v>
      </c>
      <c r="C191" s="8" t="s">
        <v>54</v>
      </c>
      <c r="D191" s="8" t="s">
        <v>55</v>
      </c>
      <c r="E191" s="8" t="n">
        <v>0.9</v>
      </c>
      <c r="F191" s="8" t="n">
        <v>3</v>
      </c>
      <c r="G191" s="8" t="n">
        <v>0.1</v>
      </c>
      <c r="H191" s="8" t="n">
        <v>3</v>
      </c>
    </row>
    <row r="192" customFormat="false" ht="18" hidden="false" customHeight="false" outlineLevel="0" collapsed="false">
      <c r="A192" s="8" t="n">
        <v>48</v>
      </c>
      <c r="B192" s="8" t="n">
        <v>2</v>
      </c>
      <c r="C192" s="8" t="s">
        <v>76</v>
      </c>
      <c r="D192" s="8" t="s">
        <v>77</v>
      </c>
      <c r="E192" s="8" t="n">
        <v>0.18</v>
      </c>
      <c r="F192" s="8" t="n">
        <v>1</v>
      </c>
      <c r="G192" s="8" t="n">
        <v>0.46</v>
      </c>
      <c r="H192" s="8" t="n">
        <v>2</v>
      </c>
    </row>
    <row r="193" customFormat="false" ht="18" hidden="false" customHeight="false" outlineLevel="0" collapsed="false">
      <c r="A193" s="8" t="n">
        <v>48</v>
      </c>
      <c r="B193" s="8" t="n">
        <v>3</v>
      </c>
      <c r="C193" s="8" t="s">
        <v>72</v>
      </c>
      <c r="D193" s="8" t="s">
        <v>73</v>
      </c>
      <c r="E193" s="8" t="n">
        <v>0.36</v>
      </c>
      <c r="F193" s="8" t="n">
        <v>2</v>
      </c>
      <c r="G193" s="8" t="n">
        <v>0.1</v>
      </c>
      <c r="H193" s="8" t="n">
        <v>3</v>
      </c>
    </row>
    <row r="194" customFormat="false" ht="18" hidden="false" customHeight="false" outlineLevel="0" collapsed="false">
      <c r="A194" s="8" t="n">
        <v>48</v>
      </c>
      <c r="B194" s="8" t="n">
        <v>4</v>
      </c>
      <c r="C194" s="8" t="s">
        <v>64</v>
      </c>
      <c r="D194" s="8" t="s">
        <v>65</v>
      </c>
      <c r="E194" s="8" t="n">
        <v>0.9</v>
      </c>
      <c r="F194" s="8" t="n">
        <v>3</v>
      </c>
      <c r="G194" s="8" t="n">
        <v>0.1</v>
      </c>
      <c r="H194" s="8" t="n">
        <v>3</v>
      </c>
    </row>
    <row r="195" customFormat="false" ht="18" hidden="false" customHeight="false" outlineLevel="0" collapsed="false">
      <c r="A195" s="8" t="n">
        <v>49</v>
      </c>
      <c r="B195" s="8" t="n">
        <v>1</v>
      </c>
      <c r="C195" s="8" t="s">
        <v>54</v>
      </c>
      <c r="D195" s="8" t="s">
        <v>55</v>
      </c>
      <c r="E195" s="8" t="n">
        <v>0.9</v>
      </c>
      <c r="F195" s="8" t="n">
        <v>3</v>
      </c>
      <c r="G195" s="8" t="n">
        <v>0.1</v>
      </c>
      <c r="H195" s="8" t="n">
        <v>3</v>
      </c>
    </row>
    <row r="196" customFormat="false" ht="18" hidden="false" customHeight="false" outlineLevel="0" collapsed="false">
      <c r="A196" s="8" t="n">
        <v>49</v>
      </c>
      <c r="B196" s="8" t="n">
        <v>2</v>
      </c>
      <c r="C196" s="8" t="s">
        <v>76</v>
      </c>
      <c r="D196" s="8" t="s">
        <v>77</v>
      </c>
      <c r="E196" s="8" t="n">
        <v>0.18</v>
      </c>
      <c r="F196" s="8" t="n">
        <v>1</v>
      </c>
      <c r="G196" s="8" t="n">
        <v>0.46</v>
      </c>
      <c r="H196" s="8" t="n">
        <v>2</v>
      </c>
    </row>
    <row r="197" customFormat="false" ht="18" hidden="false" customHeight="false" outlineLevel="0" collapsed="false">
      <c r="A197" s="8" t="n">
        <v>49</v>
      </c>
      <c r="B197" s="8" t="n">
        <v>3</v>
      </c>
      <c r="C197" s="8" t="s">
        <v>72</v>
      </c>
      <c r="D197" s="8" t="s">
        <v>73</v>
      </c>
      <c r="E197" s="8" t="n">
        <v>0.36</v>
      </c>
      <c r="F197" s="8" t="n">
        <v>2</v>
      </c>
      <c r="G197" s="8" t="n">
        <v>0.1</v>
      </c>
      <c r="H197" s="8" t="n">
        <v>3</v>
      </c>
    </row>
    <row r="198" customFormat="false" ht="18" hidden="false" customHeight="false" outlineLevel="0" collapsed="false">
      <c r="A198" s="8" t="n">
        <v>49</v>
      </c>
      <c r="B198" s="8" t="n">
        <v>4</v>
      </c>
      <c r="C198" s="8" t="s">
        <v>66</v>
      </c>
      <c r="D198" s="8" t="s">
        <v>67</v>
      </c>
      <c r="E198" s="8" t="n">
        <v>0.18</v>
      </c>
      <c r="F198" s="8" t="n">
        <v>1</v>
      </c>
      <c r="G198" s="8" t="n">
        <v>0.46</v>
      </c>
      <c r="H198" s="8" t="n">
        <v>2</v>
      </c>
    </row>
    <row r="199" customFormat="false" ht="18" hidden="false" customHeight="false" outlineLevel="0" collapsed="false">
      <c r="A199" s="8" t="n">
        <v>50</v>
      </c>
      <c r="B199" s="8" t="n">
        <v>1</v>
      </c>
      <c r="C199" s="8" t="s">
        <v>54</v>
      </c>
      <c r="D199" s="8" t="s">
        <v>55</v>
      </c>
      <c r="E199" s="8" t="n">
        <v>0.9</v>
      </c>
      <c r="F199" s="8" t="n">
        <v>3</v>
      </c>
      <c r="G199" s="8" t="n">
        <v>0.1</v>
      </c>
      <c r="H199" s="8" t="n">
        <v>3</v>
      </c>
    </row>
    <row r="200" customFormat="false" ht="18" hidden="false" customHeight="false" outlineLevel="0" collapsed="false">
      <c r="A200" s="8" t="n">
        <v>50</v>
      </c>
      <c r="B200" s="8" t="n">
        <v>2</v>
      </c>
      <c r="C200" s="8" t="s">
        <v>78</v>
      </c>
      <c r="D200" s="8" t="s">
        <v>73</v>
      </c>
      <c r="E200" s="8" t="n">
        <v>0.36</v>
      </c>
      <c r="F200" s="8" t="n">
        <v>2</v>
      </c>
      <c r="G200" s="8" t="n">
        <v>0.1</v>
      </c>
      <c r="H200" s="8" t="n">
        <v>3</v>
      </c>
    </row>
    <row r="201" customFormat="false" ht="18" hidden="false" customHeight="false" outlineLevel="0" collapsed="false">
      <c r="A201" s="8" t="n">
        <v>50</v>
      </c>
      <c r="B201" s="8" t="n">
        <v>3</v>
      </c>
      <c r="C201" s="8" t="s">
        <v>58</v>
      </c>
      <c r="D201" s="8" t="s">
        <v>59</v>
      </c>
      <c r="E201" s="8" t="n">
        <v>0.36</v>
      </c>
      <c r="F201" s="8" t="n">
        <v>2</v>
      </c>
      <c r="G201" s="8" t="n">
        <v>0.1</v>
      </c>
      <c r="H201" s="8" t="n">
        <v>3</v>
      </c>
    </row>
    <row r="202" customFormat="false" ht="18" hidden="false" customHeight="false" outlineLevel="0" collapsed="false">
      <c r="A202" s="8" t="n">
        <v>50</v>
      </c>
      <c r="B202" s="8" t="n">
        <v>4</v>
      </c>
      <c r="C202" s="8" t="s">
        <v>60</v>
      </c>
      <c r="D202" s="8" t="s">
        <v>61</v>
      </c>
      <c r="E202" s="8" t="n">
        <v>0.18</v>
      </c>
      <c r="F202" s="8" t="n">
        <v>1</v>
      </c>
      <c r="G202" s="8" t="n">
        <v>0.46</v>
      </c>
      <c r="H202" s="8" t="n">
        <v>2</v>
      </c>
    </row>
    <row r="203" customFormat="false" ht="18" hidden="false" customHeight="false" outlineLevel="0" collapsed="false">
      <c r="A203" s="8" t="n">
        <v>51</v>
      </c>
      <c r="B203" s="8" t="n">
        <v>1</v>
      </c>
      <c r="C203" s="8" t="s">
        <v>54</v>
      </c>
      <c r="D203" s="8" t="s">
        <v>55</v>
      </c>
      <c r="E203" s="8" t="n">
        <v>0.9</v>
      </c>
      <c r="F203" s="8" t="n">
        <v>3</v>
      </c>
      <c r="G203" s="8" t="n">
        <v>0.1</v>
      </c>
      <c r="H203" s="8" t="n">
        <v>3</v>
      </c>
    </row>
    <row r="204" customFormat="false" ht="18" hidden="false" customHeight="false" outlineLevel="0" collapsed="false">
      <c r="A204" s="8" t="n">
        <v>51</v>
      </c>
      <c r="B204" s="8" t="n">
        <v>2</v>
      </c>
      <c r="C204" s="8" t="s">
        <v>78</v>
      </c>
      <c r="D204" s="8" t="s">
        <v>73</v>
      </c>
      <c r="E204" s="8" t="n">
        <v>0.36</v>
      </c>
      <c r="F204" s="8" t="n">
        <v>2</v>
      </c>
      <c r="G204" s="8" t="n">
        <v>0.1</v>
      </c>
      <c r="H204" s="8" t="n">
        <v>3</v>
      </c>
    </row>
    <row r="205" customFormat="false" ht="18" hidden="false" customHeight="false" outlineLevel="0" collapsed="false">
      <c r="A205" s="8" t="n">
        <v>51</v>
      </c>
      <c r="B205" s="8" t="n">
        <v>3</v>
      </c>
      <c r="C205" s="8" t="s">
        <v>58</v>
      </c>
      <c r="D205" s="8" t="s">
        <v>59</v>
      </c>
      <c r="E205" s="8" t="n">
        <v>0.36</v>
      </c>
      <c r="F205" s="8" t="n">
        <v>2</v>
      </c>
      <c r="G205" s="8" t="n">
        <v>0.1</v>
      </c>
      <c r="H205" s="8" t="n">
        <v>3</v>
      </c>
    </row>
    <row r="206" customFormat="false" ht="18" hidden="false" customHeight="false" outlineLevel="0" collapsed="false">
      <c r="A206" s="8" t="n">
        <v>51</v>
      </c>
      <c r="B206" s="8" t="n">
        <v>4</v>
      </c>
      <c r="C206" s="8" t="s">
        <v>62</v>
      </c>
      <c r="D206" s="8" t="s">
        <v>63</v>
      </c>
      <c r="E206" s="8" t="n">
        <v>0.72</v>
      </c>
      <c r="F206" s="8" t="n">
        <v>3</v>
      </c>
      <c r="G206" s="8" t="n">
        <v>0.46</v>
      </c>
      <c r="H206" s="8" t="n">
        <v>2</v>
      </c>
    </row>
    <row r="207" customFormat="false" ht="18" hidden="false" customHeight="false" outlineLevel="0" collapsed="false">
      <c r="A207" s="8" t="n">
        <v>52</v>
      </c>
      <c r="B207" s="8" t="n">
        <v>1</v>
      </c>
      <c r="C207" s="8" t="s">
        <v>54</v>
      </c>
      <c r="D207" s="8" t="s">
        <v>55</v>
      </c>
      <c r="E207" s="8" t="n">
        <v>0.9</v>
      </c>
      <c r="F207" s="8" t="n">
        <v>3</v>
      </c>
      <c r="G207" s="8" t="n">
        <v>0.1</v>
      </c>
      <c r="H207" s="8" t="n">
        <v>3</v>
      </c>
    </row>
    <row r="208" customFormat="false" ht="18" hidden="false" customHeight="false" outlineLevel="0" collapsed="false">
      <c r="A208" s="8" t="n">
        <v>52</v>
      </c>
      <c r="B208" s="8" t="n">
        <v>2</v>
      </c>
      <c r="C208" s="8" t="s">
        <v>78</v>
      </c>
      <c r="D208" s="8" t="s">
        <v>73</v>
      </c>
      <c r="E208" s="8" t="n">
        <v>0.36</v>
      </c>
      <c r="F208" s="8" t="n">
        <v>2</v>
      </c>
      <c r="G208" s="8" t="n">
        <v>0.1</v>
      </c>
      <c r="H208" s="8" t="n">
        <v>3</v>
      </c>
    </row>
    <row r="209" customFormat="false" ht="18" hidden="false" customHeight="false" outlineLevel="0" collapsed="false">
      <c r="A209" s="8" t="n">
        <v>52</v>
      </c>
      <c r="B209" s="8" t="n">
        <v>3</v>
      </c>
      <c r="C209" s="8" t="s">
        <v>58</v>
      </c>
      <c r="D209" s="8" t="s">
        <v>59</v>
      </c>
      <c r="E209" s="8" t="n">
        <v>0.36</v>
      </c>
      <c r="F209" s="8" t="n">
        <v>2</v>
      </c>
      <c r="G209" s="8" t="n">
        <v>0.1</v>
      </c>
      <c r="H209" s="8" t="n">
        <v>3</v>
      </c>
    </row>
    <row r="210" customFormat="false" ht="18" hidden="false" customHeight="false" outlineLevel="0" collapsed="false">
      <c r="A210" s="8" t="n">
        <v>52</v>
      </c>
      <c r="B210" s="8" t="n">
        <v>4</v>
      </c>
      <c r="C210" s="8" t="s">
        <v>64</v>
      </c>
      <c r="D210" s="8" t="s">
        <v>65</v>
      </c>
      <c r="E210" s="8" t="n">
        <v>0.9</v>
      </c>
      <c r="F210" s="8" t="n">
        <v>3</v>
      </c>
      <c r="G210" s="8" t="n">
        <v>0.1</v>
      </c>
      <c r="H210" s="8" t="n">
        <v>3</v>
      </c>
    </row>
    <row r="211" customFormat="false" ht="18" hidden="false" customHeight="false" outlineLevel="0" collapsed="false">
      <c r="A211" s="8" t="n">
        <v>53</v>
      </c>
      <c r="B211" s="8" t="n">
        <v>1</v>
      </c>
      <c r="C211" s="8" t="s">
        <v>54</v>
      </c>
      <c r="D211" s="8" t="s">
        <v>55</v>
      </c>
      <c r="E211" s="8" t="n">
        <v>0.9</v>
      </c>
      <c r="F211" s="8" t="n">
        <v>3</v>
      </c>
      <c r="G211" s="8" t="n">
        <v>0.1</v>
      </c>
      <c r="H211" s="8" t="n">
        <v>3</v>
      </c>
    </row>
    <row r="212" customFormat="false" ht="18" hidden="false" customHeight="false" outlineLevel="0" collapsed="false">
      <c r="A212" s="8" t="n">
        <v>53</v>
      </c>
      <c r="B212" s="8" t="n">
        <v>2</v>
      </c>
      <c r="C212" s="8" t="s">
        <v>78</v>
      </c>
      <c r="D212" s="8" t="s">
        <v>73</v>
      </c>
      <c r="E212" s="8" t="n">
        <v>0.36</v>
      </c>
      <c r="F212" s="8" t="n">
        <v>2</v>
      </c>
      <c r="G212" s="8" t="n">
        <v>0.1</v>
      </c>
      <c r="H212" s="8" t="n">
        <v>3</v>
      </c>
    </row>
    <row r="213" customFormat="false" ht="18" hidden="false" customHeight="false" outlineLevel="0" collapsed="false">
      <c r="A213" s="8" t="n">
        <v>53</v>
      </c>
      <c r="B213" s="8" t="n">
        <v>3</v>
      </c>
      <c r="C213" s="8" t="s">
        <v>58</v>
      </c>
      <c r="D213" s="8" t="s">
        <v>59</v>
      </c>
      <c r="E213" s="8" t="n">
        <v>0.36</v>
      </c>
      <c r="F213" s="8" t="n">
        <v>2</v>
      </c>
      <c r="G213" s="8" t="n">
        <v>0.1</v>
      </c>
      <c r="H213" s="8" t="n">
        <v>3</v>
      </c>
    </row>
    <row r="214" customFormat="false" ht="18" hidden="false" customHeight="false" outlineLevel="0" collapsed="false">
      <c r="A214" s="8" t="n">
        <v>53</v>
      </c>
      <c r="B214" s="8" t="n">
        <v>4</v>
      </c>
      <c r="C214" s="8" t="s">
        <v>66</v>
      </c>
      <c r="D214" s="8" t="s">
        <v>67</v>
      </c>
      <c r="E214" s="8" t="n">
        <v>0.18</v>
      </c>
      <c r="F214" s="8" t="n">
        <v>1</v>
      </c>
      <c r="G214" s="8" t="n">
        <v>0.46</v>
      </c>
      <c r="H214" s="8" t="n">
        <v>2</v>
      </c>
    </row>
    <row r="215" customFormat="false" ht="18" hidden="false" customHeight="false" outlineLevel="0" collapsed="false">
      <c r="A215" s="8" t="n">
        <v>54</v>
      </c>
      <c r="B215" s="8" t="n">
        <v>1</v>
      </c>
      <c r="C215" s="8" t="s">
        <v>54</v>
      </c>
      <c r="D215" s="8" t="s">
        <v>55</v>
      </c>
      <c r="E215" s="8" t="n">
        <v>0.9</v>
      </c>
      <c r="F215" s="8" t="n">
        <v>3</v>
      </c>
      <c r="G215" s="8" t="n">
        <v>0.1</v>
      </c>
      <c r="H215" s="8" t="n">
        <v>3</v>
      </c>
    </row>
    <row r="216" customFormat="false" ht="18" hidden="false" customHeight="false" outlineLevel="0" collapsed="false">
      <c r="A216" s="8" t="n">
        <v>54</v>
      </c>
      <c r="B216" s="8" t="n">
        <v>2</v>
      </c>
      <c r="C216" s="8" t="s">
        <v>78</v>
      </c>
      <c r="D216" s="8" t="s">
        <v>73</v>
      </c>
      <c r="E216" s="8" t="n">
        <v>0.36</v>
      </c>
      <c r="F216" s="8" t="n">
        <v>2</v>
      </c>
      <c r="G216" s="8" t="n">
        <v>0.1</v>
      </c>
      <c r="H216" s="8" t="n">
        <v>3</v>
      </c>
    </row>
    <row r="217" customFormat="false" ht="18" hidden="false" customHeight="false" outlineLevel="0" collapsed="false">
      <c r="A217" s="8" t="n">
        <v>54</v>
      </c>
      <c r="B217" s="8" t="n">
        <v>3</v>
      </c>
      <c r="C217" s="8" t="s">
        <v>68</v>
      </c>
      <c r="D217" s="8" t="s">
        <v>69</v>
      </c>
      <c r="E217" s="8" t="n">
        <v>0.36</v>
      </c>
      <c r="F217" s="8" t="n">
        <v>2</v>
      </c>
      <c r="G217" s="8" t="n">
        <v>0.1</v>
      </c>
      <c r="H217" s="8" t="n">
        <v>3</v>
      </c>
    </row>
    <row r="218" customFormat="false" ht="18" hidden="false" customHeight="false" outlineLevel="0" collapsed="false">
      <c r="A218" s="8" t="n">
        <v>54</v>
      </c>
      <c r="B218" s="8" t="n">
        <v>4</v>
      </c>
      <c r="C218" s="8" t="s">
        <v>60</v>
      </c>
      <c r="D218" s="8" t="s">
        <v>61</v>
      </c>
      <c r="E218" s="8" t="n">
        <v>0.18</v>
      </c>
      <c r="F218" s="8" t="n">
        <v>1</v>
      </c>
      <c r="G218" s="8" t="n">
        <v>0.46</v>
      </c>
      <c r="H218" s="8" t="n">
        <v>2</v>
      </c>
    </row>
    <row r="219" customFormat="false" ht="18" hidden="false" customHeight="false" outlineLevel="0" collapsed="false">
      <c r="A219" s="8" t="n">
        <v>55</v>
      </c>
      <c r="B219" s="8" t="n">
        <v>1</v>
      </c>
      <c r="C219" s="8" t="s">
        <v>54</v>
      </c>
      <c r="D219" s="8" t="s">
        <v>55</v>
      </c>
      <c r="E219" s="8" t="n">
        <v>0.9</v>
      </c>
      <c r="F219" s="8" t="n">
        <v>3</v>
      </c>
      <c r="G219" s="8" t="n">
        <v>0.1</v>
      </c>
      <c r="H219" s="8" t="n">
        <v>3</v>
      </c>
    </row>
    <row r="220" customFormat="false" ht="18" hidden="false" customHeight="false" outlineLevel="0" collapsed="false">
      <c r="A220" s="8" t="n">
        <v>55</v>
      </c>
      <c r="B220" s="8" t="n">
        <v>2</v>
      </c>
      <c r="C220" s="8" t="s">
        <v>78</v>
      </c>
      <c r="D220" s="8" t="s">
        <v>73</v>
      </c>
      <c r="E220" s="8" t="n">
        <v>0.36</v>
      </c>
      <c r="F220" s="8" t="n">
        <v>2</v>
      </c>
      <c r="G220" s="8" t="n">
        <v>0.1</v>
      </c>
      <c r="H220" s="8" t="n">
        <v>3</v>
      </c>
    </row>
    <row r="221" customFormat="false" ht="18" hidden="false" customHeight="false" outlineLevel="0" collapsed="false">
      <c r="A221" s="8" t="n">
        <v>55</v>
      </c>
      <c r="B221" s="8" t="n">
        <v>3</v>
      </c>
      <c r="C221" s="8" t="s">
        <v>68</v>
      </c>
      <c r="D221" s="8" t="s">
        <v>69</v>
      </c>
      <c r="E221" s="8" t="n">
        <v>0.36</v>
      </c>
      <c r="F221" s="8" t="n">
        <v>2</v>
      </c>
      <c r="G221" s="8" t="n">
        <v>0.1</v>
      </c>
      <c r="H221" s="8" t="n">
        <v>3</v>
      </c>
    </row>
    <row r="222" customFormat="false" ht="18" hidden="false" customHeight="false" outlineLevel="0" collapsed="false">
      <c r="A222" s="8" t="n">
        <v>55</v>
      </c>
      <c r="B222" s="8" t="n">
        <v>4</v>
      </c>
      <c r="C222" s="8" t="s">
        <v>62</v>
      </c>
      <c r="D222" s="8" t="s">
        <v>63</v>
      </c>
      <c r="E222" s="8" t="n">
        <v>0.72</v>
      </c>
      <c r="F222" s="8" t="n">
        <v>3</v>
      </c>
      <c r="G222" s="8" t="n">
        <v>0.46</v>
      </c>
      <c r="H222" s="8" t="n">
        <v>2</v>
      </c>
    </row>
    <row r="223" customFormat="false" ht="18" hidden="false" customHeight="false" outlineLevel="0" collapsed="false">
      <c r="A223" s="8" t="n">
        <v>56</v>
      </c>
      <c r="B223" s="8" t="n">
        <v>1</v>
      </c>
      <c r="C223" s="8" t="s">
        <v>54</v>
      </c>
      <c r="D223" s="8" t="s">
        <v>55</v>
      </c>
      <c r="E223" s="8" t="n">
        <v>0.9</v>
      </c>
      <c r="F223" s="8" t="n">
        <v>3</v>
      </c>
      <c r="G223" s="8" t="n">
        <v>0.1</v>
      </c>
      <c r="H223" s="8" t="n">
        <v>3</v>
      </c>
    </row>
    <row r="224" customFormat="false" ht="18" hidden="false" customHeight="false" outlineLevel="0" collapsed="false">
      <c r="A224" s="8" t="n">
        <v>56</v>
      </c>
      <c r="B224" s="8" t="n">
        <v>2</v>
      </c>
      <c r="C224" s="8" t="s">
        <v>78</v>
      </c>
      <c r="D224" s="8" t="s">
        <v>73</v>
      </c>
      <c r="E224" s="8" t="n">
        <v>0.36</v>
      </c>
      <c r="F224" s="8" t="n">
        <v>2</v>
      </c>
      <c r="G224" s="8" t="n">
        <v>0.1</v>
      </c>
      <c r="H224" s="8" t="n">
        <v>3</v>
      </c>
    </row>
    <row r="225" customFormat="false" ht="18" hidden="false" customHeight="false" outlineLevel="0" collapsed="false">
      <c r="A225" s="8" t="n">
        <v>56</v>
      </c>
      <c r="B225" s="8" t="n">
        <v>3</v>
      </c>
      <c r="C225" s="8" t="s">
        <v>68</v>
      </c>
      <c r="D225" s="8" t="s">
        <v>69</v>
      </c>
      <c r="E225" s="8" t="n">
        <v>0.36</v>
      </c>
      <c r="F225" s="8" t="n">
        <v>2</v>
      </c>
      <c r="G225" s="8" t="n">
        <v>0.1</v>
      </c>
      <c r="H225" s="8" t="n">
        <v>3</v>
      </c>
    </row>
    <row r="226" customFormat="false" ht="18" hidden="false" customHeight="false" outlineLevel="0" collapsed="false">
      <c r="A226" s="8" t="n">
        <v>56</v>
      </c>
      <c r="B226" s="8" t="n">
        <v>4</v>
      </c>
      <c r="C226" s="8" t="s">
        <v>64</v>
      </c>
      <c r="D226" s="8" t="s">
        <v>65</v>
      </c>
      <c r="E226" s="8" t="n">
        <v>0.9</v>
      </c>
      <c r="F226" s="8" t="n">
        <v>3</v>
      </c>
      <c r="G226" s="8" t="n">
        <v>0.1</v>
      </c>
      <c r="H226" s="8" t="n">
        <v>3</v>
      </c>
    </row>
    <row r="227" customFormat="false" ht="18" hidden="false" customHeight="false" outlineLevel="0" collapsed="false">
      <c r="A227" s="8" t="n">
        <v>57</v>
      </c>
      <c r="B227" s="8" t="n">
        <v>1</v>
      </c>
      <c r="C227" s="8" t="s">
        <v>54</v>
      </c>
      <c r="D227" s="8" t="s">
        <v>55</v>
      </c>
      <c r="E227" s="8" t="n">
        <v>0.9</v>
      </c>
      <c r="F227" s="8" t="n">
        <v>3</v>
      </c>
      <c r="G227" s="8" t="n">
        <v>0.1</v>
      </c>
      <c r="H227" s="8" t="n">
        <v>3</v>
      </c>
    </row>
    <row r="228" customFormat="false" ht="18" hidden="false" customHeight="false" outlineLevel="0" collapsed="false">
      <c r="A228" s="8" t="n">
        <v>57</v>
      </c>
      <c r="B228" s="8" t="n">
        <v>2</v>
      </c>
      <c r="C228" s="8" t="s">
        <v>78</v>
      </c>
      <c r="D228" s="8" t="s">
        <v>73</v>
      </c>
      <c r="E228" s="8" t="n">
        <v>0.36</v>
      </c>
      <c r="F228" s="8" t="n">
        <v>2</v>
      </c>
      <c r="G228" s="8" t="n">
        <v>0.1</v>
      </c>
      <c r="H228" s="8" t="n">
        <v>3</v>
      </c>
    </row>
    <row r="229" customFormat="false" ht="18" hidden="false" customHeight="false" outlineLevel="0" collapsed="false">
      <c r="A229" s="8" t="n">
        <v>57</v>
      </c>
      <c r="B229" s="8" t="n">
        <v>3</v>
      </c>
      <c r="C229" s="8" t="s">
        <v>68</v>
      </c>
      <c r="D229" s="8" t="s">
        <v>69</v>
      </c>
      <c r="E229" s="8" t="n">
        <v>0.36</v>
      </c>
      <c r="F229" s="8" t="n">
        <v>2</v>
      </c>
      <c r="G229" s="8" t="n">
        <v>0.1</v>
      </c>
      <c r="H229" s="8" t="n">
        <v>3</v>
      </c>
    </row>
    <row r="230" customFormat="false" ht="18" hidden="false" customHeight="false" outlineLevel="0" collapsed="false">
      <c r="A230" s="8" t="n">
        <v>57</v>
      </c>
      <c r="B230" s="8" t="n">
        <v>4</v>
      </c>
      <c r="C230" s="8" t="s">
        <v>66</v>
      </c>
      <c r="D230" s="8" t="s">
        <v>67</v>
      </c>
      <c r="E230" s="8" t="n">
        <v>0.18</v>
      </c>
      <c r="F230" s="8" t="n">
        <v>1</v>
      </c>
      <c r="G230" s="8" t="n">
        <v>0.46</v>
      </c>
      <c r="H230" s="8" t="n">
        <v>2</v>
      </c>
    </row>
    <row r="231" customFormat="false" ht="18" hidden="false" customHeight="false" outlineLevel="0" collapsed="false">
      <c r="A231" s="8" t="n">
        <v>58</v>
      </c>
      <c r="B231" s="8" t="n">
        <v>1</v>
      </c>
      <c r="C231" s="8" t="s">
        <v>54</v>
      </c>
      <c r="D231" s="8" t="s">
        <v>55</v>
      </c>
      <c r="E231" s="8" t="n">
        <v>0.9</v>
      </c>
      <c r="F231" s="8" t="n">
        <v>3</v>
      </c>
      <c r="G231" s="8" t="n">
        <v>0.1</v>
      </c>
      <c r="H231" s="8" t="n">
        <v>3</v>
      </c>
    </row>
    <row r="232" customFormat="false" ht="18" hidden="false" customHeight="false" outlineLevel="0" collapsed="false">
      <c r="A232" s="8" t="n">
        <v>58</v>
      </c>
      <c r="B232" s="8" t="n">
        <v>2</v>
      </c>
      <c r="C232" s="8" t="s">
        <v>78</v>
      </c>
      <c r="D232" s="8" t="s">
        <v>73</v>
      </c>
      <c r="E232" s="8" t="n">
        <v>0.36</v>
      </c>
      <c r="F232" s="8" t="n">
        <v>2</v>
      </c>
      <c r="G232" s="8" t="n">
        <v>0.1</v>
      </c>
      <c r="H232" s="8" t="n">
        <v>3</v>
      </c>
    </row>
    <row r="233" customFormat="false" ht="18" hidden="false" customHeight="false" outlineLevel="0" collapsed="false">
      <c r="A233" s="8" t="n">
        <v>58</v>
      </c>
      <c r="B233" s="8" t="n">
        <v>3</v>
      </c>
      <c r="C233" s="8" t="s">
        <v>70</v>
      </c>
      <c r="D233" s="8" t="s">
        <v>71</v>
      </c>
      <c r="E233" s="8" t="n">
        <v>0.36</v>
      </c>
      <c r="F233" s="8" t="n">
        <v>2</v>
      </c>
      <c r="G233" s="8" t="n">
        <v>0.1</v>
      </c>
      <c r="H233" s="8" t="n">
        <v>3</v>
      </c>
    </row>
    <row r="234" customFormat="false" ht="18" hidden="false" customHeight="false" outlineLevel="0" collapsed="false">
      <c r="A234" s="8" t="n">
        <v>58</v>
      </c>
      <c r="B234" s="8" t="n">
        <v>4</v>
      </c>
      <c r="C234" s="8" t="s">
        <v>60</v>
      </c>
      <c r="D234" s="8" t="s">
        <v>61</v>
      </c>
      <c r="E234" s="8" t="n">
        <v>0.18</v>
      </c>
      <c r="F234" s="8" t="n">
        <v>1</v>
      </c>
      <c r="G234" s="8" t="n">
        <v>0.46</v>
      </c>
      <c r="H234" s="8" t="n">
        <v>2</v>
      </c>
    </row>
    <row r="235" customFormat="false" ht="18" hidden="false" customHeight="false" outlineLevel="0" collapsed="false">
      <c r="A235" s="8" t="n">
        <v>59</v>
      </c>
      <c r="B235" s="8" t="n">
        <v>1</v>
      </c>
      <c r="C235" s="8" t="s">
        <v>54</v>
      </c>
      <c r="D235" s="8" t="s">
        <v>55</v>
      </c>
      <c r="E235" s="8" t="n">
        <v>0.9</v>
      </c>
      <c r="F235" s="8" t="n">
        <v>3</v>
      </c>
      <c r="G235" s="8" t="n">
        <v>0.1</v>
      </c>
      <c r="H235" s="8" t="n">
        <v>3</v>
      </c>
    </row>
    <row r="236" customFormat="false" ht="18" hidden="false" customHeight="false" outlineLevel="0" collapsed="false">
      <c r="A236" s="8" t="n">
        <v>59</v>
      </c>
      <c r="B236" s="8" t="n">
        <v>2</v>
      </c>
      <c r="C236" s="8" t="s">
        <v>78</v>
      </c>
      <c r="D236" s="8" t="s">
        <v>73</v>
      </c>
      <c r="E236" s="8" t="n">
        <v>0.36</v>
      </c>
      <c r="F236" s="8" t="n">
        <v>2</v>
      </c>
      <c r="G236" s="8" t="n">
        <v>0.1</v>
      </c>
      <c r="H236" s="8" t="n">
        <v>3</v>
      </c>
    </row>
    <row r="237" customFormat="false" ht="18" hidden="false" customHeight="false" outlineLevel="0" collapsed="false">
      <c r="A237" s="8" t="n">
        <v>59</v>
      </c>
      <c r="B237" s="8" t="n">
        <v>3</v>
      </c>
      <c r="C237" s="8" t="s">
        <v>70</v>
      </c>
      <c r="D237" s="8" t="s">
        <v>71</v>
      </c>
      <c r="E237" s="8" t="n">
        <v>0.36</v>
      </c>
      <c r="F237" s="8" t="n">
        <v>2</v>
      </c>
      <c r="G237" s="8" t="n">
        <v>0.1</v>
      </c>
      <c r="H237" s="8" t="n">
        <v>3</v>
      </c>
    </row>
    <row r="238" customFormat="false" ht="18" hidden="false" customHeight="false" outlineLevel="0" collapsed="false">
      <c r="A238" s="8" t="n">
        <v>59</v>
      </c>
      <c r="B238" s="8" t="n">
        <v>4</v>
      </c>
      <c r="C238" s="8" t="s">
        <v>62</v>
      </c>
      <c r="D238" s="8" t="s">
        <v>63</v>
      </c>
      <c r="E238" s="8" t="n">
        <v>0.72</v>
      </c>
      <c r="F238" s="8" t="n">
        <v>3</v>
      </c>
      <c r="G238" s="8" t="n">
        <v>0.46</v>
      </c>
      <c r="H238" s="8" t="n">
        <v>2</v>
      </c>
    </row>
    <row r="239" customFormat="false" ht="18" hidden="false" customHeight="false" outlineLevel="0" collapsed="false">
      <c r="A239" s="8" t="n">
        <v>60</v>
      </c>
      <c r="B239" s="8" t="n">
        <v>1</v>
      </c>
      <c r="C239" s="8" t="s">
        <v>54</v>
      </c>
      <c r="D239" s="8" t="s">
        <v>55</v>
      </c>
      <c r="E239" s="8" t="n">
        <v>0.9</v>
      </c>
      <c r="F239" s="8" t="n">
        <v>3</v>
      </c>
      <c r="G239" s="8" t="n">
        <v>0.1</v>
      </c>
      <c r="H239" s="8" t="n">
        <v>3</v>
      </c>
    </row>
    <row r="240" customFormat="false" ht="18" hidden="false" customHeight="false" outlineLevel="0" collapsed="false">
      <c r="A240" s="8" t="n">
        <v>60</v>
      </c>
      <c r="B240" s="8" t="n">
        <v>2</v>
      </c>
      <c r="C240" s="8" t="s">
        <v>78</v>
      </c>
      <c r="D240" s="8" t="s">
        <v>73</v>
      </c>
      <c r="E240" s="8" t="n">
        <v>0.36</v>
      </c>
      <c r="F240" s="8" t="n">
        <v>2</v>
      </c>
      <c r="G240" s="8" t="n">
        <v>0.1</v>
      </c>
      <c r="H240" s="8" t="n">
        <v>3</v>
      </c>
    </row>
    <row r="241" customFormat="false" ht="18" hidden="false" customHeight="false" outlineLevel="0" collapsed="false">
      <c r="A241" s="8" t="n">
        <v>60</v>
      </c>
      <c r="B241" s="8" t="n">
        <v>3</v>
      </c>
      <c r="C241" s="8" t="s">
        <v>70</v>
      </c>
      <c r="D241" s="8" t="s">
        <v>71</v>
      </c>
      <c r="E241" s="8" t="n">
        <v>0.36</v>
      </c>
      <c r="F241" s="8" t="n">
        <v>2</v>
      </c>
      <c r="G241" s="8" t="n">
        <v>0.1</v>
      </c>
      <c r="H241" s="8" t="n">
        <v>3</v>
      </c>
    </row>
    <row r="242" customFormat="false" ht="18" hidden="false" customHeight="false" outlineLevel="0" collapsed="false">
      <c r="A242" s="8" t="n">
        <v>60</v>
      </c>
      <c r="B242" s="8" t="n">
        <v>4</v>
      </c>
      <c r="C242" s="8" t="s">
        <v>64</v>
      </c>
      <c r="D242" s="8" t="s">
        <v>65</v>
      </c>
      <c r="E242" s="8" t="n">
        <v>0.9</v>
      </c>
      <c r="F242" s="8" t="n">
        <v>3</v>
      </c>
      <c r="G242" s="8" t="n">
        <v>0.1</v>
      </c>
      <c r="H242" s="8" t="n">
        <v>3</v>
      </c>
    </row>
    <row r="243" customFormat="false" ht="18" hidden="false" customHeight="false" outlineLevel="0" collapsed="false">
      <c r="A243" s="8" t="n">
        <v>61</v>
      </c>
      <c r="B243" s="8" t="n">
        <v>1</v>
      </c>
      <c r="C243" s="8" t="s">
        <v>54</v>
      </c>
      <c r="D243" s="8" t="s">
        <v>55</v>
      </c>
      <c r="E243" s="8" t="n">
        <v>0.9</v>
      </c>
      <c r="F243" s="8" t="n">
        <v>3</v>
      </c>
      <c r="G243" s="8" t="n">
        <v>0.1</v>
      </c>
      <c r="H243" s="8" t="n">
        <v>3</v>
      </c>
    </row>
    <row r="244" customFormat="false" ht="18" hidden="false" customHeight="false" outlineLevel="0" collapsed="false">
      <c r="A244" s="8" t="n">
        <v>61</v>
      </c>
      <c r="B244" s="8" t="n">
        <v>2</v>
      </c>
      <c r="C244" s="8" t="s">
        <v>78</v>
      </c>
      <c r="D244" s="8" t="s">
        <v>73</v>
      </c>
      <c r="E244" s="8" t="n">
        <v>0.36</v>
      </c>
      <c r="F244" s="8" t="n">
        <v>2</v>
      </c>
      <c r="G244" s="8" t="n">
        <v>0.1</v>
      </c>
      <c r="H244" s="8" t="n">
        <v>3</v>
      </c>
    </row>
    <row r="245" customFormat="false" ht="18" hidden="false" customHeight="false" outlineLevel="0" collapsed="false">
      <c r="A245" s="8" t="n">
        <v>61</v>
      </c>
      <c r="B245" s="8" t="n">
        <v>3</v>
      </c>
      <c r="C245" s="8" t="s">
        <v>70</v>
      </c>
      <c r="D245" s="8" t="s">
        <v>71</v>
      </c>
      <c r="E245" s="8" t="n">
        <v>0.36</v>
      </c>
      <c r="F245" s="8" t="n">
        <v>2</v>
      </c>
      <c r="G245" s="8" t="n">
        <v>0.1</v>
      </c>
      <c r="H245" s="8" t="n">
        <v>3</v>
      </c>
    </row>
    <row r="246" customFormat="false" ht="18" hidden="false" customHeight="false" outlineLevel="0" collapsed="false">
      <c r="A246" s="8" t="n">
        <v>61</v>
      </c>
      <c r="B246" s="8" t="n">
        <v>4</v>
      </c>
      <c r="C246" s="8" t="s">
        <v>66</v>
      </c>
      <c r="D246" s="8" t="s">
        <v>67</v>
      </c>
      <c r="E246" s="8" t="n">
        <v>0.18</v>
      </c>
      <c r="F246" s="8" t="n">
        <v>1</v>
      </c>
      <c r="G246" s="8" t="n">
        <v>0.46</v>
      </c>
      <c r="H246" s="8" t="n">
        <v>2</v>
      </c>
    </row>
    <row r="247" customFormat="false" ht="18" hidden="false" customHeight="false" outlineLevel="0" collapsed="false">
      <c r="A247" s="8" t="n">
        <v>62</v>
      </c>
      <c r="B247" s="8" t="n">
        <v>1</v>
      </c>
      <c r="C247" s="8" t="s">
        <v>54</v>
      </c>
      <c r="D247" s="8" t="s">
        <v>55</v>
      </c>
      <c r="E247" s="8" t="n">
        <v>0.9</v>
      </c>
      <c r="F247" s="8" t="n">
        <v>3</v>
      </c>
      <c r="G247" s="8" t="n">
        <v>0.1</v>
      </c>
      <c r="H247" s="8" t="n">
        <v>3</v>
      </c>
    </row>
    <row r="248" customFormat="false" ht="18" hidden="false" customHeight="false" outlineLevel="0" collapsed="false">
      <c r="A248" s="8" t="n">
        <v>62</v>
      </c>
      <c r="B248" s="8" t="n">
        <v>2</v>
      </c>
      <c r="C248" s="8" t="s">
        <v>78</v>
      </c>
      <c r="D248" s="8" t="s">
        <v>73</v>
      </c>
      <c r="E248" s="8" t="n">
        <v>0.36</v>
      </c>
      <c r="F248" s="8" t="n">
        <v>2</v>
      </c>
      <c r="G248" s="8" t="n">
        <v>0.1</v>
      </c>
      <c r="H248" s="8" t="n">
        <v>3</v>
      </c>
    </row>
    <row r="249" customFormat="false" ht="18" hidden="false" customHeight="false" outlineLevel="0" collapsed="false">
      <c r="A249" s="8" t="n">
        <v>62</v>
      </c>
      <c r="B249" s="8" t="n">
        <v>3</v>
      </c>
      <c r="C249" s="8" t="s">
        <v>72</v>
      </c>
      <c r="D249" s="8" t="s">
        <v>73</v>
      </c>
      <c r="E249" s="8" t="n">
        <v>0.36</v>
      </c>
      <c r="F249" s="8" t="n">
        <v>2</v>
      </c>
      <c r="G249" s="8" t="n">
        <v>0.1</v>
      </c>
      <c r="H249" s="8" t="n">
        <v>3</v>
      </c>
    </row>
    <row r="250" customFormat="false" ht="18" hidden="false" customHeight="false" outlineLevel="0" collapsed="false">
      <c r="A250" s="8" t="n">
        <v>62</v>
      </c>
      <c r="B250" s="8" t="n">
        <v>4</v>
      </c>
      <c r="C250" s="8" t="s">
        <v>60</v>
      </c>
      <c r="D250" s="8" t="s">
        <v>61</v>
      </c>
      <c r="E250" s="8" t="n">
        <v>0.18</v>
      </c>
      <c r="F250" s="8" t="n">
        <v>1</v>
      </c>
      <c r="G250" s="8" t="n">
        <v>0.46</v>
      </c>
      <c r="H250" s="8" t="n">
        <v>2</v>
      </c>
    </row>
    <row r="251" customFormat="false" ht="18" hidden="false" customHeight="false" outlineLevel="0" collapsed="false">
      <c r="A251" s="8" t="n">
        <v>63</v>
      </c>
      <c r="B251" s="8" t="n">
        <v>1</v>
      </c>
      <c r="C251" s="8" t="s">
        <v>54</v>
      </c>
      <c r="D251" s="8" t="s">
        <v>55</v>
      </c>
      <c r="E251" s="8" t="n">
        <v>0.9</v>
      </c>
      <c r="F251" s="8" t="n">
        <v>3</v>
      </c>
      <c r="G251" s="8" t="n">
        <v>0.1</v>
      </c>
      <c r="H251" s="8" t="n">
        <v>3</v>
      </c>
    </row>
    <row r="252" customFormat="false" ht="18" hidden="false" customHeight="false" outlineLevel="0" collapsed="false">
      <c r="A252" s="8" t="n">
        <v>63</v>
      </c>
      <c r="B252" s="8" t="n">
        <v>2</v>
      </c>
      <c r="C252" s="8" t="s">
        <v>78</v>
      </c>
      <c r="D252" s="8" t="s">
        <v>73</v>
      </c>
      <c r="E252" s="8" t="n">
        <v>0.36</v>
      </c>
      <c r="F252" s="8" t="n">
        <v>2</v>
      </c>
      <c r="G252" s="8" t="n">
        <v>0.1</v>
      </c>
      <c r="H252" s="8" t="n">
        <v>3</v>
      </c>
    </row>
    <row r="253" customFormat="false" ht="18" hidden="false" customHeight="false" outlineLevel="0" collapsed="false">
      <c r="A253" s="8" t="n">
        <v>63</v>
      </c>
      <c r="B253" s="8" t="n">
        <v>3</v>
      </c>
      <c r="C253" s="8" t="s">
        <v>72</v>
      </c>
      <c r="D253" s="8" t="s">
        <v>73</v>
      </c>
      <c r="E253" s="8" t="n">
        <v>0.36</v>
      </c>
      <c r="F253" s="8" t="n">
        <v>2</v>
      </c>
      <c r="G253" s="8" t="n">
        <v>0.1</v>
      </c>
      <c r="H253" s="8" t="n">
        <v>3</v>
      </c>
    </row>
    <row r="254" customFormat="false" ht="18" hidden="false" customHeight="false" outlineLevel="0" collapsed="false">
      <c r="A254" s="8" t="n">
        <v>63</v>
      </c>
      <c r="B254" s="8" t="n">
        <v>4</v>
      </c>
      <c r="C254" s="8" t="s">
        <v>62</v>
      </c>
      <c r="D254" s="8" t="s">
        <v>63</v>
      </c>
      <c r="E254" s="8" t="n">
        <v>0.72</v>
      </c>
      <c r="F254" s="8" t="n">
        <v>3</v>
      </c>
      <c r="G254" s="8" t="n">
        <v>0.46</v>
      </c>
      <c r="H254" s="8" t="n">
        <v>2</v>
      </c>
    </row>
    <row r="255" customFormat="false" ht="18" hidden="false" customHeight="false" outlineLevel="0" collapsed="false">
      <c r="A255" s="8" t="n">
        <v>64</v>
      </c>
      <c r="B255" s="8" t="n">
        <v>1</v>
      </c>
      <c r="C255" s="8" t="s">
        <v>54</v>
      </c>
      <c r="D255" s="8" t="s">
        <v>55</v>
      </c>
      <c r="E255" s="8" t="n">
        <v>0.9</v>
      </c>
      <c r="F255" s="8" t="n">
        <v>3</v>
      </c>
      <c r="G255" s="8" t="n">
        <v>0.1</v>
      </c>
      <c r="H255" s="8" t="n">
        <v>3</v>
      </c>
    </row>
    <row r="256" customFormat="false" ht="18" hidden="false" customHeight="false" outlineLevel="0" collapsed="false">
      <c r="A256" s="8" t="n">
        <v>64</v>
      </c>
      <c r="B256" s="8" t="n">
        <v>2</v>
      </c>
      <c r="C256" s="8" t="s">
        <v>78</v>
      </c>
      <c r="D256" s="8" t="s">
        <v>73</v>
      </c>
      <c r="E256" s="8" t="n">
        <v>0.36</v>
      </c>
      <c r="F256" s="8" t="n">
        <v>2</v>
      </c>
      <c r="G256" s="8" t="n">
        <v>0.1</v>
      </c>
      <c r="H256" s="8" t="n">
        <v>3</v>
      </c>
    </row>
    <row r="257" customFormat="false" ht="18" hidden="false" customHeight="false" outlineLevel="0" collapsed="false">
      <c r="A257" s="8" t="n">
        <v>64</v>
      </c>
      <c r="B257" s="8" t="n">
        <v>3</v>
      </c>
      <c r="C257" s="8" t="s">
        <v>72</v>
      </c>
      <c r="D257" s="8" t="s">
        <v>73</v>
      </c>
      <c r="E257" s="8" t="n">
        <v>0.36</v>
      </c>
      <c r="F257" s="8" t="n">
        <v>2</v>
      </c>
      <c r="G257" s="8" t="n">
        <v>0.1</v>
      </c>
      <c r="H257" s="8" t="n">
        <v>3</v>
      </c>
    </row>
    <row r="258" customFormat="false" ht="18" hidden="false" customHeight="false" outlineLevel="0" collapsed="false">
      <c r="A258" s="8" t="n">
        <v>64</v>
      </c>
      <c r="B258" s="8" t="n">
        <v>4</v>
      </c>
      <c r="C258" s="8" t="s">
        <v>64</v>
      </c>
      <c r="D258" s="8" t="s">
        <v>65</v>
      </c>
      <c r="E258" s="8" t="n">
        <v>0.9</v>
      </c>
      <c r="F258" s="8" t="n">
        <v>3</v>
      </c>
      <c r="G258" s="8" t="n">
        <v>0.1</v>
      </c>
      <c r="H258" s="8" t="n">
        <v>3</v>
      </c>
    </row>
    <row r="259" customFormat="false" ht="18" hidden="false" customHeight="false" outlineLevel="0" collapsed="false">
      <c r="A259" s="8" t="n">
        <v>65</v>
      </c>
      <c r="B259" s="8" t="n">
        <v>1</v>
      </c>
      <c r="C259" s="8" t="s">
        <v>54</v>
      </c>
      <c r="D259" s="8" t="s">
        <v>55</v>
      </c>
      <c r="E259" s="8" t="n">
        <v>0.9</v>
      </c>
      <c r="F259" s="8" t="n">
        <v>3</v>
      </c>
      <c r="G259" s="8" t="n">
        <v>0.1</v>
      </c>
      <c r="H259" s="8" t="n">
        <v>3</v>
      </c>
    </row>
    <row r="260" customFormat="false" ht="18" hidden="false" customHeight="false" outlineLevel="0" collapsed="false">
      <c r="A260" s="8" t="n">
        <v>65</v>
      </c>
      <c r="B260" s="8" t="n">
        <v>2</v>
      </c>
      <c r="C260" s="8" t="s">
        <v>78</v>
      </c>
      <c r="D260" s="8" t="s">
        <v>73</v>
      </c>
      <c r="E260" s="8" t="n">
        <v>0.36</v>
      </c>
      <c r="F260" s="8" t="n">
        <v>2</v>
      </c>
      <c r="G260" s="8" t="n">
        <v>0.1</v>
      </c>
      <c r="H260" s="8" t="n">
        <v>3</v>
      </c>
    </row>
    <row r="261" customFormat="false" ht="18" hidden="false" customHeight="false" outlineLevel="0" collapsed="false">
      <c r="A261" s="8" t="n">
        <v>65</v>
      </c>
      <c r="B261" s="8" t="n">
        <v>3</v>
      </c>
      <c r="C261" s="8" t="s">
        <v>72</v>
      </c>
      <c r="D261" s="8" t="s">
        <v>73</v>
      </c>
      <c r="E261" s="8" t="n">
        <v>0.36</v>
      </c>
      <c r="F261" s="8" t="n">
        <v>2</v>
      </c>
      <c r="G261" s="8" t="n">
        <v>0.1</v>
      </c>
      <c r="H261" s="8" t="n">
        <v>3</v>
      </c>
    </row>
    <row r="262" customFormat="false" ht="18" hidden="false" customHeight="false" outlineLevel="0" collapsed="false">
      <c r="A262" s="8" t="n">
        <v>65</v>
      </c>
      <c r="B262" s="8" t="n">
        <v>4</v>
      </c>
      <c r="C262" s="8" t="s">
        <v>66</v>
      </c>
      <c r="D262" s="8" t="s">
        <v>67</v>
      </c>
      <c r="E262" s="8" t="n">
        <v>0.18</v>
      </c>
      <c r="F262" s="8" t="n">
        <v>1</v>
      </c>
      <c r="G262" s="8" t="n">
        <v>0.46</v>
      </c>
      <c r="H262" s="8"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15" t="s">
        <v>79</v>
      </c>
      <c r="B1" s="14"/>
    </row>
    <row r="2" customFormat="false" ht="18" hidden="false" customHeight="false" outlineLevel="0" collapsed="false">
      <c r="A2" s="8" t="s">
        <v>2</v>
      </c>
      <c r="B2" s="5" t="s">
        <v>80</v>
      </c>
    </row>
    <row r="3" customFormat="false" ht="18" hidden="false" customHeight="false" outlineLevel="0" collapsed="false">
      <c r="A3" s="8" t="s">
        <v>3</v>
      </c>
      <c r="B3" s="8" t="s">
        <v>81</v>
      </c>
    </row>
    <row r="4" customFormat="false" ht="18" hidden="false" customHeight="false" outlineLevel="0" collapsed="false">
      <c r="A4" s="8" t="s">
        <v>4</v>
      </c>
      <c r="B4" s="8" t="s">
        <v>82</v>
      </c>
    </row>
    <row r="5" customFormat="false" ht="18" hidden="false" customHeight="false" outlineLevel="0" collapsed="false">
      <c r="A5" s="8" t="s">
        <v>5</v>
      </c>
      <c r="B5" s="8" t="s">
        <v>83</v>
      </c>
    </row>
    <row r="7" customFormat="false" ht="18" hidden="false" customHeight="false" outlineLevel="0" collapsed="false">
      <c r="A7" s="8" t="s">
        <v>84</v>
      </c>
      <c r="B7" s="8" t="s">
        <v>41</v>
      </c>
    </row>
    <row r="8" customFormat="false" ht="18" hidden="false" customHeight="false" outlineLevel="0" collapsed="false">
      <c r="A8" s="8" t="s">
        <v>85</v>
      </c>
      <c r="B8" s="8" t="s">
        <v>43</v>
      </c>
    </row>
    <row r="10" customFormat="false" ht="18" hidden="false" customHeight="false" outlineLevel="0" collapsed="false">
      <c r="A10" s="5" t="s">
        <v>86</v>
      </c>
    </row>
    <row r="11" customFormat="false" ht="18" hidden="false" customHeight="false" outlineLevel="0" collapsed="false">
      <c r="A11" s="8" t="s">
        <v>87</v>
      </c>
      <c r="B11" s="8" t="s">
        <v>88</v>
      </c>
    </row>
    <row r="12" customFormat="false" ht="18" hidden="false" customHeight="false" outlineLevel="0" collapsed="false">
      <c r="A12" s="8" t="s">
        <v>89</v>
      </c>
      <c r="B12" s="8" t="s">
        <v>90</v>
      </c>
    </row>
    <row r="13" customFormat="false" ht="18" hidden="false" customHeight="false" outlineLevel="0" collapsed="false">
      <c r="A13" s="8" t="s">
        <v>91</v>
      </c>
      <c r="B13" s="8" t="s">
        <v>92</v>
      </c>
    </row>
    <row r="14" customFormat="false" ht="18" hidden="false" customHeight="false" outlineLevel="0" collapsed="false">
      <c r="A14" s="8" t="s">
        <v>93</v>
      </c>
      <c r="B14" s="8" t="s">
        <v>94</v>
      </c>
    </row>
    <row r="15" customFormat="false" ht="18" hidden="false" customHeight="false" outlineLevel="0" collapsed="false">
      <c r="A15" s="8" t="s">
        <v>95</v>
      </c>
      <c r="B15" s="8"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8"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7" min="5" style="1" width="10"/>
  </cols>
  <sheetData>
    <row r="1" customFormat="false" ht="18" hidden="false" customHeight="false" outlineLevel="0" collapsed="false">
      <c r="A1" s="16" t="s">
        <v>97</v>
      </c>
      <c r="B1" s="16" t="s">
        <v>98</v>
      </c>
      <c r="C1" s="16" t="s">
        <v>99</v>
      </c>
      <c r="D1" s="16" t="s">
        <v>100</v>
      </c>
      <c r="E1" s="16" t="s">
        <v>101</v>
      </c>
      <c r="F1" s="16" t="s">
        <v>102</v>
      </c>
      <c r="G1" s="16" t="s">
        <v>103</v>
      </c>
    </row>
    <row r="2" customFormat="false" ht="18" hidden="false" customHeight="false" outlineLevel="0" collapsed="false">
      <c r="A2" s="8" t="n">
        <v>1</v>
      </c>
      <c r="B2" s="8" t="s">
        <v>104</v>
      </c>
      <c r="C2" s="8" t="n">
        <v>1</v>
      </c>
      <c r="D2" s="8" t="s">
        <v>55</v>
      </c>
      <c r="E2" s="8" t="n">
        <v>0.9</v>
      </c>
      <c r="F2" s="8" t="n">
        <v>5</v>
      </c>
      <c r="G2" s="8" t="n">
        <v>0.1</v>
      </c>
    </row>
    <row r="3" customFormat="false" ht="18" hidden="false" customHeight="false" outlineLevel="0" collapsed="false">
      <c r="A3" s="8" t="n">
        <v>1</v>
      </c>
      <c r="B3" s="8" t="s">
        <v>104</v>
      </c>
      <c r="C3" s="8" t="n">
        <v>2</v>
      </c>
      <c r="D3" s="8" t="s">
        <v>57</v>
      </c>
      <c r="E3" s="8" t="n">
        <v>0.36</v>
      </c>
      <c r="F3" s="8" t="n">
        <v>3</v>
      </c>
      <c r="G3" s="8" t="n">
        <v>0.46</v>
      </c>
    </row>
    <row r="4" customFormat="false" ht="18" hidden="false" customHeight="false" outlineLevel="0" collapsed="false">
      <c r="A4" s="8" t="n">
        <v>1</v>
      </c>
      <c r="B4" s="8" t="s">
        <v>104</v>
      </c>
      <c r="C4" s="8" t="n">
        <v>3</v>
      </c>
      <c r="D4" s="8" t="s">
        <v>59</v>
      </c>
      <c r="E4" s="8" t="n">
        <v>0.36</v>
      </c>
      <c r="F4" s="8" t="n">
        <v>5</v>
      </c>
      <c r="G4" s="8" t="n">
        <v>0.1</v>
      </c>
    </row>
    <row r="5" customFormat="false" ht="18" hidden="false" customHeight="false" outlineLevel="0" collapsed="false">
      <c r="A5" s="8" t="n">
        <v>1</v>
      </c>
      <c r="B5" s="8" t="s">
        <v>104</v>
      </c>
      <c r="C5" s="8" t="n">
        <v>4</v>
      </c>
      <c r="D5" s="8" t="s">
        <v>65</v>
      </c>
      <c r="E5" s="8" t="n">
        <v>0.9</v>
      </c>
      <c r="F5" s="8" t="n">
        <v>5</v>
      </c>
      <c r="G5" s="8" t="n">
        <v>0.1</v>
      </c>
    </row>
    <row r="6" customFormat="false" ht="18" hidden="false" customHeight="false" outlineLevel="0" collapsed="false">
      <c r="A6" s="8" t="n">
        <v>2</v>
      </c>
      <c r="B6" s="8" t="s">
        <v>105</v>
      </c>
      <c r="C6" s="8" t="n">
        <v>1</v>
      </c>
      <c r="D6" s="8" t="s">
        <v>55</v>
      </c>
      <c r="E6" s="8" t="n">
        <v>0.9</v>
      </c>
      <c r="F6" s="8" t="n">
        <v>5</v>
      </c>
      <c r="G6" s="8" t="n">
        <v>0.1</v>
      </c>
    </row>
    <row r="7" customFormat="false" ht="18" hidden="false" customHeight="false" outlineLevel="0" collapsed="false">
      <c r="A7" s="8" t="n">
        <v>2</v>
      </c>
      <c r="B7" s="8" t="s">
        <v>105</v>
      </c>
      <c r="C7" s="8" t="n">
        <v>2</v>
      </c>
      <c r="D7" s="8" t="s">
        <v>57</v>
      </c>
      <c r="E7" s="8" t="n">
        <v>0.36</v>
      </c>
      <c r="F7" s="8" t="n">
        <v>3</v>
      </c>
      <c r="G7" s="8" t="n">
        <v>0.46</v>
      </c>
    </row>
    <row r="8" customFormat="false" ht="18" hidden="false" customHeight="false" outlineLevel="0" collapsed="false">
      <c r="A8" s="8" t="n">
        <v>2</v>
      </c>
      <c r="B8" s="8" t="s">
        <v>105</v>
      </c>
      <c r="C8" s="8" t="n">
        <v>3</v>
      </c>
      <c r="D8" s="8" t="s">
        <v>59</v>
      </c>
      <c r="E8" s="8" t="n">
        <v>0.36</v>
      </c>
      <c r="F8" s="8" t="n">
        <v>5</v>
      </c>
      <c r="G8" s="8" t="n">
        <v>0.1</v>
      </c>
    </row>
    <row r="9" customFormat="false" ht="18" hidden="false" customHeight="false" outlineLevel="0" collapsed="false">
      <c r="A9" s="8" t="n">
        <v>2</v>
      </c>
      <c r="B9" s="8" t="s">
        <v>105</v>
      </c>
      <c r="C9" s="8" t="n">
        <v>4</v>
      </c>
      <c r="D9" s="8" t="s">
        <v>63</v>
      </c>
      <c r="E9" s="8" t="n">
        <v>0.72</v>
      </c>
      <c r="F9" s="8" t="n">
        <v>3</v>
      </c>
      <c r="G9" s="8" t="n">
        <v>0.46</v>
      </c>
    </row>
    <row r="10" customFormat="false" ht="18" hidden="false" customHeight="false" outlineLevel="0" collapsed="false">
      <c r="A10" s="8" t="n">
        <v>3</v>
      </c>
      <c r="B10" s="8" t="s">
        <v>106</v>
      </c>
      <c r="C10" s="8" t="n">
        <v>1</v>
      </c>
      <c r="D10" s="8" t="s">
        <v>55</v>
      </c>
      <c r="E10" s="8" t="n">
        <v>0.9</v>
      </c>
      <c r="F10" s="8" t="n">
        <v>5</v>
      </c>
      <c r="G10" s="8" t="n">
        <v>0.1</v>
      </c>
    </row>
    <row r="11" customFormat="false" ht="18" hidden="false" customHeight="false" outlineLevel="0" collapsed="false">
      <c r="A11" s="8" t="n">
        <v>3</v>
      </c>
      <c r="B11" s="8" t="s">
        <v>106</v>
      </c>
      <c r="C11" s="8" t="n">
        <v>2</v>
      </c>
      <c r="D11" s="8" t="s">
        <v>57</v>
      </c>
      <c r="E11" s="8" t="n">
        <v>0.36</v>
      </c>
      <c r="F11" s="8" t="n">
        <v>3</v>
      </c>
      <c r="G11" s="8" t="n">
        <v>0.46</v>
      </c>
    </row>
    <row r="12" customFormat="false" ht="18" hidden="false" customHeight="false" outlineLevel="0" collapsed="false">
      <c r="A12" s="8" t="n">
        <v>3</v>
      </c>
      <c r="B12" s="8" t="s">
        <v>106</v>
      </c>
      <c r="C12" s="8" t="n">
        <v>3</v>
      </c>
      <c r="D12" s="8" t="s">
        <v>59</v>
      </c>
      <c r="E12" s="8" t="n">
        <v>0.36</v>
      </c>
      <c r="F12" s="8" t="n">
        <v>5</v>
      </c>
      <c r="G12" s="8" t="n">
        <v>0.1</v>
      </c>
    </row>
    <row r="13" customFormat="false" ht="18" hidden="false" customHeight="false" outlineLevel="0" collapsed="false">
      <c r="A13" s="8" t="n">
        <v>3</v>
      </c>
      <c r="B13" s="8" t="s">
        <v>106</v>
      </c>
      <c r="C13" s="8" t="n">
        <v>4</v>
      </c>
      <c r="D13" s="8" t="s">
        <v>61</v>
      </c>
      <c r="E13" s="8" t="n">
        <v>0.18</v>
      </c>
      <c r="F13" s="8" t="n">
        <v>3</v>
      </c>
      <c r="G13" s="8" t="n">
        <v>0.46</v>
      </c>
    </row>
    <row r="14" customFormat="false" ht="18" hidden="false" customHeight="false" outlineLevel="0" collapsed="false">
      <c r="A14" s="8" t="n">
        <v>4</v>
      </c>
      <c r="B14" s="8" t="s">
        <v>107</v>
      </c>
      <c r="C14" s="8" t="n">
        <v>1</v>
      </c>
      <c r="D14" s="8" t="s">
        <v>55</v>
      </c>
      <c r="E14" s="8" t="n">
        <v>0.9</v>
      </c>
      <c r="F14" s="8" t="n">
        <v>5</v>
      </c>
      <c r="G14" s="8" t="n">
        <v>0.1</v>
      </c>
    </row>
    <row r="15" customFormat="false" ht="18" hidden="false" customHeight="false" outlineLevel="0" collapsed="false">
      <c r="A15" s="8" t="n">
        <v>4</v>
      </c>
      <c r="B15" s="8" t="s">
        <v>107</v>
      </c>
      <c r="C15" s="8" t="n">
        <v>2</v>
      </c>
      <c r="D15" s="8" t="s">
        <v>57</v>
      </c>
      <c r="E15" s="8" t="n">
        <v>0.36</v>
      </c>
      <c r="F15" s="8" t="n">
        <v>3</v>
      </c>
      <c r="G15" s="8" t="n">
        <v>0.46</v>
      </c>
    </row>
    <row r="16" customFormat="false" ht="18" hidden="false" customHeight="false" outlineLevel="0" collapsed="false">
      <c r="A16" s="8" t="n">
        <v>4</v>
      </c>
      <c r="B16" s="8" t="s">
        <v>107</v>
      </c>
      <c r="C16" s="8" t="n">
        <v>3</v>
      </c>
      <c r="D16" s="8" t="s">
        <v>59</v>
      </c>
      <c r="E16" s="8" t="n">
        <v>0.36</v>
      </c>
      <c r="F16" s="8" t="n">
        <v>5</v>
      </c>
      <c r="G16" s="8" t="n">
        <v>0.1</v>
      </c>
    </row>
    <row r="17" customFormat="false" ht="18" hidden="false" customHeight="false" outlineLevel="0" collapsed="false">
      <c r="A17" s="8" t="n">
        <v>4</v>
      </c>
      <c r="B17" s="8" t="s">
        <v>107</v>
      </c>
      <c r="C17" s="8" t="n">
        <v>4</v>
      </c>
      <c r="D17" s="8" t="s">
        <v>67</v>
      </c>
      <c r="E17" s="8" t="n">
        <v>0.18</v>
      </c>
      <c r="F17" s="8" t="n">
        <v>3</v>
      </c>
      <c r="G17" s="8" t="n">
        <v>0.46</v>
      </c>
    </row>
    <row r="18" customFormat="false" ht="18" hidden="false" customHeight="false" outlineLevel="0" collapsed="false">
      <c r="A18" s="8" t="n">
        <v>5</v>
      </c>
      <c r="B18" s="8" t="s">
        <v>108</v>
      </c>
      <c r="C18" s="8" t="n">
        <v>1</v>
      </c>
      <c r="D18" s="8" t="s">
        <v>55</v>
      </c>
      <c r="E18" s="8" t="n">
        <v>0.9</v>
      </c>
      <c r="F18" s="8" t="n">
        <v>5</v>
      </c>
      <c r="G18" s="8" t="n">
        <v>0.1</v>
      </c>
    </row>
    <row r="19" customFormat="false" ht="18" hidden="false" customHeight="false" outlineLevel="0" collapsed="false">
      <c r="A19" s="8" t="n">
        <v>5</v>
      </c>
      <c r="B19" s="8" t="s">
        <v>108</v>
      </c>
      <c r="C19" s="8" t="n">
        <v>2</v>
      </c>
      <c r="D19" s="8" t="s">
        <v>57</v>
      </c>
      <c r="E19" s="8" t="n">
        <v>0.36</v>
      </c>
      <c r="F19" s="8" t="n">
        <v>3</v>
      </c>
      <c r="G19" s="8" t="n">
        <v>0.46</v>
      </c>
    </row>
    <row r="20" customFormat="false" ht="18" hidden="false" customHeight="false" outlineLevel="0" collapsed="false">
      <c r="A20" s="8" t="n">
        <v>5</v>
      </c>
      <c r="B20" s="8" t="s">
        <v>108</v>
      </c>
      <c r="C20" s="8" t="n">
        <v>3</v>
      </c>
      <c r="D20" s="8" t="s">
        <v>69</v>
      </c>
      <c r="E20" s="8" t="n">
        <v>0.36</v>
      </c>
      <c r="F20" s="8" t="n">
        <v>5</v>
      </c>
      <c r="G20" s="8" t="n">
        <v>0.1</v>
      </c>
    </row>
    <row r="21" customFormat="false" ht="18" hidden="false" customHeight="false" outlineLevel="0" collapsed="false">
      <c r="A21" s="8" t="n">
        <v>5</v>
      </c>
      <c r="B21" s="8" t="s">
        <v>108</v>
      </c>
      <c r="C21" s="8" t="n">
        <v>4</v>
      </c>
      <c r="D21" s="8" t="s">
        <v>65</v>
      </c>
      <c r="E21" s="8" t="n">
        <v>0.9</v>
      </c>
      <c r="F21" s="8" t="n">
        <v>5</v>
      </c>
      <c r="G21" s="8" t="n">
        <v>0.1</v>
      </c>
    </row>
    <row r="22" customFormat="false" ht="18" hidden="false" customHeight="false" outlineLevel="0" collapsed="false">
      <c r="A22" s="8" t="n">
        <v>6</v>
      </c>
      <c r="B22" s="8" t="s">
        <v>109</v>
      </c>
      <c r="C22" s="8" t="n">
        <v>1</v>
      </c>
      <c r="D22" s="8" t="s">
        <v>55</v>
      </c>
      <c r="E22" s="8" t="n">
        <v>0.9</v>
      </c>
      <c r="F22" s="8" t="n">
        <v>5</v>
      </c>
      <c r="G22" s="8" t="n">
        <v>0.1</v>
      </c>
    </row>
    <row r="23" customFormat="false" ht="18" hidden="false" customHeight="false" outlineLevel="0" collapsed="false">
      <c r="A23" s="8" t="n">
        <v>6</v>
      </c>
      <c r="B23" s="8" t="s">
        <v>109</v>
      </c>
      <c r="C23" s="8" t="n">
        <v>2</v>
      </c>
      <c r="D23" s="8" t="s">
        <v>57</v>
      </c>
      <c r="E23" s="8" t="n">
        <v>0.36</v>
      </c>
      <c r="F23" s="8" t="n">
        <v>3</v>
      </c>
      <c r="G23" s="8" t="n">
        <v>0.46</v>
      </c>
    </row>
    <row r="24" customFormat="false" ht="18" hidden="false" customHeight="false" outlineLevel="0" collapsed="false">
      <c r="A24" s="8" t="n">
        <v>6</v>
      </c>
      <c r="B24" s="8" t="s">
        <v>109</v>
      </c>
      <c r="C24" s="8" t="n">
        <v>3</v>
      </c>
      <c r="D24" s="8" t="s">
        <v>69</v>
      </c>
      <c r="E24" s="8" t="n">
        <v>0.36</v>
      </c>
      <c r="F24" s="8" t="n">
        <v>5</v>
      </c>
      <c r="G24" s="8" t="n">
        <v>0.1</v>
      </c>
    </row>
    <row r="25" customFormat="false" ht="18" hidden="false" customHeight="false" outlineLevel="0" collapsed="false">
      <c r="A25" s="8" t="n">
        <v>6</v>
      </c>
      <c r="B25" s="8" t="s">
        <v>109</v>
      </c>
      <c r="C25" s="8" t="n">
        <v>4</v>
      </c>
      <c r="D25" s="8" t="s">
        <v>63</v>
      </c>
      <c r="E25" s="8" t="n">
        <v>0.72</v>
      </c>
      <c r="F25" s="8" t="n">
        <v>3</v>
      </c>
      <c r="G25" s="8" t="n">
        <v>0.46</v>
      </c>
    </row>
    <row r="26" customFormat="false" ht="18" hidden="false" customHeight="false" outlineLevel="0" collapsed="false">
      <c r="A26" s="8" t="n">
        <v>7</v>
      </c>
      <c r="B26" s="8" t="s">
        <v>110</v>
      </c>
      <c r="C26" s="8" t="n">
        <v>1</v>
      </c>
      <c r="D26" s="8" t="s">
        <v>55</v>
      </c>
      <c r="E26" s="8" t="n">
        <v>0.9</v>
      </c>
      <c r="F26" s="8" t="n">
        <v>5</v>
      </c>
      <c r="G26" s="8" t="n">
        <v>0.1</v>
      </c>
    </row>
    <row r="27" customFormat="false" ht="18" hidden="false" customHeight="false" outlineLevel="0" collapsed="false">
      <c r="A27" s="8" t="n">
        <v>7</v>
      </c>
      <c r="B27" s="8" t="s">
        <v>110</v>
      </c>
      <c r="C27" s="8" t="n">
        <v>2</v>
      </c>
      <c r="D27" s="8" t="s">
        <v>57</v>
      </c>
      <c r="E27" s="8" t="n">
        <v>0.36</v>
      </c>
      <c r="F27" s="8" t="n">
        <v>3</v>
      </c>
      <c r="G27" s="8" t="n">
        <v>0.46</v>
      </c>
    </row>
    <row r="28" customFormat="false" ht="18" hidden="false" customHeight="false" outlineLevel="0" collapsed="false">
      <c r="A28" s="8" t="n">
        <v>7</v>
      </c>
      <c r="B28" s="8" t="s">
        <v>110</v>
      </c>
      <c r="C28" s="8" t="n">
        <v>3</v>
      </c>
      <c r="D28" s="8" t="s">
        <v>69</v>
      </c>
      <c r="E28" s="8" t="n">
        <v>0.36</v>
      </c>
      <c r="F28" s="8" t="n">
        <v>5</v>
      </c>
      <c r="G28" s="8" t="n">
        <v>0.1</v>
      </c>
    </row>
    <row r="29" customFormat="false" ht="18" hidden="false" customHeight="false" outlineLevel="0" collapsed="false">
      <c r="A29" s="8" t="n">
        <v>7</v>
      </c>
      <c r="B29" s="8" t="s">
        <v>110</v>
      </c>
      <c r="C29" s="8" t="n">
        <v>4</v>
      </c>
      <c r="D29" s="8" t="s">
        <v>61</v>
      </c>
      <c r="E29" s="8" t="n">
        <v>0.18</v>
      </c>
      <c r="F29" s="8" t="n">
        <v>3</v>
      </c>
      <c r="G29" s="8" t="n">
        <v>0.46</v>
      </c>
    </row>
    <row r="30" customFormat="false" ht="18" hidden="false" customHeight="false" outlineLevel="0" collapsed="false">
      <c r="A30" s="8" t="n">
        <v>8</v>
      </c>
      <c r="B30" s="8" t="s">
        <v>111</v>
      </c>
      <c r="C30" s="8" t="n">
        <v>1</v>
      </c>
      <c r="D30" s="8" t="s">
        <v>55</v>
      </c>
      <c r="E30" s="8" t="n">
        <v>0.9</v>
      </c>
      <c r="F30" s="8" t="n">
        <v>5</v>
      </c>
      <c r="G30" s="8" t="n">
        <v>0.1</v>
      </c>
    </row>
    <row r="31" customFormat="false" ht="18" hidden="false" customHeight="false" outlineLevel="0" collapsed="false">
      <c r="A31" s="8" t="n">
        <v>8</v>
      </c>
      <c r="B31" s="8" t="s">
        <v>111</v>
      </c>
      <c r="C31" s="8" t="n">
        <v>2</v>
      </c>
      <c r="D31" s="8" t="s">
        <v>57</v>
      </c>
      <c r="E31" s="8" t="n">
        <v>0.36</v>
      </c>
      <c r="F31" s="8" t="n">
        <v>3</v>
      </c>
      <c r="G31" s="8" t="n">
        <v>0.46</v>
      </c>
    </row>
    <row r="32" customFormat="false" ht="18" hidden="false" customHeight="false" outlineLevel="0" collapsed="false">
      <c r="A32" s="8" t="n">
        <v>8</v>
      </c>
      <c r="B32" s="8" t="s">
        <v>111</v>
      </c>
      <c r="C32" s="8" t="n">
        <v>3</v>
      </c>
      <c r="D32" s="8" t="s">
        <v>69</v>
      </c>
      <c r="E32" s="8" t="n">
        <v>0.36</v>
      </c>
      <c r="F32" s="8" t="n">
        <v>5</v>
      </c>
      <c r="G32" s="8" t="n">
        <v>0.1</v>
      </c>
    </row>
    <row r="33" customFormat="false" ht="18" hidden="false" customHeight="false" outlineLevel="0" collapsed="false">
      <c r="A33" s="8" t="n">
        <v>8</v>
      </c>
      <c r="B33" s="8" t="s">
        <v>111</v>
      </c>
      <c r="C33" s="8" t="n">
        <v>4</v>
      </c>
      <c r="D33" s="8" t="s">
        <v>67</v>
      </c>
      <c r="E33" s="8" t="n">
        <v>0.18</v>
      </c>
      <c r="F33" s="8" t="n">
        <v>3</v>
      </c>
      <c r="G33" s="8" t="n">
        <v>0.46</v>
      </c>
    </row>
    <row r="34" customFormat="false" ht="18" hidden="false" customHeight="false" outlineLevel="0" collapsed="false">
      <c r="A34" s="8" t="n">
        <v>9</v>
      </c>
      <c r="B34" s="8" t="s">
        <v>112</v>
      </c>
      <c r="C34" s="8" t="n">
        <v>1</v>
      </c>
      <c r="D34" s="8" t="s">
        <v>55</v>
      </c>
      <c r="E34" s="8" t="n">
        <v>0.9</v>
      </c>
      <c r="F34" s="8" t="n">
        <v>5</v>
      </c>
      <c r="G34" s="8" t="n">
        <v>0.1</v>
      </c>
    </row>
    <row r="35" customFormat="false" ht="18" hidden="false" customHeight="false" outlineLevel="0" collapsed="false">
      <c r="A35" s="8" t="n">
        <v>9</v>
      </c>
      <c r="B35" s="8" t="s">
        <v>112</v>
      </c>
      <c r="C35" s="8" t="n">
        <v>2</v>
      </c>
      <c r="D35" s="8" t="s">
        <v>57</v>
      </c>
      <c r="E35" s="8" t="n">
        <v>0.36</v>
      </c>
      <c r="F35" s="8" t="n">
        <v>3</v>
      </c>
      <c r="G35" s="8" t="n">
        <v>0.46</v>
      </c>
    </row>
    <row r="36" customFormat="false" ht="18" hidden="false" customHeight="false" outlineLevel="0" collapsed="false">
      <c r="A36" s="8" t="n">
        <v>9</v>
      </c>
      <c r="B36" s="8" t="s">
        <v>112</v>
      </c>
      <c r="C36" s="8" t="n">
        <v>3</v>
      </c>
      <c r="D36" s="8" t="s">
        <v>71</v>
      </c>
      <c r="E36" s="8" t="n">
        <v>0.36</v>
      </c>
      <c r="F36" s="8" t="n">
        <v>5</v>
      </c>
      <c r="G36" s="8" t="n">
        <v>0.1</v>
      </c>
    </row>
    <row r="37" customFormat="false" ht="18" hidden="false" customHeight="false" outlineLevel="0" collapsed="false">
      <c r="A37" s="8" t="n">
        <v>9</v>
      </c>
      <c r="B37" s="8" t="s">
        <v>112</v>
      </c>
      <c r="C37" s="8" t="n">
        <v>4</v>
      </c>
      <c r="D37" s="8" t="s">
        <v>65</v>
      </c>
      <c r="E37" s="8" t="n">
        <v>0.9</v>
      </c>
      <c r="F37" s="8" t="n">
        <v>5</v>
      </c>
      <c r="G37" s="8" t="n">
        <v>0.1</v>
      </c>
    </row>
    <row r="38" customFormat="false" ht="18" hidden="false" customHeight="false" outlineLevel="0" collapsed="false">
      <c r="A38" s="8" t="n">
        <v>10</v>
      </c>
      <c r="B38" s="8" t="s">
        <v>113</v>
      </c>
      <c r="C38" s="8" t="n">
        <v>1</v>
      </c>
      <c r="D38" s="8" t="s">
        <v>55</v>
      </c>
      <c r="E38" s="8" t="n">
        <v>0.9</v>
      </c>
      <c r="F38" s="8" t="n">
        <v>5</v>
      </c>
      <c r="G38" s="8" t="n">
        <v>0.1</v>
      </c>
    </row>
    <row r="39" customFormat="false" ht="18" hidden="false" customHeight="false" outlineLevel="0" collapsed="false">
      <c r="A39" s="8" t="n">
        <v>10</v>
      </c>
      <c r="B39" s="8" t="s">
        <v>113</v>
      </c>
      <c r="C39" s="8" t="n">
        <v>2</v>
      </c>
      <c r="D39" s="8" t="s">
        <v>57</v>
      </c>
      <c r="E39" s="8" t="n">
        <v>0.36</v>
      </c>
      <c r="F39" s="8" t="n">
        <v>3</v>
      </c>
      <c r="G39" s="8" t="n">
        <v>0.46</v>
      </c>
    </row>
    <row r="40" customFormat="false" ht="18" hidden="false" customHeight="false" outlineLevel="0" collapsed="false">
      <c r="A40" s="8" t="n">
        <v>10</v>
      </c>
      <c r="B40" s="8" t="s">
        <v>113</v>
      </c>
      <c r="C40" s="8" t="n">
        <v>3</v>
      </c>
      <c r="D40" s="8" t="s">
        <v>71</v>
      </c>
      <c r="E40" s="8" t="n">
        <v>0.36</v>
      </c>
      <c r="F40" s="8" t="n">
        <v>5</v>
      </c>
      <c r="G40" s="8" t="n">
        <v>0.1</v>
      </c>
    </row>
    <row r="41" customFormat="false" ht="18" hidden="false" customHeight="false" outlineLevel="0" collapsed="false">
      <c r="A41" s="8" t="n">
        <v>10</v>
      </c>
      <c r="B41" s="8" t="s">
        <v>113</v>
      </c>
      <c r="C41" s="8" t="n">
        <v>4</v>
      </c>
      <c r="D41" s="8" t="s">
        <v>63</v>
      </c>
      <c r="E41" s="8" t="n">
        <v>0.72</v>
      </c>
      <c r="F41" s="8" t="n">
        <v>3</v>
      </c>
      <c r="G41" s="8" t="n">
        <v>0.46</v>
      </c>
    </row>
    <row r="42" customFormat="false" ht="18" hidden="false" customHeight="false" outlineLevel="0" collapsed="false">
      <c r="A42" s="8" t="n">
        <v>11</v>
      </c>
      <c r="B42" s="8" t="s">
        <v>114</v>
      </c>
      <c r="C42" s="8" t="n">
        <v>1</v>
      </c>
      <c r="D42" s="8" t="s">
        <v>55</v>
      </c>
      <c r="E42" s="8" t="n">
        <v>0.9</v>
      </c>
      <c r="F42" s="8" t="n">
        <v>5</v>
      </c>
      <c r="G42" s="8" t="n">
        <v>0.1</v>
      </c>
    </row>
    <row r="43" customFormat="false" ht="18" hidden="false" customHeight="false" outlineLevel="0" collapsed="false">
      <c r="A43" s="8" t="n">
        <v>11</v>
      </c>
      <c r="B43" s="8" t="s">
        <v>114</v>
      </c>
      <c r="C43" s="8" t="n">
        <v>2</v>
      </c>
      <c r="D43" s="8" t="s">
        <v>57</v>
      </c>
      <c r="E43" s="8" t="n">
        <v>0.36</v>
      </c>
      <c r="F43" s="8" t="n">
        <v>3</v>
      </c>
      <c r="G43" s="8" t="n">
        <v>0.46</v>
      </c>
    </row>
    <row r="44" customFormat="false" ht="18" hidden="false" customHeight="false" outlineLevel="0" collapsed="false">
      <c r="A44" s="8" t="n">
        <v>11</v>
      </c>
      <c r="B44" s="8" t="s">
        <v>114</v>
      </c>
      <c r="C44" s="8" t="n">
        <v>3</v>
      </c>
      <c r="D44" s="8" t="s">
        <v>71</v>
      </c>
      <c r="E44" s="8" t="n">
        <v>0.36</v>
      </c>
      <c r="F44" s="8" t="n">
        <v>5</v>
      </c>
      <c r="G44" s="8" t="n">
        <v>0.1</v>
      </c>
    </row>
    <row r="45" customFormat="false" ht="18" hidden="false" customHeight="false" outlineLevel="0" collapsed="false">
      <c r="A45" s="8" t="n">
        <v>11</v>
      </c>
      <c r="B45" s="8" t="s">
        <v>114</v>
      </c>
      <c r="C45" s="8" t="n">
        <v>4</v>
      </c>
      <c r="D45" s="8" t="s">
        <v>61</v>
      </c>
      <c r="E45" s="8" t="n">
        <v>0.18</v>
      </c>
      <c r="F45" s="8" t="n">
        <v>3</v>
      </c>
      <c r="G45" s="8" t="n">
        <v>0.46</v>
      </c>
    </row>
    <row r="46" customFormat="false" ht="18" hidden="false" customHeight="false" outlineLevel="0" collapsed="false">
      <c r="A46" s="8" t="n">
        <v>12</v>
      </c>
      <c r="B46" s="8" t="s">
        <v>115</v>
      </c>
      <c r="C46" s="8" t="n">
        <v>1</v>
      </c>
      <c r="D46" s="8" t="s">
        <v>55</v>
      </c>
      <c r="E46" s="8" t="n">
        <v>0.9</v>
      </c>
      <c r="F46" s="8" t="n">
        <v>5</v>
      </c>
      <c r="G46" s="8" t="n">
        <v>0.1</v>
      </c>
    </row>
    <row r="47" customFormat="false" ht="18" hidden="false" customHeight="false" outlineLevel="0" collapsed="false">
      <c r="A47" s="8" t="n">
        <v>12</v>
      </c>
      <c r="B47" s="8" t="s">
        <v>115</v>
      </c>
      <c r="C47" s="8" t="n">
        <v>2</v>
      </c>
      <c r="D47" s="8" t="s">
        <v>57</v>
      </c>
      <c r="E47" s="8" t="n">
        <v>0.36</v>
      </c>
      <c r="F47" s="8" t="n">
        <v>3</v>
      </c>
      <c r="G47" s="8" t="n">
        <v>0.46</v>
      </c>
    </row>
    <row r="48" customFormat="false" ht="18" hidden="false" customHeight="false" outlineLevel="0" collapsed="false">
      <c r="A48" s="8" t="n">
        <v>12</v>
      </c>
      <c r="B48" s="8" t="s">
        <v>115</v>
      </c>
      <c r="C48" s="8" t="n">
        <v>3</v>
      </c>
      <c r="D48" s="8" t="s">
        <v>71</v>
      </c>
      <c r="E48" s="8" t="n">
        <v>0.36</v>
      </c>
      <c r="F48" s="8" t="n">
        <v>5</v>
      </c>
      <c r="G48" s="8" t="n">
        <v>0.1</v>
      </c>
    </row>
    <row r="49" customFormat="false" ht="18" hidden="false" customHeight="false" outlineLevel="0" collapsed="false">
      <c r="A49" s="8" t="n">
        <v>12</v>
      </c>
      <c r="B49" s="8" t="s">
        <v>115</v>
      </c>
      <c r="C49" s="8" t="n">
        <v>4</v>
      </c>
      <c r="D49" s="8" t="s">
        <v>67</v>
      </c>
      <c r="E49" s="8" t="n">
        <v>0.18</v>
      </c>
      <c r="F49" s="8" t="n">
        <v>3</v>
      </c>
      <c r="G49" s="8" t="n">
        <v>0.46</v>
      </c>
    </row>
    <row r="50" customFormat="false" ht="18" hidden="false" customHeight="false" outlineLevel="0" collapsed="false">
      <c r="A50" s="8" t="n">
        <v>13</v>
      </c>
      <c r="B50" s="8" t="s">
        <v>116</v>
      </c>
      <c r="C50" s="8" t="n">
        <v>1</v>
      </c>
      <c r="D50" s="8" t="s">
        <v>55</v>
      </c>
      <c r="E50" s="8" t="n">
        <v>0.9</v>
      </c>
      <c r="F50" s="8" t="n">
        <v>5</v>
      </c>
      <c r="G50" s="8" t="n">
        <v>0.1</v>
      </c>
    </row>
    <row r="51" customFormat="false" ht="18" hidden="false" customHeight="false" outlineLevel="0" collapsed="false">
      <c r="A51" s="8" t="n">
        <v>13</v>
      </c>
      <c r="B51" s="8" t="s">
        <v>116</v>
      </c>
      <c r="C51" s="8" t="n">
        <v>2</v>
      </c>
      <c r="D51" s="8" t="s">
        <v>57</v>
      </c>
      <c r="E51" s="8" t="n">
        <v>0.36</v>
      </c>
      <c r="F51" s="8" t="n">
        <v>3</v>
      </c>
      <c r="G51" s="8" t="n">
        <v>0.46</v>
      </c>
    </row>
    <row r="52" customFormat="false" ht="18" hidden="false" customHeight="false" outlineLevel="0" collapsed="false">
      <c r="A52" s="8" t="n">
        <v>13</v>
      </c>
      <c r="B52" s="8" t="s">
        <v>116</v>
      </c>
      <c r="C52" s="8" t="n">
        <v>3</v>
      </c>
      <c r="D52" s="8" t="s">
        <v>73</v>
      </c>
      <c r="E52" s="8" t="n">
        <v>0.36</v>
      </c>
      <c r="F52" s="8" t="n">
        <v>5</v>
      </c>
      <c r="G52" s="8" t="n">
        <v>0.1</v>
      </c>
    </row>
    <row r="53" customFormat="false" ht="18" hidden="false" customHeight="false" outlineLevel="0" collapsed="false">
      <c r="A53" s="8" t="n">
        <v>13</v>
      </c>
      <c r="B53" s="8" t="s">
        <v>116</v>
      </c>
      <c r="C53" s="8" t="n">
        <v>4</v>
      </c>
      <c r="D53" s="8" t="s">
        <v>65</v>
      </c>
      <c r="E53" s="8" t="n">
        <v>0.9</v>
      </c>
      <c r="F53" s="8" t="n">
        <v>5</v>
      </c>
      <c r="G53" s="8" t="n">
        <v>0.1</v>
      </c>
    </row>
    <row r="54" customFormat="false" ht="18" hidden="false" customHeight="false" outlineLevel="0" collapsed="false">
      <c r="A54" s="8" t="n">
        <v>14</v>
      </c>
      <c r="B54" s="8" t="s">
        <v>117</v>
      </c>
      <c r="C54" s="8" t="n">
        <v>1</v>
      </c>
      <c r="D54" s="8" t="s">
        <v>55</v>
      </c>
      <c r="E54" s="8" t="n">
        <v>0.9</v>
      </c>
      <c r="F54" s="8" t="n">
        <v>5</v>
      </c>
      <c r="G54" s="8" t="n">
        <v>0.1</v>
      </c>
    </row>
    <row r="55" customFormat="false" ht="18" hidden="false" customHeight="false" outlineLevel="0" collapsed="false">
      <c r="A55" s="8" t="n">
        <v>14</v>
      </c>
      <c r="B55" s="8" t="s">
        <v>117</v>
      </c>
      <c r="C55" s="8" t="n">
        <v>2</v>
      </c>
      <c r="D55" s="8" t="s">
        <v>57</v>
      </c>
      <c r="E55" s="8" t="n">
        <v>0.36</v>
      </c>
      <c r="F55" s="8" t="n">
        <v>3</v>
      </c>
      <c r="G55" s="8" t="n">
        <v>0.46</v>
      </c>
    </row>
    <row r="56" customFormat="false" ht="18" hidden="false" customHeight="false" outlineLevel="0" collapsed="false">
      <c r="A56" s="8" t="n">
        <v>14</v>
      </c>
      <c r="B56" s="8" t="s">
        <v>117</v>
      </c>
      <c r="C56" s="8" t="n">
        <v>3</v>
      </c>
      <c r="D56" s="8" t="s">
        <v>73</v>
      </c>
      <c r="E56" s="8" t="n">
        <v>0.36</v>
      </c>
      <c r="F56" s="8" t="n">
        <v>5</v>
      </c>
      <c r="G56" s="8" t="n">
        <v>0.1</v>
      </c>
    </row>
    <row r="57" customFormat="false" ht="18" hidden="false" customHeight="false" outlineLevel="0" collapsed="false">
      <c r="A57" s="8" t="n">
        <v>14</v>
      </c>
      <c r="B57" s="8" t="s">
        <v>117</v>
      </c>
      <c r="C57" s="8" t="n">
        <v>4</v>
      </c>
      <c r="D57" s="8" t="s">
        <v>63</v>
      </c>
      <c r="E57" s="8" t="n">
        <v>0.72</v>
      </c>
      <c r="F57" s="8" t="n">
        <v>3</v>
      </c>
      <c r="G57" s="8" t="n">
        <v>0.46</v>
      </c>
    </row>
    <row r="58" customFormat="false" ht="18" hidden="false" customHeight="false" outlineLevel="0" collapsed="false">
      <c r="A58" s="8" t="n">
        <v>15</v>
      </c>
      <c r="B58" s="8" t="s">
        <v>118</v>
      </c>
      <c r="C58" s="8" t="n">
        <v>1</v>
      </c>
      <c r="D58" s="8" t="s">
        <v>55</v>
      </c>
      <c r="E58" s="8" t="n">
        <v>0.9</v>
      </c>
      <c r="F58" s="8" t="n">
        <v>5</v>
      </c>
      <c r="G58" s="8" t="n">
        <v>0.1</v>
      </c>
    </row>
    <row r="59" customFormat="false" ht="18" hidden="false" customHeight="false" outlineLevel="0" collapsed="false">
      <c r="A59" s="8" t="n">
        <v>15</v>
      </c>
      <c r="B59" s="8" t="s">
        <v>118</v>
      </c>
      <c r="C59" s="8" t="n">
        <v>2</v>
      </c>
      <c r="D59" s="8" t="s">
        <v>57</v>
      </c>
      <c r="E59" s="8" t="n">
        <v>0.36</v>
      </c>
      <c r="F59" s="8" t="n">
        <v>3</v>
      </c>
      <c r="G59" s="8" t="n">
        <v>0.46</v>
      </c>
    </row>
    <row r="60" customFormat="false" ht="18" hidden="false" customHeight="false" outlineLevel="0" collapsed="false">
      <c r="A60" s="8" t="n">
        <v>15</v>
      </c>
      <c r="B60" s="8" t="s">
        <v>118</v>
      </c>
      <c r="C60" s="8" t="n">
        <v>3</v>
      </c>
      <c r="D60" s="8" t="s">
        <v>73</v>
      </c>
      <c r="E60" s="8" t="n">
        <v>0.36</v>
      </c>
      <c r="F60" s="8" t="n">
        <v>5</v>
      </c>
      <c r="G60" s="8" t="n">
        <v>0.1</v>
      </c>
    </row>
    <row r="61" customFormat="false" ht="18" hidden="false" customHeight="false" outlineLevel="0" collapsed="false">
      <c r="A61" s="8" t="n">
        <v>15</v>
      </c>
      <c r="B61" s="8" t="s">
        <v>118</v>
      </c>
      <c r="C61" s="8" t="n">
        <v>4</v>
      </c>
      <c r="D61" s="8" t="s">
        <v>61</v>
      </c>
      <c r="E61" s="8" t="n">
        <v>0.18</v>
      </c>
      <c r="F61" s="8" t="n">
        <v>3</v>
      </c>
      <c r="G61" s="8" t="n">
        <v>0.46</v>
      </c>
    </row>
    <row r="62" customFormat="false" ht="18" hidden="false" customHeight="false" outlineLevel="0" collapsed="false">
      <c r="A62" s="8" t="n">
        <v>16</v>
      </c>
      <c r="B62" s="8" t="s">
        <v>119</v>
      </c>
      <c r="C62" s="8" t="n">
        <v>1</v>
      </c>
      <c r="D62" s="8" t="s">
        <v>55</v>
      </c>
      <c r="E62" s="8" t="n">
        <v>0.9</v>
      </c>
      <c r="F62" s="8" t="n">
        <v>5</v>
      </c>
      <c r="G62" s="8" t="n">
        <v>0.1</v>
      </c>
    </row>
    <row r="63" customFormat="false" ht="18" hidden="false" customHeight="false" outlineLevel="0" collapsed="false">
      <c r="A63" s="8" t="n">
        <v>16</v>
      </c>
      <c r="B63" s="8" t="s">
        <v>119</v>
      </c>
      <c r="C63" s="8" t="n">
        <v>2</v>
      </c>
      <c r="D63" s="8" t="s">
        <v>57</v>
      </c>
      <c r="E63" s="8" t="n">
        <v>0.36</v>
      </c>
      <c r="F63" s="8" t="n">
        <v>3</v>
      </c>
      <c r="G63" s="8" t="n">
        <v>0.46</v>
      </c>
    </row>
    <row r="64" customFormat="false" ht="18" hidden="false" customHeight="false" outlineLevel="0" collapsed="false">
      <c r="A64" s="8" t="n">
        <v>16</v>
      </c>
      <c r="B64" s="8" t="s">
        <v>119</v>
      </c>
      <c r="C64" s="8" t="n">
        <v>3</v>
      </c>
      <c r="D64" s="8" t="s">
        <v>73</v>
      </c>
      <c r="E64" s="8" t="n">
        <v>0.36</v>
      </c>
      <c r="F64" s="8" t="n">
        <v>5</v>
      </c>
      <c r="G64" s="8" t="n">
        <v>0.1</v>
      </c>
    </row>
    <row r="65" customFormat="false" ht="18" hidden="false" customHeight="false" outlineLevel="0" collapsed="false">
      <c r="A65" s="8" t="n">
        <v>16</v>
      </c>
      <c r="B65" s="8" t="s">
        <v>119</v>
      </c>
      <c r="C65" s="8" t="n">
        <v>4</v>
      </c>
      <c r="D65" s="8" t="s">
        <v>67</v>
      </c>
      <c r="E65" s="8" t="n">
        <v>0.18</v>
      </c>
      <c r="F65" s="8" t="n">
        <v>3</v>
      </c>
      <c r="G65" s="8" t="n">
        <v>0.46</v>
      </c>
    </row>
    <row r="66" customFormat="false" ht="18" hidden="false" customHeight="false" outlineLevel="0" collapsed="false">
      <c r="A66" s="8" t="n">
        <v>17</v>
      </c>
      <c r="B66" s="8" t="s">
        <v>120</v>
      </c>
      <c r="C66" s="8" t="n">
        <v>1</v>
      </c>
      <c r="D66" s="8" t="s">
        <v>55</v>
      </c>
      <c r="E66" s="8" t="n">
        <v>0.9</v>
      </c>
      <c r="F66" s="8" t="n">
        <v>5</v>
      </c>
      <c r="G66" s="8" t="n">
        <v>0.1</v>
      </c>
    </row>
    <row r="67" customFormat="false" ht="18" hidden="false" customHeight="false" outlineLevel="0" collapsed="false">
      <c r="A67" s="8" t="n">
        <v>17</v>
      </c>
      <c r="B67" s="8" t="s">
        <v>120</v>
      </c>
      <c r="C67" s="8" t="n">
        <v>2</v>
      </c>
      <c r="D67" s="8" t="s">
        <v>75</v>
      </c>
      <c r="E67" s="8" t="n">
        <v>0.36</v>
      </c>
      <c r="F67" s="8" t="n">
        <v>5</v>
      </c>
      <c r="G67" s="8" t="n">
        <v>0.1</v>
      </c>
    </row>
    <row r="68" customFormat="false" ht="18" hidden="false" customHeight="false" outlineLevel="0" collapsed="false">
      <c r="A68" s="8" t="n">
        <v>17</v>
      </c>
      <c r="B68" s="8" t="s">
        <v>120</v>
      </c>
      <c r="C68" s="8" t="n">
        <v>3</v>
      </c>
      <c r="D68" s="8" t="s">
        <v>59</v>
      </c>
      <c r="E68" s="8" t="n">
        <v>0.36</v>
      </c>
      <c r="F68" s="8" t="n">
        <v>5</v>
      </c>
      <c r="G68" s="8" t="n">
        <v>0.1</v>
      </c>
    </row>
    <row r="69" customFormat="false" ht="18" hidden="false" customHeight="false" outlineLevel="0" collapsed="false">
      <c r="A69" s="8" t="n">
        <v>17</v>
      </c>
      <c r="B69" s="8" t="s">
        <v>120</v>
      </c>
      <c r="C69" s="8" t="n">
        <v>4</v>
      </c>
      <c r="D69" s="8" t="s">
        <v>65</v>
      </c>
      <c r="E69" s="8" t="n">
        <v>0.9</v>
      </c>
      <c r="F69" s="8" t="n">
        <v>5</v>
      </c>
      <c r="G69" s="8" t="n">
        <v>0.1</v>
      </c>
    </row>
    <row r="70" customFormat="false" ht="18" hidden="false" customHeight="false" outlineLevel="0" collapsed="false">
      <c r="A70" s="8" t="n">
        <v>18</v>
      </c>
      <c r="B70" s="8" t="s">
        <v>121</v>
      </c>
      <c r="C70" s="8" t="n">
        <v>1</v>
      </c>
      <c r="D70" s="8" t="s">
        <v>55</v>
      </c>
      <c r="E70" s="8" t="n">
        <v>0.9</v>
      </c>
      <c r="F70" s="8" t="n">
        <v>5</v>
      </c>
      <c r="G70" s="8" t="n">
        <v>0.1</v>
      </c>
    </row>
    <row r="71" customFormat="false" ht="18" hidden="false" customHeight="false" outlineLevel="0" collapsed="false">
      <c r="A71" s="8" t="n">
        <v>18</v>
      </c>
      <c r="B71" s="8" t="s">
        <v>121</v>
      </c>
      <c r="C71" s="8" t="n">
        <v>2</v>
      </c>
      <c r="D71" s="8" t="s">
        <v>75</v>
      </c>
      <c r="E71" s="8" t="n">
        <v>0.36</v>
      </c>
      <c r="F71" s="8" t="n">
        <v>5</v>
      </c>
      <c r="G71" s="8" t="n">
        <v>0.1</v>
      </c>
    </row>
    <row r="72" customFormat="false" ht="18" hidden="false" customHeight="false" outlineLevel="0" collapsed="false">
      <c r="A72" s="8" t="n">
        <v>18</v>
      </c>
      <c r="B72" s="8" t="s">
        <v>121</v>
      </c>
      <c r="C72" s="8" t="n">
        <v>3</v>
      </c>
      <c r="D72" s="8" t="s">
        <v>59</v>
      </c>
      <c r="E72" s="8" t="n">
        <v>0.36</v>
      </c>
      <c r="F72" s="8" t="n">
        <v>5</v>
      </c>
      <c r="G72" s="8" t="n">
        <v>0.1</v>
      </c>
    </row>
    <row r="73" customFormat="false" ht="18" hidden="false" customHeight="false" outlineLevel="0" collapsed="false">
      <c r="A73" s="8" t="n">
        <v>18</v>
      </c>
      <c r="B73" s="8" t="s">
        <v>121</v>
      </c>
      <c r="C73" s="8" t="n">
        <v>4</v>
      </c>
      <c r="D73" s="8" t="s">
        <v>63</v>
      </c>
      <c r="E73" s="8" t="n">
        <v>0.72</v>
      </c>
      <c r="F73" s="8" t="n">
        <v>3</v>
      </c>
      <c r="G73" s="8" t="n">
        <v>0.46</v>
      </c>
    </row>
    <row r="74" customFormat="false" ht="18" hidden="false" customHeight="false" outlineLevel="0" collapsed="false">
      <c r="A74" s="8" t="n">
        <v>19</v>
      </c>
      <c r="B74" s="8" t="s">
        <v>122</v>
      </c>
      <c r="C74" s="8" t="n">
        <v>1</v>
      </c>
      <c r="D74" s="8" t="s">
        <v>55</v>
      </c>
      <c r="E74" s="8" t="n">
        <v>0.9</v>
      </c>
      <c r="F74" s="8" t="n">
        <v>5</v>
      </c>
      <c r="G74" s="8" t="n">
        <v>0.1</v>
      </c>
    </row>
    <row r="75" customFormat="false" ht="18" hidden="false" customHeight="false" outlineLevel="0" collapsed="false">
      <c r="A75" s="8" t="n">
        <v>19</v>
      </c>
      <c r="B75" s="8" t="s">
        <v>122</v>
      </c>
      <c r="C75" s="8" t="n">
        <v>2</v>
      </c>
      <c r="D75" s="8" t="s">
        <v>75</v>
      </c>
      <c r="E75" s="8" t="n">
        <v>0.36</v>
      </c>
      <c r="F75" s="8" t="n">
        <v>5</v>
      </c>
      <c r="G75" s="8" t="n">
        <v>0.1</v>
      </c>
    </row>
    <row r="76" customFormat="false" ht="18" hidden="false" customHeight="false" outlineLevel="0" collapsed="false">
      <c r="A76" s="8" t="n">
        <v>19</v>
      </c>
      <c r="B76" s="8" t="s">
        <v>122</v>
      </c>
      <c r="C76" s="8" t="n">
        <v>3</v>
      </c>
      <c r="D76" s="8" t="s">
        <v>59</v>
      </c>
      <c r="E76" s="8" t="n">
        <v>0.36</v>
      </c>
      <c r="F76" s="8" t="n">
        <v>5</v>
      </c>
      <c r="G76" s="8" t="n">
        <v>0.1</v>
      </c>
    </row>
    <row r="77" customFormat="false" ht="18" hidden="false" customHeight="false" outlineLevel="0" collapsed="false">
      <c r="A77" s="8" t="n">
        <v>19</v>
      </c>
      <c r="B77" s="8" t="s">
        <v>122</v>
      </c>
      <c r="C77" s="8" t="n">
        <v>4</v>
      </c>
      <c r="D77" s="8" t="s">
        <v>61</v>
      </c>
      <c r="E77" s="8" t="n">
        <v>0.18</v>
      </c>
      <c r="F77" s="8" t="n">
        <v>3</v>
      </c>
      <c r="G77" s="8" t="n">
        <v>0.46</v>
      </c>
    </row>
    <row r="78" customFormat="false" ht="18" hidden="false" customHeight="false" outlineLevel="0" collapsed="false">
      <c r="A78" s="8" t="n">
        <v>20</v>
      </c>
      <c r="B78" s="8" t="s">
        <v>123</v>
      </c>
      <c r="C78" s="8" t="n">
        <v>1</v>
      </c>
      <c r="D78" s="8" t="s">
        <v>55</v>
      </c>
      <c r="E78" s="8" t="n">
        <v>0.9</v>
      </c>
      <c r="F78" s="8" t="n">
        <v>5</v>
      </c>
      <c r="G78" s="8" t="n">
        <v>0.1</v>
      </c>
    </row>
    <row r="79" customFormat="false" ht="18" hidden="false" customHeight="false" outlineLevel="0" collapsed="false">
      <c r="A79" s="8" t="n">
        <v>20</v>
      </c>
      <c r="B79" s="8" t="s">
        <v>123</v>
      </c>
      <c r="C79" s="8" t="n">
        <v>2</v>
      </c>
      <c r="D79" s="8" t="s">
        <v>75</v>
      </c>
      <c r="E79" s="8" t="n">
        <v>0.36</v>
      </c>
      <c r="F79" s="8" t="n">
        <v>5</v>
      </c>
      <c r="G79" s="8" t="n">
        <v>0.1</v>
      </c>
    </row>
    <row r="80" customFormat="false" ht="18" hidden="false" customHeight="false" outlineLevel="0" collapsed="false">
      <c r="A80" s="8" t="n">
        <v>20</v>
      </c>
      <c r="B80" s="8" t="s">
        <v>123</v>
      </c>
      <c r="C80" s="8" t="n">
        <v>3</v>
      </c>
      <c r="D80" s="8" t="s">
        <v>59</v>
      </c>
      <c r="E80" s="8" t="n">
        <v>0.36</v>
      </c>
      <c r="F80" s="8" t="n">
        <v>5</v>
      </c>
      <c r="G80" s="8" t="n">
        <v>0.1</v>
      </c>
    </row>
    <row r="81" customFormat="false" ht="18" hidden="false" customHeight="false" outlineLevel="0" collapsed="false">
      <c r="A81" s="8" t="n">
        <v>20</v>
      </c>
      <c r="B81" s="8" t="s">
        <v>123</v>
      </c>
      <c r="C81" s="8" t="n">
        <v>4</v>
      </c>
      <c r="D81" s="8" t="s">
        <v>67</v>
      </c>
      <c r="E81" s="8" t="n">
        <v>0.18</v>
      </c>
      <c r="F81" s="8" t="n">
        <v>3</v>
      </c>
      <c r="G81" s="8" t="n">
        <v>0.46</v>
      </c>
    </row>
    <row r="82" customFormat="false" ht="18" hidden="false" customHeight="false" outlineLevel="0" collapsed="false">
      <c r="A82" s="8" t="n">
        <v>21</v>
      </c>
      <c r="B82" s="8" t="s">
        <v>124</v>
      </c>
      <c r="C82" s="8" t="n">
        <v>1</v>
      </c>
      <c r="D82" s="8" t="s">
        <v>55</v>
      </c>
      <c r="E82" s="8" t="n">
        <v>0.9</v>
      </c>
      <c r="F82" s="8" t="n">
        <v>5</v>
      </c>
      <c r="G82" s="8" t="n">
        <v>0.1</v>
      </c>
    </row>
    <row r="83" customFormat="false" ht="18" hidden="false" customHeight="false" outlineLevel="0" collapsed="false">
      <c r="A83" s="8" t="n">
        <v>21</v>
      </c>
      <c r="B83" s="8" t="s">
        <v>124</v>
      </c>
      <c r="C83" s="8" t="n">
        <v>2</v>
      </c>
      <c r="D83" s="8" t="s">
        <v>75</v>
      </c>
      <c r="E83" s="8" t="n">
        <v>0.36</v>
      </c>
      <c r="F83" s="8" t="n">
        <v>5</v>
      </c>
      <c r="G83" s="8" t="n">
        <v>0.1</v>
      </c>
    </row>
    <row r="84" customFormat="false" ht="18" hidden="false" customHeight="false" outlineLevel="0" collapsed="false">
      <c r="A84" s="8" t="n">
        <v>21</v>
      </c>
      <c r="B84" s="8" t="s">
        <v>124</v>
      </c>
      <c r="C84" s="8" t="n">
        <v>3</v>
      </c>
      <c r="D84" s="8" t="s">
        <v>69</v>
      </c>
      <c r="E84" s="8" t="n">
        <v>0.36</v>
      </c>
      <c r="F84" s="8" t="n">
        <v>5</v>
      </c>
      <c r="G84" s="8" t="n">
        <v>0.1</v>
      </c>
    </row>
    <row r="85" customFormat="false" ht="18" hidden="false" customHeight="false" outlineLevel="0" collapsed="false">
      <c r="A85" s="8" t="n">
        <v>21</v>
      </c>
      <c r="B85" s="8" t="s">
        <v>124</v>
      </c>
      <c r="C85" s="8" t="n">
        <v>4</v>
      </c>
      <c r="D85" s="8" t="s">
        <v>65</v>
      </c>
      <c r="E85" s="8" t="n">
        <v>0.9</v>
      </c>
      <c r="F85" s="8" t="n">
        <v>5</v>
      </c>
      <c r="G85" s="8" t="n">
        <v>0.1</v>
      </c>
    </row>
    <row r="86" customFormat="false" ht="18" hidden="false" customHeight="false" outlineLevel="0" collapsed="false">
      <c r="A86" s="8" t="n">
        <v>22</v>
      </c>
      <c r="B86" s="8" t="s">
        <v>125</v>
      </c>
      <c r="C86" s="8" t="n">
        <v>1</v>
      </c>
      <c r="D86" s="8" t="s">
        <v>55</v>
      </c>
      <c r="E86" s="8" t="n">
        <v>0.9</v>
      </c>
      <c r="F86" s="8" t="n">
        <v>5</v>
      </c>
      <c r="G86" s="8" t="n">
        <v>0.1</v>
      </c>
    </row>
    <row r="87" customFormat="false" ht="18" hidden="false" customHeight="false" outlineLevel="0" collapsed="false">
      <c r="A87" s="8" t="n">
        <v>22</v>
      </c>
      <c r="B87" s="8" t="s">
        <v>125</v>
      </c>
      <c r="C87" s="8" t="n">
        <v>2</v>
      </c>
      <c r="D87" s="8" t="s">
        <v>75</v>
      </c>
      <c r="E87" s="8" t="n">
        <v>0.36</v>
      </c>
      <c r="F87" s="8" t="n">
        <v>5</v>
      </c>
      <c r="G87" s="8" t="n">
        <v>0.1</v>
      </c>
    </row>
    <row r="88" customFormat="false" ht="18" hidden="false" customHeight="false" outlineLevel="0" collapsed="false">
      <c r="A88" s="8" t="n">
        <v>22</v>
      </c>
      <c r="B88" s="8" t="s">
        <v>125</v>
      </c>
      <c r="C88" s="8" t="n">
        <v>3</v>
      </c>
      <c r="D88" s="8" t="s">
        <v>69</v>
      </c>
      <c r="E88" s="8" t="n">
        <v>0.36</v>
      </c>
      <c r="F88" s="8" t="n">
        <v>5</v>
      </c>
      <c r="G88" s="8" t="n">
        <v>0.1</v>
      </c>
    </row>
    <row r="89" customFormat="false" ht="18" hidden="false" customHeight="false" outlineLevel="0" collapsed="false">
      <c r="A89" s="8" t="n">
        <v>22</v>
      </c>
      <c r="B89" s="8" t="s">
        <v>125</v>
      </c>
      <c r="C89" s="8" t="n">
        <v>4</v>
      </c>
      <c r="D89" s="8" t="s">
        <v>63</v>
      </c>
      <c r="E89" s="8" t="n">
        <v>0.72</v>
      </c>
      <c r="F89" s="8" t="n">
        <v>3</v>
      </c>
      <c r="G89" s="8" t="n">
        <v>0.46</v>
      </c>
    </row>
    <row r="90" customFormat="false" ht="18" hidden="false" customHeight="false" outlineLevel="0" collapsed="false">
      <c r="A90" s="8" t="n">
        <v>23</v>
      </c>
      <c r="B90" s="8" t="s">
        <v>126</v>
      </c>
      <c r="C90" s="8" t="n">
        <v>1</v>
      </c>
      <c r="D90" s="8" t="s">
        <v>55</v>
      </c>
      <c r="E90" s="8" t="n">
        <v>0.9</v>
      </c>
      <c r="F90" s="8" t="n">
        <v>5</v>
      </c>
      <c r="G90" s="8" t="n">
        <v>0.1</v>
      </c>
    </row>
    <row r="91" customFormat="false" ht="18" hidden="false" customHeight="false" outlineLevel="0" collapsed="false">
      <c r="A91" s="8" t="n">
        <v>23</v>
      </c>
      <c r="B91" s="8" t="s">
        <v>126</v>
      </c>
      <c r="C91" s="8" t="n">
        <v>2</v>
      </c>
      <c r="D91" s="8" t="s">
        <v>75</v>
      </c>
      <c r="E91" s="8" t="n">
        <v>0.36</v>
      </c>
      <c r="F91" s="8" t="n">
        <v>5</v>
      </c>
      <c r="G91" s="8" t="n">
        <v>0.1</v>
      </c>
    </row>
    <row r="92" customFormat="false" ht="18" hidden="false" customHeight="false" outlineLevel="0" collapsed="false">
      <c r="A92" s="8" t="n">
        <v>23</v>
      </c>
      <c r="B92" s="8" t="s">
        <v>126</v>
      </c>
      <c r="C92" s="8" t="n">
        <v>3</v>
      </c>
      <c r="D92" s="8" t="s">
        <v>69</v>
      </c>
      <c r="E92" s="8" t="n">
        <v>0.36</v>
      </c>
      <c r="F92" s="8" t="n">
        <v>5</v>
      </c>
      <c r="G92" s="8" t="n">
        <v>0.1</v>
      </c>
    </row>
    <row r="93" customFormat="false" ht="18" hidden="false" customHeight="false" outlineLevel="0" collapsed="false">
      <c r="A93" s="8" t="n">
        <v>23</v>
      </c>
      <c r="B93" s="8" t="s">
        <v>126</v>
      </c>
      <c r="C93" s="8" t="n">
        <v>4</v>
      </c>
      <c r="D93" s="8" t="s">
        <v>61</v>
      </c>
      <c r="E93" s="8" t="n">
        <v>0.18</v>
      </c>
      <c r="F93" s="8" t="n">
        <v>3</v>
      </c>
      <c r="G93" s="8" t="n">
        <v>0.46</v>
      </c>
    </row>
    <row r="94" customFormat="false" ht="18" hidden="false" customHeight="false" outlineLevel="0" collapsed="false">
      <c r="A94" s="8" t="n">
        <v>24</v>
      </c>
      <c r="B94" s="8" t="s">
        <v>127</v>
      </c>
      <c r="C94" s="8" t="n">
        <v>1</v>
      </c>
      <c r="D94" s="8" t="s">
        <v>55</v>
      </c>
      <c r="E94" s="8" t="n">
        <v>0.9</v>
      </c>
      <c r="F94" s="8" t="n">
        <v>5</v>
      </c>
      <c r="G94" s="8" t="n">
        <v>0.1</v>
      </c>
    </row>
    <row r="95" customFormat="false" ht="18" hidden="false" customHeight="false" outlineLevel="0" collapsed="false">
      <c r="A95" s="8" t="n">
        <v>24</v>
      </c>
      <c r="B95" s="8" t="s">
        <v>127</v>
      </c>
      <c r="C95" s="8" t="n">
        <v>2</v>
      </c>
      <c r="D95" s="8" t="s">
        <v>75</v>
      </c>
      <c r="E95" s="8" t="n">
        <v>0.36</v>
      </c>
      <c r="F95" s="8" t="n">
        <v>5</v>
      </c>
      <c r="G95" s="8" t="n">
        <v>0.1</v>
      </c>
    </row>
    <row r="96" customFormat="false" ht="18" hidden="false" customHeight="false" outlineLevel="0" collapsed="false">
      <c r="A96" s="8" t="n">
        <v>24</v>
      </c>
      <c r="B96" s="8" t="s">
        <v>127</v>
      </c>
      <c r="C96" s="8" t="n">
        <v>3</v>
      </c>
      <c r="D96" s="8" t="s">
        <v>69</v>
      </c>
      <c r="E96" s="8" t="n">
        <v>0.36</v>
      </c>
      <c r="F96" s="8" t="n">
        <v>5</v>
      </c>
      <c r="G96" s="8" t="n">
        <v>0.1</v>
      </c>
    </row>
    <row r="97" customFormat="false" ht="18" hidden="false" customHeight="false" outlineLevel="0" collapsed="false">
      <c r="A97" s="8" t="n">
        <v>24</v>
      </c>
      <c r="B97" s="8" t="s">
        <v>127</v>
      </c>
      <c r="C97" s="8" t="n">
        <v>4</v>
      </c>
      <c r="D97" s="8" t="s">
        <v>67</v>
      </c>
      <c r="E97" s="8" t="n">
        <v>0.18</v>
      </c>
      <c r="F97" s="8" t="n">
        <v>3</v>
      </c>
      <c r="G97" s="8" t="n">
        <v>0.46</v>
      </c>
    </row>
    <row r="98" customFormat="false" ht="18" hidden="false" customHeight="false" outlineLevel="0" collapsed="false">
      <c r="A98" s="8" t="n">
        <v>25</v>
      </c>
      <c r="B98" s="8" t="s">
        <v>128</v>
      </c>
      <c r="C98" s="8" t="n">
        <v>1</v>
      </c>
      <c r="D98" s="8" t="s">
        <v>55</v>
      </c>
      <c r="E98" s="8" t="n">
        <v>0.9</v>
      </c>
      <c r="F98" s="8" t="n">
        <v>5</v>
      </c>
      <c r="G98" s="8" t="n">
        <v>0.1</v>
      </c>
    </row>
    <row r="99" customFormat="false" ht="18" hidden="false" customHeight="false" outlineLevel="0" collapsed="false">
      <c r="A99" s="8" t="n">
        <v>25</v>
      </c>
      <c r="B99" s="8" t="s">
        <v>128</v>
      </c>
      <c r="C99" s="8" t="n">
        <v>2</v>
      </c>
      <c r="D99" s="8" t="s">
        <v>75</v>
      </c>
      <c r="E99" s="8" t="n">
        <v>0.36</v>
      </c>
      <c r="F99" s="8" t="n">
        <v>5</v>
      </c>
      <c r="G99" s="8" t="n">
        <v>0.1</v>
      </c>
    </row>
    <row r="100" customFormat="false" ht="18" hidden="false" customHeight="false" outlineLevel="0" collapsed="false">
      <c r="A100" s="8" t="n">
        <v>25</v>
      </c>
      <c r="B100" s="8" t="s">
        <v>128</v>
      </c>
      <c r="C100" s="8" t="n">
        <v>3</v>
      </c>
      <c r="D100" s="8" t="s">
        <v>71</v>
      </c>
      <c r="E100" s="8" t="n">
        <v>0.36</v>
      </c>
      <c r="F100" s="8" t="n">
        <v>5</v>
      </c>
      <c r="G100" s="8" t="n">
        <v>0.1</v>
      </c>
    </row>
    <row r="101" customFormat="false" ht="18" hidden="false" customHeight="false" outlineLevel="0" collapsed="false">
      <c r="A101" s="8" t="n">
        <v>25</v>
      </c>
      <c r="B101" s="8" t="s">
        <v>128</v>
      </c>
      <c r="C101" s="8" t="n">
        <v>4</v>
      </c>
      <c r="D101" s="8" t="s">
        <v>65</v>
      </c>
      <c r="E101" s="8" t="n">
        <v>0.9</v>
      </c>
      <c r="F101" s="8" t="n">
        <v>5</v>
      </c>
      <c r="G101" s="8" t="n">
        <v>0.1</v>
      </c>
    </row>
    <row r="102" customFormat="false" ht="18" hidden="false" customHeight="false" outlineLevel="0" collapsed="false">
      <c r="A102" s="8" t="n">
        <v>26</v>
      </c>
      <c r="B102" s="8" t="s">
        <v>129</v>
      </c>
      <c r="C102" s="8" t="n">
        <v>1</v>
      </c>
      <c r="D102" s="8" t="s">
        <v>55</v>
      </c>
      <c r="E102" s="8" t="n">
        <v>0.9</v>
      </c>
      <c r="F102" s="8" t="n">
        <v>5</v>
      </c>
      <c r="G102" s="8" t="n">
        <v>0.1</v>
      </c>
    </row>
    <row r="103" customFormat="false" ht="18" hidden="false" customHeight="false" outlineLevel="0" collapsed="false">
      <c r="A103" s="8" t="n">
        <v>26</v>
      </c>
      <c r="B103" s="8" t="s">
        <v>129</v>
      </c>
      <c r="C103" s="8" t="n">
        <v>2</v>
      </c>
      <c r="D103" s="8" t="s">
        <v>75</v>
      </c>
      <c r="E103" s="8" t="n">
        <v>0.36</v>
      </c>
      <c r="F103" s="8" t="n">
        <v>5</v>
      </c>
      <c r="G103" s="8" t="n">
        <v>0.1</v>
      </c>
    </row>
    <row r="104" customFormat="false" ht="18" hidden="false" customHeight="false" outlineLevel="0" collapsed="false">
      <c r="A104" s="8" t="n">
        <v>26</v>
      </c>
      <c r="B104" s="8" t="s">
        <v>129</v>
      </c>
      <c r="C104" s="8" t="n">
        <v>3</v>
      </c>
      <c r="D104" s="8" t="s">
        <v>71</v>
      </c>
      <c r="E104" s="8" t="n">
        <v>0.36</v>
      </c>
      <c r="F104" s="8" t="n">
        <v>5</v>
      </c>
      <c r="G104" s="8" t="n">
        <v>0.1</v>
      </c>
    </row>
    <row r="105" customFormat="false" ht="18" hidden="false" customHeight="false" outlineLevel="0" collapsed="false">
      <c r="A105" s="8" t="n">
        <v>26</v>
      </c>
      <c r="B105" s="8" t="s">
        <v>129</v>
      </c>
      <c r="C105" s="8" t="n">
        <v>4</v>
      </c>
      <c r="D105" s="8" t="s">
        <v>63</v>
      </c>
      <c r="E105" s="8" t="n">
        <v>0.72</v>
      </c>
      <c r="F105" s="8" t="n">
        <v>3</v>
      </c>
      <c r="G105" s="8" t="n">
        <v>0.46</v>
      </c>
    </row>
    <row r="106" customFormat="false" ht="18" hidden="false" customHeight="false" outlineLevel="0" collapsed="false">
      <c r="A106" s="8" t="n">
        <v>27</v>
      </c>
      <c r="B106" s="8" t="s">
        <v>130</v>
      </c>
      <c r="C106" s="8" t="n">
        <v>1</v>
      </c>
      <c r="D106" s="8" t="s">
        <v>55</v>
      </c>
      <c r="E106" s="8" t="n">
        <v>0.9</v>
      </c>
      <c r="F106" s="8" t="n">
        <v>5</v>
      </c>
      <c r="G106" s="8" t="n">
        <v>0.1</v>
      </c>
    </row>
    <row r="107" customFormat="false" ht="18" hidden="false" customHeight="false" outlineLevel="0" collapsed="false">
      <c r="A107" s="8" t="n">
        <v>27</v>
      </c>
      <c r="B107" s="8" t="s">
        <v>130</v>
      </c>
      <c r="C107" s="8" t="n">
        <v>2</v>
      </c>
      <c r="D107" s="8" t="s">
        <v>75</v>
      </c>
      <c r="E107" s="8" t="n">
        <v>0.36</v>
      </c>
      <c r="F107" s="8" t="n">
        <v>5</v>
      </c>
      <c r="G107" s="8" t="n">
        <v>0.1</v>
      </c>
    </row>
    <row r="108" customFormat="false" ht="18" hidden="false" customHeight="false" outlineLevel="0" collapsed="false">
      <c r="A108" s="8" t="n">
        <v>27</v>
      </c>
      <c r="B108" s="8" t="s">
        <v>130</v>
      </c>
      <c r="C108" s="8" t="n">
        <v>3</v>
      </c>
      <c r="D108" s="8" t="s">
        <v>71</v>
      </c>
      <c r="E108" s="8" t="n">
        <v>0.36</v>
      </c>
      <c r="F108" s="8" t="n">
        <v>5</v>
      </c>
      <c r="G108" s="8" t="n">
        <v>0.1</v>
      </c>
    </row>
    <row r="109" customFormat="false" ht="18" hidden="false" customHeight="false" outlineLevel="0" collapsed="false">
      <c r="A109" s="8" t="n">
        <v>27</v>
      </c>
      <c r="B109" s="8" t="s">
        <v>130</v>
      </c>
      <c r="C109" s="8" t="n">
        <v>4</v>
      </c>
      <c r="D109" s="8" t="s">
        <v>61</v>
      </c>
      <c r="E109" s="8" t="n">
        <v>0.18</v>
      </c>
      <c r="F109" s="8" t="n">
        <v>3</v>
      </c>
      <c r="G109" s="8" t="n">
        <v>0.46</v>
      </c>
    </row>
    <row r="110" customFormat="false" ht="18" hidden="false" customHeight="false" outlineLevel="0" collapsed="false">
      <c r="A110" s="8" t="n">
        <v>28</v>
      </c>
      <c r="B110" s="8" t="s">
        <v>131</v>
      </c>
      <c r="C110" s="8" t="n">
        <v>1</v>
      </c>
      <c r="D110" s="8" t="s">
        <v>55</v>
      </c>
      <c r="E110" s="8" t="n">
        <v>0.9</v>
      </c>
      <c r="F110" s="8" t="n">
        <v>5</v>
      </c>
      <c r="G110" s="8" t="n">
        <v>0.1</v>
      </c>
    </row>
    <row r="111" customFormat="false" ht="18" hidden="false" customHeight="false" outlineLevel="0" collapsed="false">
      <c r="A111" s="8" t="n">
        <v>28</v>
      </c>
      <c r="B111" s="8" t="s">
        <v>131</v>
      </c>
      <c r="C111" s="8" t="n">
        <v>2</v>
      </c>
      <c r="D111" s="8" t="s">
        <v>75</v>
      </c>
      <c r="E111" s="8" t="n">
        <v>0.36</v>
      </c>
      <c r="F111" s="8" t="n">
        <v>5</v>
      </c>
      <c r="G111" s="8" t="n">
        <v>0.1</v>
      </c>
    </row>
    <row r="112" customFormat="false" ht="18" hidden="false" customHeight="false" outlineLevel="0" collapsed="false">
      <c r="A112" s="8" t="n">
        <v>28</v>
      </c>
      <c r="B112" s="8" t="s">
        <v>131</v>
      </c>
      <c r="C112" s="8" t="n">
        <v>3</v>
      </c>
      <c r="D112" s="8" t="s">
        <v>71</v>
      </c>
      <c r="E112" s="8" t="n">
        <v>0.36</v>
      </c>
      <c r="F112" s="8" t="n">
        <v>5</v>
      </c>
      <c r="G112" s="8" t="n">
        <v>0.1</v>
      </c>
    </row>
    <row r="113" customFormat="false" ht="18" hidden="false" customHeight="false" outlineLevel="0" collapsed="false">
      <c r="A113" s="8" t="n">
        <v>28</v>
      </c>
      <c r="B113" s="8" t="s">
        <v>131</v>
      </c>
      <c r="C113" s="8" t="n">
        <v>4</v>
      </c>
      <c r="D113" s="8" t="s">
        <v>67</v>
      </c>
      <c r="E113" s="8" t="n">
        <v>0.18</v>
      </c>
      <c r="F113" s="8" t="n">
        <v>3</v>
      </c>
      <c r="G113" s="8" t="n">
        <v>0.46</v>
      </c>
    </row>
    <row r="114" customFormat="false" ht="18" hidden="false" customHeight="false" outlineLevel="0" collapsed="false">
      <c r="A114" s="8" t="n">
        <v>29</v>
      </c>
      <c r="B114" s="8" t="s">
        <v>132</v>
      </c>
      <c r="C114" s="8" t="n">
        <v>1</v>
      </c>
      <c r="D114" s="8" t="s">
        <v>55</v>
      </c>
      <c r="E114" s="8" t="n">
        <v>0.9</v>
      </c>
      <c r="F114" s="8" t="n">
        <v>5</v>
      </c>
      <c r="G114" s="8" t="n">
        <v>0.1</v>
      </c>
    </row>
    <row r="115" customFormat="false" ht="18" hidden="false" customHeight="false" outlineLevel="0" collapsed="false">
      <c r="A115" s="8" t="n">
        <v>29</v>
      </c>
      <c r="B115" s="8" t="s">
        <v>132</v>
      </c>
      <c r="C115" s="8" t="n">
        <v>2</v>
      </c>
      <c r="D115" s="8" t="s">
        <v>75</v>
      </c>
      <c r="E115" s="8" t="n">
        <v>0.36</v>
      </c>
      <c r="F115" s="8" t="n">
        <v>5</v>
      </c>
      <c r="G115" s="8" t="n">
        <v>0.1</v>
      </c>
    </row>
    <row r="116" customFormat="false" ht="18" hidden="false" customHeight="false" outlineLevel="0" collapsed="false">
      <c r="A116" s="8" t="n">
        <v>29</v>
      </c>
      <c r="B116" s="8" t="s">
        <v>132</v>
      </c>
      <c r="C116" s="8" t="n">
        <v>3</v>
      </c>
      <c r="D116" s="8" t="s">
        <v>73</v>
      </c>
      <c r="E116" s="8" t="n">
        <v>0.36</v>
      </c>
      <c r="F116" s="8" t="n">
        <v>5</v>
      </c>
      <c r="G116" s="8" t="n">
        <v>0.1</v>
      </c>
    </row>
    <row r="117" customFormat="false" ht="18" hidden="false" customHeight="false" outlineLevel="0" collapsed="false">
      <c r="A117" s="8" t="n">
        <v>29</v>
      </c>
      <c r="B117" s="8" t="s">
        <v>132</v>
      </c>
      <c r="C117" s="8" t="n">
        <v>4</v>
      </c>
      <c r="D117" s="8" t="s">
        <v>65</v>
      </c>
      <c r="E117" s="8" t="n">
        <v>0.9</v>
      </c>
      <c r="F117" s="8" t="n">
        <v>5</v>
      </c>
      <c r="G117" s="8" t="n">
        <v>0.1</v>
      </c>
    </row>
    <row r="118" customFormat="false" ht="18" hidden="false" customHeight="false" outlineLevel="0" collapsed="false">
      <c r="A118" s="8" t="n">
        <v>30</v>
      </c>
      <c r="B118" s="8" t="s">
        <v>133</v>
      </c>
      <c r="C118" s="8" t="n">
        <v>1</v>
      </c>
      <c r="D118" s="8" t="s">
        <v>55</v>
      </c>
      <c r="E118" s="8" t="n">
        <v>0.9</v>
      </c>
      <c r="F118" s="8" t="n">
        <v>5</v>
      </c>
      <c r="G118" s="8" t="n">
        <v>0.1</v>
      </c>
    </row>
    <row r="119" customFormat="false" ht="18" hidden="false" customHeight="false" outlineLevel="0" collapsed="false">
      <c r="A119" s="8" t="n">
        <v>30</v>
      </c>
      <c r="B119" s="8" t="s">
        <v>133</v>
      </c>
      <c r="C119" s="8" t="n">
        <v>2</v>
      </c>
      <c r="D119" s="8" t="s">
        <v>75</v>
      </c>
      <c r="E119" s="8" t="n">
        <v>0.36</v>
      </c>
      <c r="F119" s="8" t="n">
        <v>5</v>
      </c>
      <c r="G119" s="8" t="n">
        <v>0.1</v>
      </c>
    </row>
    <row r="120" customFormat="false" ht="18" hidden="false" customHeight="false" outlineLevel="0" collapsed="false">
      <c r="A120" s="8" t="n">
        <v>30</v>
      </c>
      <c r="B120" s="8" t="s">
        <v>133</v>
      </c>
      <c r="C120" s="8" t="n">
        <v>3</v>
      </c>
      <c r="D120" s="8" t="s">
        <v>73</v>
      </c>
      <c r="E120" s="8" t="n">
        <v>0.36</v>
      </c>
      <c r="F120" s="8" t="n">
        <v>5</v>
      </c>
      <c r="G120" s="8" t="n">
        <v>0.1</v>
      </c>
    </row>
    <row r="121" customFormat="false" ht="18" hidden="false" customHeight="false" outlineLevel="0" collapsed="false">
      <c r="A121" s="8" t="n">
        <v>30</v>
      </c>
      <c r="B121" s="8" t="s">
        <v>133</v>
      </c>
      <c r="C121" s="8" t="n">
        <v>4</v>
      </c>
      <c r="D121" s="8" t="s">
        <v>63</v>
      </c>
      <c r="E121" s="8" t="n">
        <v>0.72</v>
      </c>
      <c r="F121" s="8" t="n">
        <v>3</v>
      </c>
      <c r="G121" s="8" t="n">
        <v>0.46</v>
      </c>
    </row>
    <row r="122" customFormat="false" ht="18" hidden="false" customHeight="false" outlineLevel="0" collapsed="false">
      <c r="A122" s="8" t="n">
        <v>31</v>
      </c>
      <c r="B122" s="8" t="s">
        <v>134</v>
      </c>
      <c r="C122" s="8" t="n">
        <v>1</v>
      </c>
      <c r="D122" s="8" t="s">
        <v>55</v>
      </c>
      <c r="E122" s="8" t="n">
        <v>0.9</v>
      </c>
      <c r="F122" s="8" t="n">
        <v>5</v>
      </c>
      <c r="G122" s="8" t="n">
        <v>0.1</v>
      </c>
    </row>
    <row r="123" customFormat="false" ht="18" hidden="false" customHeight="false" outlineLevel="0" collapsed="false">
      <c r="A123" s="8" t="n">
        <v>31</v>
      </c>
      <c r="B123" s="8" t="s">
        <v>134</v>
      </c>
      <c r="C123" s="8" t="n">
        <v>2</v>
      </c>
      <c r="D123" s="8" t="s">
        <v>75</v>
      </c>
      <c r="E123" s="8" t="n">
        <v>0.36</v>
      </c>
      <c r="F123" s="8" t="n">
        <v>5</v>
      </c>
      <c r="G123" s="8" t="n">
        <v>0.1</v>
      </c>
    </row>
    <row r="124" customFormat="false" ht="18" hidden="false" customHeight="false" outlineLevel="0" collapsed="false">
      <c r="A124" s="8" t="n">
        <v>31</v>
      </c>
      <c r="B124" s="8" t="s">
        <v>134</v>
      </c>
      <c r="C124" s="8" t="n">
        <v>3</v>
      </c>
      <c r="D124" s="8" t="s">
        <v>73</v>
      </c>
      <c r="E124" s="8" t="n">
        <v>0.36</v>
      </c>
      <c r="F124" s="8" t="n">
        <v>5</v>
      </c>
      <c r="G124" s="8" t="n">
        <v>0.1</v>
      </c>
    </row>
    <row r="125" customFormat="false" ht="18" hidden="false" customHeight="false" outlineLevel="0" collapsed="false">
      <c r="A125" s="8" t="n">
        <v>31</v>
      </c>
      <c r="B125" s="8" t="s">
        <v>134</v>
      </c>
      <c r="C125" s="8" t="n">
        <v>4</v>
      </c>
      <c r="D125" s="8" t="s">
        <v>61</v>
      </c>
      <c r="E125" s="8" t="n">
        <v>0.18</v>
      </c>
      <c r="F125" s="8" t="n">
        <v>3</v>
      </c>
      <c r="G125" s="8" t="n">
        <v>0.46</v>
      </c>
    </row>
    <row r="126" customFormat="false" ht="18" hidden="false" customHeight="false" outlineLevel="0" collapsed="false">
      <c r="A126" s="8" t="n">
        <v>32</v>
      </c>
      <c r="B126" s="8" t="s">
        <v>135</v>
      </c>
      <c r="C126" s="8" t="n">
        <v>1</v>
      </c>
      <c r="D126" s="8" t="s">
        <v>55</v>
      </c>
      <c r="E126" s="8" t="n">
        <v>0.9</v>
      </c>
      <c r="F126" s="8" t="n">
        <v>5</v>
      </c>
      <c r="G126" s="8" t="n">
        <v>0.1</v>
      </c>
    </row>
    <row r="127" customFormat="false" ht="18" hidden="false" customHeight="false" outlineLevel="0" collapsed="false">
      <c r="A127" s="8" t="n">
        <v>32</v>
      </c>
      <c r="B127" s="8" t="s">
        <v>135</v>
      </c>
      <c r="C127" s="8" t="n">
        <v>2</v>
      </c>
      <c r="D127" s="8" t="s">
        <v>75</v>
      </c>
      <c r="E127" s="8" t="n">
        <v>0.36</v>
      </c>
      <c r="F127" s="8" t="n">
        <v>5</v>
      </c>
      <c r="G127" s="8" t="n">
        <v>0.1</v>
      </c>
    </row>
    <row r="128" customFormat="false" ht="18" hidden="false" customHeight="false" outlineLevel="0" collapsed="false">
      <c r="A128" s="8" t="n">
        <v>32</v>
      </c>
      <c r="B128" s="8" t="s">
        <v>135</v>
      </c>
      <c r="C128" s="8" t="n">
        <v>3</v>
      </c>
      <c r="D128" s="8" t="s">
        <v>73</v>
      </c>
      <c r="E128" s="8" t="n">
        <v>0.36</v>
      </c>
      <c r="F128" s="8" t="n">
        <v>5</v>
      </c>
      <c r="G128" s="8" t="n">
        <v>0.1</v>
      </c>
    </row>
    <row r="129" customFormat="false" ht="18" hidden="false" customHeight="false" outlineLevel="0" collapsed="false">
      <c r="A129" s="8" t="n">
        <v>32</v>
      </c>
      <c r="B129" s="8" t="s">
        <v>135</v>
      </c>
      <c r="C129" s="8" t="n">
        <v>4</v>
      </c>
      <c r="D129" s="8" t="s">
        <v>67</v>
      </c>
      <c r="E129" s="8" t="n">
        <v>0.18</v>
      </c>
      <c r="F129" s="8" t="n">
        <v>3</v>
      </c>
      <c r="G129" s="8" t="n">
        <v>0.46</v>
      </c>
    </row>
    <row r="130" customFormat="false" ht="18" hidden="false" customHeight="false" outlineLevel="0" collapsed="false">
      <c r="A130" s="8" t="n">
        <v>33</v>
      </c>
      <c r="B130" s="8" t="s">
        <v>136</v>
      </c>
      <c r="C130" s="8" t="n">
        <v>1</v>
      </c>
      <c r="D130" s="8" t="s">
        <v>55</v>
      </c>
      <c r="E130" s="8" t="n">
        <v>0.9</v>
      </c>
      <c r="F130" s="8" t="n">
        <v>5</v>
      </c>
      <c r="G130" s="8" t="n">
        <v>0.1</v>
      </c>
    </row>
    <row r="131" customFormat="false" ht="18" hidden="false" customHeight="false" outlineLevel="0" collapsed="false">
      <c r="A131" s="8" t="n">
        <v>33</v>
      </c>
      <c r="B131" s="8" t="s">
        <v>136</v>
      </c>
      <c r="C131" s="8" t="n">
        <v>2</v>
      </c>
      <c r="D131" s="8" t="s">
        <v>73</v>
      </c>
      <c r="E131" s="8" t="n">
        <v>0.36</v>
      </c>
      <c r="F131" s="8" t="n">
        <v>5</v>
      </c>
      <c r="G131" s="8" t="n">
        <v>0.1</v>
      </c>
    </row>
    <row r="132" customFormat="false" ht="18" hidden="false" customHeight="false" outlineLevel="0" collapsed="false">
      <c r="A132" s="8" t="n">
        <v>33</v>
      </c>
      <c r="B132" s="8" t="s">
        <v>136</v>
      </c>
      <c r="C132" s="8" t="n">
        <v>3</v>
      </c>
      <c r="D132" s="8" t="s">
        <v>59</v>
      </c>
      <c r="E132" s="8" t="n">
        <v>0.36</v>
      </c>
      <c r="F132" s="8" t="n">
        <v>5</v>
      </c>
      <c r="G132" s="8" t="n">
        <v>0.1</v>
      </c>
    </row>
    <row r="133" customFormat="false" ht="18" hidden="false" customHeight="false" outlineLevel="0" collapsed="false">
      <c r="A133" s="8" t="n">
        <v>33</v>
      </c>
      <c r="B133" s="8" t="s">
        <v>136</v>
      </c>
      <c r="C133" s="8" t="n">
        <v>4</v>
      </c>
      <c r="D133" s="8" t="s">
        <v>65</v>
      </c>
      <c r="E133" s="8" t="n">
        <v>0.9</v>
      </c>
      <c r="F133" s="8" t="n">
        <v>5</v>
      </c>
      <c r="G133" s="8" t="n">
        <v>0.1</v>
      </c>
    </row>
    <row r="134" customFormat="false" ht="18" hidden="false" customHeight="false" outlineLevel="0" collapsed="false">
      <c r="A134" s="8" t="n">
        <v>34</v>
      </c>
      <c r="B134" s="8" t="s">
        <v>137</v>
      </c>
      <c r="C134" s="8" t="n">
        <v>1</v>
      </c>
      <c r="D134" s="8" t="s">
        <v>55</v>
      </c>
      <c r="E134" s="8" t="n">
        <v>0.9</v>
      </c>
      <c r="F134" s="8" t="n">
        <v>5</v>
      </c>
      <c r="G134" s="8" t="n">
        <v>0.1</v>
      </c>
    </row>
    <row r="135" customFormat="false" ht="18" hidden="false" customHeight="false" outlineLevel="0" collapsed="false">
      <c r="A135" s="8" t="n">
        <v>34</v>
      </c>
      <c r="B135" s="8" t="s">
        <v>137</v>
      </c>
      <c r="C135" s="8" t="n">
        <v>2</v>
      </c>
      <c r="D135" s="8" t="s">
        <v>73</v>
      </c>
      <c r="E135" s="8" t="n">
        <v>0.36</v>
      </c>
      <c r="F135" s="8" t="n">
        <v>5</v>
      </c>
      <c r="G135" s="8" t="n">
        <v>0.1</v>
      </c>
    </row>
    <row r="136" customFormat="false" ht="18" hidden="false" customHeight="false" outlineLevel="0" collapsed="false">
      <c r="A136" s="8" t="n">
        <v>34</v>
      </c>
      <c r="B136" s="8" t="s">
        <v>137</v>
      </c>
      <c r="C136" s="8" t="n">
        <v>3</v>
      </c>
      <c r="D136" s="8" t="s">
        <v>59</v>
      </c>
      <c r="E136" s="8" t="n">
        <v>0.36</v>
      </c>
      <c r="F136" s="8" t="n">
        <v>5</v>
      </c>
      <c r="G136" s="8" t="n">
        <v>0.1</v>
      </c>
    </row>
    <row r="137" customFormat="false" ht="18" hidden="false" customHeight="false" outlineLevel="0" collapsed="false">
      <c r="A137" s="8" t="n">
        <v>34</v>
      </c>
      <c r="B137" s="8" t="s">
        <v>137</v>
      </c>
      <c r="C137" s="8" t="n">
        <v>4</v>
      </c>
      <c r="D137" s="8" t="s">
        <v>63</v>
      </c>
      <c r="E137" s="8" t="n">
        <v>0.72</v>
      </c>
      <c r="F137" s="8" t="n">
        <v>3</v>
      </c>
      <c r="G137" s="8" t="n">
        <v>0.46</v>
      </c>
    </row>
    <row r="138" customFormat="false" ht="18" hidden="false" customHeight="false" outlineLevel="0" collapsed="false">
      <c r="A138" s="8" t="n">
        <v>35</v>
      </c>
      <c r="B138" s="8" t="s">
        <v>138</v>
      </c>
      <c r="C138" s="8" t="n">
        <v>1</v>
      </c>
      <c r="D138" s="8" t="s">
        <v>55</v>
      </c>
      <c r="E138" s="8" t="n">
        <v>0.9</v>
      </c>
      <c r="F138" s="8" t="n">
        <v>5</v>
      </c>
      <c r="G138" s="8" t="n">
        <v>0.1</v>
      </c>
    </row>
    <row r="139" customFormat="false" ht="18" hidden="false" customHeight="false" outlineLevel="0" collapsed="false">
      <c r="A139" s="8" t="n">
        <v>35</v>
      </c>
      <c r="B139" s="8" t="s">
        <v>138</v>
      </c>
      <c r="C139" s="8" t="n">
        <v>2</v>
      </c>
      <c r="D139" s="8" t="s">
        <v>73</v>
      </c>
      <c r="E139" s="8" t="n">
        <v>0.36</v>
      </c>
      <c r="F139" s="8" t="n">
        <v>5</v>
      </c>
      <c r="G139" s="8" t="n">
        <v>0.1</v>
      </c>
    </row>
    <row r="140" customFormat="false" ht="18" hidden="false" customHeight="false" outlineLevel="0" collapsed="false">
      <c r="A140" s="8" t="n">
        <v>35</v>
      </c>
      <c r="B140" s="8" t="s">
        <v>138</v>
      </c>
      <c r="C140" s="8" t="n">
        <v>3</v>
      </c>
      <c r="D140" s="8" t="s">
        <v>59</v>
      </c>
      <c r="E140" s="8" t="n">
        <v>0.36</v>
      </c>
      <c r="F140" s="8" t="n">
        <v>5</v>
      </c>
      <c r="G140" s="8" t="n">
        <v>0.1</v>
      </c>
    </row>
    <row r="141" customFormat="false" ht="18" hidden="false" customHeight="false" outlineLevel="0" collapsed="false">
      <c r="A141" s="8" t="n">
        <v>35</v>
      </c>
      <c r="B141" s="8" t="s">
        <v>138</v>
      </c>
      <c r="C141" s="8" t="n">
        <v>4</v>
      </c>
      <c r="D141" s="8" t="s">
        <v>61</v>
      </c>
      <c r="E141" s="8" t="n">
        <v>0.18</v>
      </c>
      <c r="F141" s="8" t="n">
        <v>3</v>
      </c>
      <c r="G141" s="8" t="n">
        <v>0.46</v>
      </c>
    </row>
    <row r="142" customFormat="false" ht="18" hidden="false" customHeight="false" outlineLevel="0" collapsed="false">
      <c r="A142" s="8" t="n">
        <v>36</v>
      </c>
      <c r="B142" s="8" t="s">
        <v>139</v>
      </c>
      <c r="C142" s="8" t="n">
        <v>1</v>
      </c>
      <c r="D142" s="8" t="s">
        <v>55</v>
      </c>
      <c r="E142" s="8" t="n">
        <v>0.9</v>
      </c>
      <c r="F142" s="8" t="n">
        <v>5</v>
      </c>
      <c r="G142" s="8" t="n">
        <v>0.1</v>
      </c>
    </row>
    <row r="143" customFormat="false" ht="18" hidden="false" customHeight="false" outlineLevel="0" collapsed="false">
      <c r="A143" s="8" t="n">
        <v>36</v>
      </c>
      <c r="B143" s="8" t="s">
        <v>139</v>
      </c>
      <c r="C143" s="8" t="n">
        <v>2</v>
      </c>
      <c r="D143" s="8" t="s">
        <v>73</v>
      </c>
      <c r="E143" s="8" t="n">
        <v>0.36</v>
      </c>
      <c r="F143" s="8" t="n">
        <v>5</v>
      </c>
      <c r="G143" s="8" t="n">
        <v>0.1</v>
      </c>
    </row>
    <row r="144" customFormat="false" ht="18" hidden="false" customHeight="false" outlineLevel="0" collapsed="false">
      <c r="A144" s="8" t="n">
        <v>36</v>
      </c>
      <c r="B144" s="8" t="s">
        <v>139</v>
      </c>
      <c r="C144" s="8" t="n">
        <v>3</v>
      </c>
      <c r="D144" s="8" t="s">
        <v>59</v>
      </c>
      <c r="E144" s="8" t="n">
        <v>0.36</v>
      </c>
      <c r="F144" s="8" t="n">
        <v>5</v>
      </c>
      <c r="G144" s="8" t="n">
        <v>0.1</v>
      </c>
    </row>
    <row r="145" customFormat="false" ht="18" hidden="false" customHeight="false" outlineLevel="0" collapsed="false">
      <c r="A145" s="8" t="n">
        <v>36</v>
      </c>
      <c r="B145" s="8" t="s">
        <v>139</v>
      </c>
      <c r="C145" s="8" t="n">
        <v>4</v>
      </c>
      <c r="D145" s="8" t="s">
        <v>67</v>
      </c>
      <c r="E145" s="8" t="n">
        <v>0.18</v>
      </c>
      <c r="F145" s="8" t="n">
        <v>3</v>
      </c>
      <c r="G145" s="8" t="n">
        <v>0.46</v>
      </c>
    </row>
    <row r="146" customFormat="false" ht="18" hidden="false" customHeight="false" outlineLevel="0" collapsed="false">
      <c r="A146" s="8" t="n">
        <v>37</v>
      </c>
      <c r="B146" s="8" t="s">
        <v>140</v>
      </c>
      <c r="C146" s="8" t="n">
        <v>1</v>
      </c>
      <c r="D146" s="8" t="s">
        <v>55</v>
      </c>
      <c r="E146" s="8" t="n">
        <v>0.9</v>
      </c>
      <c r="F146" s="8" t="n">
        <v>5</v>
      </c>
      <c r="G146" s="8" t="n">
        <v>0.1</v>
      </c>
    </row>
    <row r="147" customFormat="false" ht="18" hidden="false" customHeight="false" outlineLevel="0" collapsed="false">
      <c r="A147" s="8" t="n">
        <v>37</v>
      </c>
      <c r="B147" s="8" t="s">
        <v>140</v>
      </c>
      <c r="C147" s="8" t="n">
        <v>2</v>
      </c>
      <c r="D147" s="8" t="s">
        <v>73</v>
      </c>
      <c r="E147" s="8" t="n">
        <v>0.36</v>
      </c>
      <c r="F147" s="8" t="n">
        <v>5</v>
      </c>
      <c r="G147" s="8" t="n">
        <v>0.1</v>
      </c>
    </row>
    <row r="148" customFormat="false" ht="18" hidden="false" customHeight="false" outlineLevel="0" collapsed="false">
      <c r="A148" s="8" t="n">
        <v>37</v>
      </c>
      <c r="B148" s="8" t="s">
        <v>140</v>
      </c>
      <c r="C148" s="8" t="n">
        <v>3</v>
      </c>
      <c r="D148" s="8" t="s">
        <v>69</v>
      </c>
      <c r="E148" s="8" t="n">
        <v>0.36</v>
      </c>
      <c r="F148" s="8" t="n">
        <v>5</v>
      </c>
      <c r="G148" s="8" t="n">
        <v>0.1</v>
      </c>
    </row>
    <row r="149" customFormat="false" ht="18" hidden="false" customHeight="false" outlineLevel="0" collapsed="false">
      <c r="A149" s="8" t="n">
        <v>37</v>
      </c>
      <c r="B149" s="8" t="s">
        <v>140</v>
      </c>
      <c r="C149" s="8" t="n">
        <v>4</v>
      </c>
      <c r="D149" s="8" t="s">
        <v>65</v>
      </c>
      <c r="E149" s="8" t="n">
        <v>0.9</v>
      </c>
      <c r="F149" s="8" t="n">
        <v>5</v>
      </c>
      <c r="G149" s="8" t="n">
        <v>0.1</v>
      </c>
    </row>
    <row r="150" customFormat="false" ht="18" hidden="false" customHeight="false" outlineLevel="0" collapsed="false">
      <c r="A150" s="8" t="n">
        <v>38</v>
      </c>
      <c r="B150" s="8" t="s">
        <v>141</v>
      </c>
      <c r="C150" s="8" t="n">
        <v>1</v>
      </c>
      <c r="D150" s="8" t="s">
        <v>55</v>
      </c>
      <c r="E150" s="8" t="n">
        <v>0.9</v>
      </c>
      <c r="F150" s="8" t="n">
        <v>5</v>
      </c>
      <c r="G150" s="8" t="n">
        <v>0.1</v>
      </c>
    </row>
    <row r="151" customFormat="false" ht="18" hidden="false" customHeight="false" outlineLevel="0" collapsed="false">
      <c r="A151" s="8" t="n">
        <v>38</v>
      </c>
      <c r="B151" s="8" t="s">
        <v>141</v>
      </c>
      <c r="C151" s="8" t="n">
        <v>2</v>
      </c>
      <c r="D151" s="8" t="s">
        <v>73</v>
      </c>
      <c r="E151" s="8" t="n">
        <v>0.36</v>
      </c>
      <c r="F151" s="8" t="n">
        <v>5</v>
      </c>
      <c r="G151" s="8" t="n">
        <v>0.1</v>
      </c>
    </row>
    <row r="152" customFormat="false" ht="18" hidden="false" customHeight="false" outlineLevel="0" collapsed="false">
      <c r="A152" s="8" t="n">
        <v>38</v>
      </c>
      <c r="B152" s="8" t="s">
        <v>141</v>
      </c>
      <c r="C152" s="8" t="n">
        <v>3</v>
      </c>
      <c r="D152" s="8" t="s">
        <v>69</v>
      </c>
      <c r="E152" s="8" t="n">
        <v>0.36</v>
      </c>
      <c r="F152" s="8" t="n">
        <v>5</v>
      </c>
      <c r="G152" s="8" t="n">
        <v>0.1</v>
      </c>
    </row>
    <row r="153" customFormat="false" ht="18" hidden="false" customHeight="false" outlineLevel="0" collapsed="false">
      <c r="A153" s="8" t="n">
        <v>38</v>
      </c>
      <c r="B153" s="8" t="s">
        <v>141</v>
      </c>
      <c r="C153" s="8" t="n">
        <v>4</v>
      </c>
      <c r="D153" s="8" t="s">
        <v>63</v>
      </c>
      <c r="E153" s="8" t="n">
        <v>0.72</v>
      </c>
      <c r="F153" s="8" t="n">
        <v>3</v>
      </c>
      <c r="G153" s="8" t="n">
        <v>0.46</v>
      </c>
    </row>
    <row r="154" customFormat="false" ht="18" hidden="false" customHeight="false" outlineLevel="0" collapsed="false">
      <c r="A154" s="8" t="n">
        <v>39</v>
      </c>
      <c r="B154" s="8" t="s">
        <v>142</v>
      </c>
      <c r="C154" s="8" t="n">
        <v>1</v>
      </c>
      <c r="D154" s="8" t="s">
        <v>55</v>
      </c>
      <c r="E154" s="8" t="n">
        <v>0.9</v>
      </c>
      <c r="F154" s="8" t="n">
        <v>5</v>
      </c>
      <c r="G154" s="8" t="n">
        <v>0.1</v>
      </c>
    </row>
    <row r="155" customFormat="false" ht="18" hidden="false" customHeight="false" outlineLevel="0" collapsed="false">
      <c r="A155" s="8" t="n">
        <v>39</v>
      </c>
      <c r="B155" s="8" t="s">
        <v>142</v>
      </c>
      <c r="C155" s="8" t="n">
        <v>2</v>
      </c>
      <c r="D155" s="8" t="s">
        <v>73</v>
      </c>
      <c r="E155" s="8" t="n">
        <v>0.36</v>
      </c>
      <c r="F155" s="8" t="n">
        <v>5</v>
      </c>
      <c r="G155" s="8" t="n">
        <v>0.1</v>
      </c>
    </row>
    <row r="156" customFormat="false" ht="18" hidden="false" customHeight="false" outlineLevel="0" collapsed="false">
      <c r="A156" s="8" t="n">
        <v>39</v>
      </c>
      <c r="B156" s="8" t="s">
        <v>142</v>
      </c>
      <c r="C156" s="8" t="n">
        <v>3</v>
      </c>
      <c r="D156" s="8" t="s">
        <v>69</v>
      </c>
      <c r="E156" s="8" t="n">
        <v>0.36</v>
      </c>
      <c r="F156" s="8" t="n">
        <v>5</v>
      </c>
      <c r="G156" s="8" t="n">
        <v>0.1</v>
      </c>
    </row>
    <row r="157" customFormat="false" ht="18" hidden="false" customHeight="false" outlineLevel="0" collapsed="false">
      <c r="A157" s="8" t="n">
        <v>39</v>
      </c>
      <c r="B157" s="8" t="s">
        <v>142</v>
      </c>
      <c r="C157" s="8" t="n">
        <v>4</v>
      </c>
      <c r="D157" s="8" t="s">
        <v>61</v>
      </c>
      <c r="E157" s="8" t="n">
        <v>0.18</v>
      </c>
      <c r="F157" s="8" t="n">
        <v>3</v>
      </c>
      <c r="G157" s="8" t="n">
        <v>0.46</v>
      </c>
    </row>
    <row r="158" customFormat="false" ht="18" hidden="false" customHeight="false" outlineLevel="0" collapsed="false">
      <c r="A158" s="8" t="n">
        <v>40</v>
      </c>
      <c r="B158" s="8" t="s">
        <v>143</v>
      </c>
      <c r="C158" s="8" t="n">
        <v>1</v>
      </c>
      <c r="D158" s="8" t="s">
        <v>55</v>
      </c>
      <c r="E158" s="8" t="n">
        <v>0.9</v>
      </c>
      <c r="F158" s="8" t="n">
        <v>5</v>
      </c>
      <c r="G158" s="8" t="n">
        <v>0.1</v>
      </c>
    </row>
    <row r="159" customFormat="false" ht="18" hidden="false" customHeight="false" outlineLevel="0" collapsed="false">
      <c r="A159" s="8" t="n">
        <v>40</v>
      </c>
      <c r="B159" s="8" t="s">
        <v>143</v>
      </c>
      <c r="C159" s="8" t="n">
        <v>2</v>
      </c>
      <c r="D159" s="8" t="s">
        <v>73</v>
      </c>
      <c r="E159" s="8" t="n">
        <v>0.36</v>
      </c>
      <c r="F159" s="8" t="n">
        <v>5</v>
      </c>
      <c r="G159" s="8" t="n">
        <v>0.1</v>
      </c>
    </row>
    <row r="160" customFormat="false" ht="18" hidden="false" customHeight="false" outlineLevel="0" collapsed="false">
      <c r="A160" s="8" t="n">
        <v>40</v>
      </c>
      <c r="B160" s="8" t="s">
        <v>143</v>
      </c>
      <c r="C160" s="8" t="n">
        <v>3</v>
      </c>
      <c r="D160" s="8" t="s">
        <v>69</v>
      </c>
      <c r="E160" s="8" t="n">
        <v>0.36</v>
      </c>
      <c r="F160" s="8" t="n">
        <v>5</v>
      </c>
      <c r="G160" s="8" t="n">
        <v>0.1</v>
      </c>
    </row>
    <row r="161" customFormat="false" ht="18" hidden="false" customHeight="false" outlineLevel="0" collapsed="false">
      <c r="A161" s="8" t="n">
        <v>40</v>
      </c>
      <c r="B161" s="8" t="s">
        <v>143</v>
      </c>
      <c r="C161" s="8" t="n">
        <v>4</v>
      </c>
      <c r="D161" s="8" t="s">
        <v>67</v>
      </c>
      <c r="E161" s="8" t="n">
        <v>0.18</v>
      </c>
      <c r="F161" s="8" t="n">
        <v>3</v>
      </c>
      <c r="G161" s="8" t="n">
        <v>0.46</v>
      </c>
    </row>
    <row r="162" customFormat="false" ht="18" hidden="false" customHeight="false" outlineLevel="0" collapsed="false">
      <c r="A162" s="8" t="n">
        <v>41</v>
      </c>
      <c r="B162" s="8" t="s">
        <v>144</v>
      </c>
      <c r="C162" s="8" t="n">
        <v>1</v>
      </c>
      <c r="D162" s="8" t="s">
        <v>55</v>
      </c>
      <c r="E162" s="8" t="n">
        <v>0.9</v>
      </c>
      <c r="F162" s="8" t="n">
        <v>5</v>
      </c>
      <c r="G162" s="8" t="n">
        <v>0.1</v>
      </c>
    </row>
    <row r="163" customFormat="false" ht="18" hidden="false" customHeight="false" outlineLevel="0" collapsed="false">
      <c r="A163" s="8" t="n">
        <v>41</v>
      </c>
      <c r="B163" s="8" t="s">
        <v>144</v>
      </c>
      <c r="C163" s="8" t="n">
        <v>2</v>
      </c>
      <c r="D163" s="8" t="s">
        <v>73</v>
      </c>
      <c r="E163" s="8" t="n">
        <v>0.36</v>
      </c>
      <c r="F163" s="8" t="n">
        <v>5</v>
      </c>
      <c r="G163" s="8" t="n">
        <v>0.1</v>
      </c>
    </row>
    <row r="164" customFormat="false" ht="18" hidden="false" customHeight="false" outlineLevel="0" collapsed="false">
      <c r="A164" s="8" t="n">
        <v>41</v>
      </c>
      <c r="B164" s="8" t="s">
        <v>144</v>
      </c>
      <c r="C164" s="8" t="n">
        <v>3</v>
      </c>
      <c r="D164" s="8" t="s">
        <v>71</v>
      </c>
      <c r="E164" s="8" t="n">
        <v>0.36</v>
      </c>
      <c r="F164" s="8" t="n">
        <v>5</v>
      </c>
      <c r="G164" s="8" t="n">
        <v>0.1</v>
      </c>
    </row>
    <row r="165" customFormat="false" ht="18" hidden="false" customHeight="false" outlineLevel="0" collapsed="false">
      <c r="A165" s="8" t="n">
        <v>41</v>
      </c>
      <c r="B165" s="8" t="s">
        <v>144</v>
      </c>
      <c r="C165" s="8" t="n">
        <v>4</v>
      </c>
      <c r="D165" s="8" t="s">
        <v>65</v>
      </c>
      <c r="E165" s="8" t="n">
        <v>0.9</v>
      </c>
      <c r="F165" s="8" t="n">
        <v>5</v>
      </c>
      <c r="G165" s="8" t="n">
        <v>0.1</v>
      </c>
    </row>
    <row r="166" customFormat="false" ht="18" hidden="false" customHeight="false" outlineLevel="0" collapsed="false">
      <c r="A166" s="8" t="n">
        <v>42</v>
      </c>
      <c r="B166" s="8" t="s">
        <v>145</v>
      </c>
      <c r="C166" s="8" t="n">
        <v>1</v>
      </c>
      <c r="D166" s="8" t="s">
        <v>55</v>
      </c>
      <c r="E166" s="8" t="n">
        <v>0.9</v>
      </c>
      <c r="F166" s="8" t="n">
        <v>5</v>
      </c>
      <c r="G166" s="8" t="n">
        <v>0.1</v>
      </c>
    </row>
    <row r="167" customFormat="false" ht="18" hidden="false" customHeight="false" outlineLevel="0" collapsed="false">
      <c r="A167" s="8" t="n">
        <v>42</v>
      </c>
      <c r="B167" s="8" t="s">
        <v>145</v>
      </c>
      <c r="C167" s="8" t="n">
        <v>2</v>
      </c>
      <c r="D167" s="8" t="s">
        <v>73</v>
      </c>
      <c r="E167" s="8" t="n">
        <v>0.36</v>
      </c>
      <c r="F167" s="8" t="n">
        <v>5</v>
      </c>
      <c r="G167" s="8" t="n">
        <v>0.1</v>
      </c>
    </row>
    <row r="168" customFormat="false" ht="18" hidden="false" customHeight="false" outlineLevel="0" collapsed="false">
      <c r="A168" s="8" t="n">
        <v>42</v>
      </c>
      <c r="B168" s="8" t="s">
        <v>145</v>
      </c>
      <c r="C168" s="8" t="n">
        <v>3</v>
      </c>
      <c r="D168" s="8" t="s">
        <v>71</v>
      </c>
      <c r="E168" s="8" t="n">
        <v>0.36</v>
      </c>
      <c r="F168" s="8" t="n">
        <v>5</v>
      </c>
      <c r="G168" s="8" t="n">
        <v>0.1</v>
      </c>
    </row>
    <row r="169" customFormat="false" ht="18" hidden="false" customHeight="false" outlineLevel="0" collapsed="false">
      <c r="A169" s="8" t="n">
        <v>42</v>
      </c>
      <c r="B169" s="8" t="s">
        <v>145</v>
      </c>
      <c r="C169" s="8" t="n">
        <v>4</v>
      </c>
      <c r="D169" s="8" t="s">
        <v>63</v>
      </c>
      <c r="E169" s="8" t="n">
        <v>0.72</v>
      </c>
      <c r="F169" s="8" t="n">
        <v>3</v>
      </c>
      <c r="G169" s="8" t="n">
        <v>0.46</v>
      </c>
    </row>
    <row r="170" customFormat="false" ht="18" hidden="false" customHeight="false" outlineLevel="0" collapsed="false">
      <c r="A170" s="8" t="n">
        <v>43</v>
      </c>
      <c r="B170" s="8" t="s">
        <v>146</v>
      </c>
      <c r="C170" s="8" t="n">
        <v>1</v>
      </c>
      <c r="D170" s="8" t="s">
        <v>55</v>
      </c>
      <c r="E170" s="8" t="n">
        <v>0.9</v>
      </c>
      <c r="F170" s="8" t="n">
        <v>5</v>
      </c>
      <c r="G170" s="8" t="n">
        <v>0.1</v>
      </c>
    </row>
    <row r="171" customFormat="false" ht="18" hidden="false" customHeight="false" outlineLevel="0" collapsed="false">
      <c r="A171" s="8" t="n">
        <v>43</v>
      </c>
      <c r="B171" s="8" t="s">
        <v>146</v>
      </c>
      <c r="C171" s="8" t="n">
        <v>2</v>
      </c>
      <c r="D171" s="8" t="s">
        <v>73</v>
      </c>
      <c r="E171" s="8" t="n">
        <v>0.36</v>
      </c>
      <c r="F171" s="8" t="n">
        <v>5</v>
      </c>
      <c r="G171" s="8" t="n">
        <v>0.1</v>
      </c>
    </row>
    <row r="172" customFormat="false" ht="18" hidden="false" customHeight="false" outlineLevel="0" collapsed="false">
      <c r="A172" s="8" t="n">
        <v>43</v>
      </c>
      <c r="B172" s="8" t="s">
        <v>146</v>
      </c>
      <c r="C172" s="8" t="n">
        <v>3</v>
      </c>
      <c r="D172" s="8" t="s">
        <v>71</v>
      </c>
      <c r="E172" s="8" t="n">
        <v>0.36</v>
      </c>
      <c r="F172" s="8" t="n">
        <v>5</v>
      </c>
      <c r="G172" s="8" t="n">
        <v>0.1</v>
      </c>
    </row>
    <row r="173" customFormat="false" ht="18" hidden="false" customHeight="false" outlineLevel="0" collapsed="false">
      <c r="A173" s="8" t="n">
        <v>43</v>
      </c>
      <c r="B173" s="8" t="s">
        <v>146</v>
      </c>
      <c r="C173" s="8" t="n">
        <v>4</v>
      </c>
      <c r="D173" s="8" t="s">
        <v>61</v>
      </c>
      <c r="E173" s="8" t="n">
        <v>0.18</v>
      </c>
      <c r="F173" s="8" t="n">
        <v>3</v>
      </c>
      <c r="G173" s="8" t="n">
        <v>0.46</v>
      </c>
    </row>
    <row r="174" customFormat="false" ht="18" hidden="false" customHeight="false" outlineLevel="0" collapsed="false">
      <c r="A174" s="8" t="n">
        <v>44</v>
      </c>
      <c r="B174" s="8" t="s">
        <v>147</v>
      </c>
      <c r="C174" s="8" t="n">
        <v>1</v>
      </c>
      <c r="D174" s="8" t="s">
        <v>55</v>
      </c>
      <c r="E174" s="8" t="n">
        <v>0.9</v>
      </c>
      <c r="F174" s="8" t="n">
        <v>5</v>
      </c>
      <c r="G174" s="8" t="n">
        <v>0.1</v>
      </c>
    </row>
    <row r="175" customFormat="false" ht="18" hidden="false" customHeight="false" outlineLevel="0" collapsed="false">
      <c r="A175" s="8" t="n">
        <v>44</v>
      </c>
      <c r="B175" s="8" t="s">
        <v>147</v>
      </c>
      <c r="C175" s="8" t="n">
        <v>2</v>
      </c>
      <c r="D175" s="8" t="s">
        <v>73</v>
      </c>
      <c r="E175" s="8" t="n">
        <v>0.36</v>
      </c>
      <c r="F175" s="8" t="n">
        <v>5</v>
      </c>
      <c r="G175" s="8" t="n">
        <v>0.1</v>
      </c>
    </row>
    <row r="176" customFormat="false" ht="18" hidden="false" customHeight="false" outlineLevel="0" collapsed="false">
      <c r="A176" s="8" t="n">
        <v>44</v>
      </c>
      <c r="B176" s="8" t="s">
        <v>147</v>
      </c>
      <c r="C176" s="8" t="n">
        <v>3</v>
      </c>
      <c r="D176" s="8" t="s">
        <v>71</v>
      </c>
      <c r="E176" s="8" t="n">
        <v>0.36</v>
      </c>
      <c r="F176" s="8" t="n">
        <v>5</v>
      </c>
      <c r="G176" s="8" t="n">
        <v>0.1</v>
      </c>
    </row>
    <row r="177" customFormat="false" ht="18" hidden="false" customHeight="false" outlineLevel="0" collapsed="false">
      <c r="A177" s="8" t="n">
        <v>44</v>
      </c>
      <c r="B177" s="8" t="s">
        <v>147</v>
      </c>
      <c r="C177" s="8" t="n">
        <v>4</v>
      </c>
      <c r="D177" s="8" t="s">
        <v>67</v>
      </c>
      <c r="E177" s="8" t="n">
        <v>0.18</v>
      </c>
      <c r="F177" s="8" t="n">
        <v>3</v>
      </c>
      <c r="G177" s="8" t="n">
        <v>0.46</v>
      </c>
    </row>
    <row r="178" customFormat="false" ht="18" hidden="false" customHeight="false" outlineLevel="0" collapsed="false">
      <c r="A178" s="8" t="n">
        <v>45</v>
      </c>
      <c r="B178" s="8" t="s">
        <v>148</v>
      </c>
      <c r="C178" s="8" t="n">
        <v>1</v>
      </c>
      <c r="D178" s="8" t="s">
        <v>55</v>
      </c>
      <c r="E178" s="8" t="n">
        <v>0.9</v>
      </c>
      <c r="F178" s="8" t="n">
        <v>5</v>
      </c>
      <c r="G178" s="8" t="n">
        <v>0.1</v>
      </c>
    </row>
    <row r="179" customFormat="false" ht="18" hidden="false" customHeight="false" outlineLevel="0" collapsed="false">
      <c r="A179" s="8" t="n">
        <v>45</v>
      </c>
      <c r="B179" s="8" t="s">
        <v>148</v>
      </c>
      <c r="C179" s="8" t="n">
        <v>2</v>
      </c>
      <c r="D179" s="8" t="s">
        <v>73</v>
      </c>
      <c r="E179" s="8" t="n">
        <v>0.36</v>
      </c>
      <c r="F179" s="8" t="n">
        <v>5</v>
      </c>
      <c r="G179" s="8" t="n">
        <v>0.1</v>
      </c>
    </row>
    <row r="180" customFormat="false" ht="18" hidden="false" customHeight="false" outlineLevel="0" collapsed="false">
      <c r="A180" s="8" t="n">
        <v>45</v>
      </c>
      <c r="B180" s="8" t="s">
        <v>148</v>
      </c>
      <c r="C180" s="8" t="n">
        <v>3</v>
      </c>
      <c r="D180" s="8" t="s">
        <v>73</v>
      </c>
      <c r="E180" s="8" t="n">
        <v>0.36</v>
      </c>
      <c r="F180" s="8" t="n">
        <v>5</v>
      </c>
      <c r="G180" s="8" t="n">
        <v>0.1</v>
      </c>
    </row>
    <row r="181" customFormat="false" ht="18" hidden="false" customHeight="false" outlineLevel="0" collapsed="false">
      <c r="A181" s="8" t="n">
        <v>45</v>
      </c>
      <c r="B181" s="8" t="s">
        <v>148</v>
      </c>
      <c r="C181" s="8" t="n">
        <v>4</v>
      </c>
      <c r="D181" s="8" t="s">
        <v>65</v>
      </c>
      <c r="E181" s="8" t="n">
        <v>0.9</v>
      </c>
      <c r="F181" s="8" t="n">
        <v>5</v>
      </c>
      <c r="G181" s="8" t="n">
        <v>0.1</v>
      </c>
    </row>
    <row r="182" customFormat="false" ht="18" hidden="false" customHeight="false" outlineLevel="0" collapsed="false">
      <c r="A182" s="8" t="n">
        <v>46</v>
      </c>
      <c r="B182" s="8" t="s">
        <v>149</v>
      </c>
      <c r="C182" s="8" t="n">
        <v>1</v>
      </c>
      <c r="D182" s="8" t="s">
        <v>55</v>
      </c>
      <c r="E182" s="8" t="n">
        <v>0.9</v>
      </c>
      <c r="F182" s="8" t="n">
        <v>5</v>
      </c>
      <c r="G182" s="8" t="n">
        <v>0.1</v>
      </c>
    </row>
    <row r="183" customFormat="false" ht="18" hidden="false" customHeight="false" outlineLevel="0" collapsed="false">
      <c r="A183" s="8" t="n">
        <v>46</v>
      </c>
      <c r="B183" s="8" t="s">
        <v>149</v>
      </c>
      <c r="C183" s="8" t="n">
        <v>2</v>
      </c>
      <c r="D183" s="8" t="s">
        <v>73</v>
      </c>
      <c r="E183" s="8" t="n">
        <v>0.36</v>
      </c>
      <c r="F183" s="8" t="n">
        <v>5</v>
      </c>
      <c r="G183" s="8" t="n">
        <v>0.1</v>
      </c>
    </row>
    <row r="184" customFormat="false" ht="18" hidden="false" customHeight="false" outlineLevel="0" collapsed="false">
      <c r="A184" s="8" t="n">
        <v>46</v>
      </c>
      <c r="B184" s="8" t="s">
        <v>149</v>
      </c>
      <c r="C184" s="8" t="n">
        <v>3</v>
      </c>
      <c r="D184" s="8" t="s">
        <v>73</v>
      </c>
      <c r="E184" s="8" t="n">
        <v>0.36</v>
      </c>
      <c r="F184" s="8" t="n">
        <v>5</v>
      </c>
      <c r="G184" s="8" t="n">
        <v>0.1</v>
      </c>
    </row>
    <row r="185" customFormat="false" ht="18" hidden="false" customHeight="false" outlineLevel="0" collapsed="false">
      <c r="A185" s="8" t="n">
        <v>46</v>
      </c>
      <c r="B185" s="8" t="s">
        <v>149</v>
      </c>
      <c r="C185" s="8" t="n">
        <v>4</v>
      </c>
      <c r="D185" s="8" t="s">
        <v>63</v>
      </c>
      <c r="E185" s="8" t="n">
        <v>0.72</v>
      </c>
      <c r="F185" s="8" t="n">
        <v>3</v>
      </c>
      <c r="G185" s="8" t="n">
        <v>0.46</v>
      </c>
    </row>
    <row r="186" customFormat="false" ht="18" hidden="false" customHeight="false" outlineLevel="0" collapsed="false">
      <c r="A186" s="8" t="n">
        <v>47</v>
      </c>
      <c r="B186" s="8" t="s">
        <v>150</v>
      </c>
      <c r="C186" s="8" t="n">
        <v>1</v>
      </c>
      <c r="D186" s="8" t="s">
        <v>55</v>
      </c>
      <c r="E186" s="8" t="n">
        <v>0.9</v>
      </c>
      <c r="F186" s="8" t="n">
        <v>5</v>
      </c>
      <c r="G186" s="8" t="n">
        <v>0.1</v>
      </c>
    </row>
    <row r="187" customFormat="false" ht="18" hidden="false" customHeight="false" outlineLevel="0" collapsed="false">
      <c r="A187" s="8" t="n">
        <v>47</v>
      </c>
      <c r="B187" s="8" t="s">
        <v>150</v>
      </c>
      <c r="C187" s="8" t="n">
        <v>2</v>
      </c>
      <c r="D187" s="8" t="s">
        <v>73</v>
      </c>
      <c r="E187" s="8" t="n">
        <v>0.36</v>
      </c>
      <c r="F187" s="8" t="n">
        <v>5</v>
      </c>
      <c r="G187" s="8" t="n">
        <v>0.1</v>
      </c>
    </row>
    <row r="188" customFormat="false" ht="18" hidden="false" customHeight="false" outlineLevel="0" collapsed="false">
      <c r="A188" s="8" t="n">
        <v>47</v>
      </c>
      <c r="B188" s="8" t="s">
        <v>150</v>
      </c>
      <c r="C188" s="8" t="n">
        <v>3</v>
      </c>
      <c r="D188" s="8" t="s">
        <v>73</v>
      </c>
      <c r="E188" s="8" t="n">
        <v>0.36</v>
      </c>
      <c r="F188" s="8" t="n">
        <v>5</v>
      </c>
      <c r="G188" s="8" t="n">
        <v>0.1</v>
      </c>
    </row>
    <row r="189" customFormat="false" ht="18" hidden="false" customHeight="false" outlineLevel="0" collapsed="false">
      <c r="A189" s="8" t="n">
        <v>47</v>
      </c>
      <c r="B189" s="8" t="s">
        <v>150</v>
      </c>
      <c r="C189" s="8" t="n">
        <v>4</v>
      </c>
      <c r="D189" s="8" t="s">
        <v>61</v>
      </c>
      <c r="E189" s="8" t="n">
        <v>0.18</v>
      </c>
      <c r="F189" s="8" t="n">
        <v>3</v>
      </c>
      <c r="G189" s="8" t="n">
        <v>0.46</v>
      </c>
    </row>
    <row r="190" customFormat="false" ht="18" hidden="false" customHeight="false" outlineLevel="0" collapsed="false">
      <c r="A190" s="8" t="n">
        <v>48</v>
      </c>
      <c r="B190" s="8" t="s">
        <v>151</v>
      </c>
      <c r="C190" s="8" t="n">
        <v>1</v>
      </c>
      <c r="D190" s="8" t="s">
        <v>55</v>
      </c>
      <c r="E190" s="8" t="n">
        <v>0.9</v>
      </c>
      <c r="F190" s="8" t="n">
        <v>5</v>
      </c>
      <c r="G190" s="8" t="n">
        <v>0.1</v>
      </c>
    </row>
    <row r="191" customFormat="false" ht="18" hidden="false" customHeight="false" outlineLevel="0" collapsed="false">
      <c r="A191" s="8" t="n">
        <v>48</v>
      </c>
      <c r="B191" s="8" t="s">
        <v>151</v>
      </c>
      <c r="C191" s="8" t="n">
        <v>2</v>
      </c>
      <c r="D191" s="8" t="s">
        <v>73</v>
      </c>
      <c r="E191" s="8" t="n">
        <v>0.36</v>
      </c>
      <c r="F191" s="8" t="n">
        <v>5</v>
      </c>
      <c r="G191" s="8" t="n">
        <v>0.1</v>
      </c>
    </row>
    <row r="192" customFormat="false" ht="18" hidden="false" customHeight="false" outlineLevel="0" collapsed="false">
      <c r="A192" s="8" t="n">
        <v>48</v>
      </c>
      <c r="B192" s="8" t="s">
        <v>151</v>
      </c>
      <c r="C192" s="8" t="n">
        <v>3</v>
      </c>
      <c r="D192" s="8" t="s">
        <v>73</v>
      </c>
      <c r="E192" s="8" t="n">
        <v>0.36</v>
      </c>
      <c r="F192" s="8" t="n">
        <v>5</v>
      </c>
      <c r="G192" s="8" t="n">
        <v>0.1</v>
      </c>
    </row>
    <row r="193" customFormat="false" ht="18" hidden="false" customHeight="false" outlineLevel="0" collapsed="false">
      <c r="A193" s="8" t="n">
        <v>48</v>
      </c>
      <c r="B193" s="8" t="s">
        <v>151</v>
      </c>
      <c r="C193" s="8" t="n">
        <v>4</v>
      </c>
      <c r="D193" s="8" t="s">
        <v>67</v>
      </c>
      <c r="E193" s="8" t="n">
        <v>0.18</v>
      </c>
      <c r="F193" s="8" t="n">
        <v>3</v>
      </c>
      <c r="G193" s="8" t="n">
        <v>0.46</v>
      </c>
    </row>
    <row r="194" customFormat="false" ht="18" hidden="false" customHeight="false" outlineLevel="0" collapsed="false">
      <c r="A194" s="8" t="n">
        <v>49</v>
      </c>
      <c r="B194" s="8" t="s">
        <v>152</v>
      </c>
      <c r="C194" s="8" t="n">
        <v>1</v>
      </c>
      <c r="D194" s="8" t="s">
        <v>55</v>
      </c>
      <c r="E194" s="8" t="n">
        <v>0.9</v>
      </c>
      <c r="F194" s="8" t="n">
        <v>5</v>
      </c>
      <c r="G194" s="8" t="n">
        <v>0.1</v>
      </c>
    </row>
    <row r="195" customFormat="false" ht="18" hidden="false" customHeight="false" outlineLevel="0" collapsed="false">
      <c r="A195" s="8" t="n">
        <v>49</v>
      </c>
      <c r="B195" s="8" t="s">
        <v>152</v>
      </c>
      <c r="C195" s="8" t="n">
        <v>2</v>
      </c>
      <c r="D195" s="8" t="s">
        <v>77</v>
      </c>
      <c r="E195" s="8" t="n">
        <v>0.18</v>
      </c>
      <c r="F195" s="8" t="n">
        <v>3</v>
      </c>
      <c r="G195" s="8" t="n">
        <v>0.46</v>
      </c>
    </row>
    <row r="196" customFormat="false" ht="18" hidden="false" customHeight="false" outlineLevel="0" collapsed="false">
      <c r="A196" s="8" t="n">
        <v>49</v>
      </c>
      <c r="B196" s="8" t="s">
        <v>152</v>
      </c>
      <c r="C196" s="8" t="n">
        <v>3</v>
      </c>
      <c r="D196" s="8" t="s">
        <v>59</v>
      </c>
      <c r="E196" s="8" t="n">
        <v>0.36</v>
      </c>
      <c r="F196" s="8" t="n">
        <v>5</v>
      </c>
      <c r="G196" s="8" t="n">
        <v>0.1</v>
      </c>
    </row>
    <row r="197" customFormat="false" ht="18" hidden="false" customHeight="false" outlineLevel="0" collapsed="false">
      <c r="A197" s="8" t="n">
        <v>49</v>
      </c>
      <c r="B197" s="8" t="s">
        <v>152</v>
      </c>
      <c r="C197" s="8" t="n">
        <v>4</v>
      </c>
      <c r="D197" s="8" t="s">
        <v>65</v>
      </c>
      <c r="E197" s="8" t="n">
        <v>0.9</v>
      </c>
      <c r="F197" s="8" t="n">
        <v>5</v>
      </c>
      <c r="G197" s="8" t="n">
        <v>0.1</v>
      </c>
    </row>
    <row r="198" customFormat="false" ht="18" hidden="false" customHeight="false" outlineLevel="0" collapsed="false">
      <c r="A198" s="8" t="n">
        <v>50</v>
      </c>
      <c r="B198" s="8" t="s">
        <v>153</v>
      </c>
      <c r="C198" s="8" t="n">
        <v>1</v>
      </c>
      <c r="D198" s="8" t="s">
        <v>55</v>
      </c>
      <c r="E198" s="8" t="n">
        <v>0.9</v>
      </c>
      <c r="F198" s="8" t="n">
        <v>5</v>
      </c>
      <c r="G198" s="8" t="n">
        <v>0.1</v>
      </c>
    </row>
    <row r="199" customFormat="false" ht="18" hidden="false" customHeight="false" outlineLevel="0" collapsed="false">
      <c r="A199" s="8" t="n">
        <v>50</v>
      </c>
      <c r="B199" s="8" t="s">
        <v>153</v>
      </c>
      <c r="C199" s="8" t="n">
        <v>2</v>
      </c>
      <c r="D199" s="8" t="s">
        <v>77</v>
      </c>
      <c r="E199" s="8" t="n">
        <v>0.18</v>
      </c>
      <c r="F199" s="8" t="n">
        <v>3</v>
      </c>
      <c r="G199" s="8" t="n">
        <v>0.46</v>
      </c>
    </row>
    <row r="200" customFormat="false" ht="18" hidden="false" customHeight="false" outlineLevel="0" collapsed="false">
      <c r="A200" s="8" t="n">
        <v>50</v>
      </c>
      <c r="B200" s="8" t="s">
        <v>153</v>
      </c>
      <c r="C200" s="8" t="n">
        <v>3</v>
      </c>
      <c r="D200" s="8" t="s">
        <v>59</v>
      </c>
      <c r="E200" s="8" t="n">
        <v>0.36</v>
      </c>
      <c r="F200" s="8" t="n">
        <v>5</v>
      </c>
      <c r="G200" s="8" t="n">
        <v>0.1</v>
      </c>
    </row>
    <row r="201" customFormat="false" ht="18" hidden="false" customHeight="false" outlineLevel="0" collapsed="false">
      <c r="A201" s="8" t="n">
        <v>50</v>
      </c>
      <c r="B201" s="8" t="s">
        <v>153</v>
      </c>
      <c r="C201" s="8" t="n">
        <v>4</v>
      </c>
      <c r="D201" s="8" t="s">
        <v>63</v>
      </c>
      <c r="E201" s="8" t="n">
        <v>0.72</v>
      </c>
      <c r="F201" s="8" t="n">
        <v>3</v>
      </c>
      <c r="G201" s="8" t="n">
        <v>0.46</v>
      </c>
    </row>
    <row r="202" customFormat="false" ht="18" hidden="false" customHeight="false" outlineLevel="0" collapsed="false">
      <c r="A202" s="8" t="n">
        <v>51</v>
      </c>
      <c r="B202" s="8" t="s">
        <v>154</v>
      </c>
      <c r="C202" s="8" t="n">
        <v>1</v>
      </c>
      <c r="D202" s="8" t="s">
        <v>55</v>
      </c>
      <c r="E202" s="8" t="n">
        <v>0.9</v>
      </c>
      <c r="F202" s="8" t="n">
        <v>5</v>
      </c>
      <c r="G202" s="8" t="n">
        <v>0.1</v>
      </c>
    </row>
    <row r="203" customFormat="false" ht="18" hidden="false" customHeight="false" outlineLevel="0" collapsed="false">
      <c r="A203" s="8" t="n">
        <v>51</v>
      </c>
      <c r="B203" s="8" t="s">
        <v>154</v>
      </c>
      <c r="C203" s="8" t="n">
        <v>2</v>
      </c>
      <c r="D203" s="8" t="s">
        <v>77</v>
      </c>
      <c r="E203" s="8" t="n">
        <v>0.18</v>
      </c>
      <c r="F203" s="8" t="n">
        <v>3</v>
      </c>
      <c r="G203" s="8" t="n">
        <v>0.46</v>
      </c>
    </row>
    <row r="204" customFormat="false" ht="18" hidden="false" customHeight="false" outlineLevel="0" collapsed="false">
      <c r="A204" s="8" t="n">
        <v>51</v>
      </c>
      <c r="B204" s="8" t="s">
        <v>154</v>
      </c>
      <c r="C204" s="8" t="n">
        <v>3</v>
      </c>
      <c r="D204" s="8" t="s">
        <v>59</v>
      </c>
      <c r="E204" s="8" t="n">
        <v>0.36</v>
      </c>
      <c r="F204" s="8" t="n">
        <v>5</v>
      </c>
      <c r="G204" s="8" t="n">
        <v>0.1</v>
      </c>
    </row>
    <row r="205" customFormat="false" ht="18" hidden="false" customHeight="false" outlineLevel="0" collapsed="false">
      <c r="A205" s="8" t="n">
        <v>51</v>
      </c>
      <c r="B205" s="8" t="s">
        <v>154</v>
      </c>
      <c r="C205" s="8" t="n">
        <v>4</v>
      </c>
      <c r="D205" s="8" t="s">
        <v>61</v>
      </c>
      <c r="E205" s="8" t="n">
        <v>0.18</v>
      </c>
      <c r="F205" s="8" t="n">
        <v>3</v>
      </c>
      <c r="G205" s="8" t="n">
        <v>0.46</v>
      </c>
    </row>
    <row r="206" customFormat="false" ht="18" hidden="false" customHeight="false" outlineLevel="0" collapsed="false">
      <c r="A206" s="8" t="n">
        <v>52</v>
      </c>
      <c r="B206" s="8" t="s">
        <v>155</v>
      </c>
      <c r="C206" s="8" t="n">
        <v>1</v>
      </c>
      <c r="D206" s="8" t="s">
        <v>55</v>
      </c>
      <c r="E206" s="8" t="n">
        <v>0.9</v>
      </c>
      <c r="F206" s="8" t="n">
        <v>5</v>
      </c>
      <c r="G206" s="8" t="n">
        <v>0.1</v>
      </c>
    </row>
    <row r="207" customFormat="false" ht="18" hidden="false" customHeight="false" outlineLevel="0" collapsed="false">
      <c r="A207" s="8" t="n">
        <v>52</v>
      </c>
      <c r="B207" s="8" t="s">
        <v>155</v>
      </c>
      <c r="C207" s="8" t="n">
        <v>2</v>
      </c>
      <c r="D207" s="8" t="s">
        <v>77</v>
      </c>
      <c r="E207" s="8" t="n">
        <v>0.18</v>
      </c>
      <c r="F207" s="8" t="n">
        <v>3</v>
      </c>
      <c r="G207" s="8" t="n">
        <v>0.46</v>
      </c>
    </row>
    <row r="208" customFormat="false" ht="18" hidden="false" customHeight="false" outlineLevel="0" collapsed="false">
      <c r="A208" s="8" t="n">
        <v>52</v>
      </c>
      <c r="B208" s="8" t="s">
        <v>155</v>
      </c>
      <c r="C208" s="8" t="n">
        <v>3</v>
      </c>
      <c r="D208" s="8" t="s">
        <v>59</v>
      </c>
      <c r="E208" s="8" t="n">
        <v>0.36</v>
      </c>
      <c r="F208" s="8" t="n">
        <v>5</v>
      </c>
      <c r="G208" s="8" t="n">
        <v>0.1</v>
      </c>
    </row>
    <row r="209" customFormat="false" ht="18" hidden="false" customHeight="false" outlineLevel="0" collapsed="false">
      <c r="A209" s="8" t="n">
        <v>52</v>
      </c>
      <c r="B209" s="8" t="s">
        <v>155</v>
      </c>
      <c r="C209" s="8" t="n">
        <v>4</v>
      </c>
      <c r="D209" s="8" t="s">
        <v>67</v>
      </c>
      <c r="E209" s="8" t="n">
        <v>0.18</v>
      </c>
      <c r="F209" s="8" t="n">
        <v>3</v>
      </c>
      <c r="G209" s="8" t="n">
        <v>0.46</v>
      </c>
    </row>
    <row r="210" customFormat="false" ht="18" hidden="false" customHeight="false" outlineLevel="0" collapsed="false">
      <c r="A210" s="8" t="n">
        <v>53</v>
      </c>
      <c r="B210" s="8" t="s">
        <v>156</v>
      </c>
      <c r="C210" s="8" t="n">
        <v>1</v>
      </c>
      <c r="D210" s="8" t="s">
        <v>55</v>
      </c>
      <c r="E210" s="8" t="n">
        <v>0.9</v>
      </c>
      <c r="F210" s="8" t="n">
        <v>5</v>
      </c>
      <c r="G210" s="8" t="n">
        <v>0.1</v>
      </c>
    </row>
    <row r="211" customFormat="false" ht="18" hidden="false" customHeight="false" outlineLevel="0" collapsed="false">
      <c r="A211" s="8" t="n">
        <v>53</v>
      </c>
      <c r="B211" s="8" t="s">
        <v>156</v>
      </c>
      <c r="C211" s="8" t="n">
        <v>2</v>
      </c>
      <c r="D211" s="8" t="s">
        <v>77</v>
      </c>
      <c r="E211" s="8" t="n">
        <v>0.18</v>
      </c>
      <c r="F211" s="8" t="n">
        <v>3</v>
      </c>
      <c r="G211" s="8" t="n">
        <v>0.46</v>
      </c>
    </row>
    <row r="212" customFormat="false" ht="18" hidden="false" customHeight="false" outlineLevel="0" collapsed="false">
      <c r="A212" s="8" t="n">
        <v>53</v>
      </c>
      <c r="B212" s="8" t="s">
        <v>156</v>
      </c>
      <c r="C212" s="8" t="n">
        <v>3</v>
      </c>
      <c r="D212" s="8" t="s">
        <v>69</v>
      </c>
      <c r="E212" s="8" t="n">
        <v>0.36</v>
      </c>
      <c r="F212" s="8" t="n">
        <v>5</v>
      </c>
      <c r="G212" s="8" t="n">
        <v>0.1</v>
      </c>
    </row>
    <row r="213" customFormat="false" ht="18" hidden="false" customHeight="false" outlineLevel="0" collapsed="false">
      <c r="A213" s="8" t="n">
        <v>53</v>
      </c>
      <c r="B213" s="8" t="s">
        <v>156</v>
      </c>
      <c r="C213" s="8" t="n">
        <v>4</v>
      </c>
      <c r="D213" s="8" t="s">
        <v>65</v>
      </c>
      <c r="E213" s="8" t="n">
        <v>0.9</v>
      </c>
      <c r="F213" s="8" t="n">
        <v>5</v>
      </c>
      <c r="G213" s="8" t="n">
        <v>0.1</v>
      </c>
    </row>
    <row r="214" customFormat="false" ht="18" hidden="false" customHeight="false" outlineLevel="0" collapsed="false">
      <c r="A214" s="8" t="n">
        <v>54</v>
      </c>
      <c r="B214" s="8" t="s">
        <v>157</v>
      </c>
      <c r="C214" s="8" t="n">
        <v>1</v>
      </c>
      <c r="D214" s="8" t="s">
        <v>55</v>
      </c>
      <c r="E214" s="8" t="n">
        <v>0.9</v>
      </c>
      <c r="F214" s="8" t="n">
        <v>5</v>
      </c>
      <c r="G214" s="8" t="n">
        <v>0.1</v>
      </c>
    </row>
    <row r="215" customFormat="false" ht="18" hidden="false" customHeight="false" outlineLevel="0" collapsed="false">
      <c r="A215" s="8" t="n">
        <v>54</v>
      </c>
      <c r="B215" s="8" t="s">
        <v>157</v>
      </c>
      <c r="C215" s="8" t="n">
        <v>2</v>
      </c>
      <c r="D215" s="8" t="s">
        <v>77</v>
      </c>
      <c r="E215" s="8" t="n">
        <v>0.18</v>
      </c>
      <c r="F215" s="8" t="n">
        <v>3</v>
      </c>
      <c r="G215" s="8" t="n">
        <v>0.46</v>
      </c>
    </row>
    <row r="216" customFormat="false" ht="18" hidden="false" customHeight="false" outlineLevel="0" collapsed="false">
      <c r="A216" s="8" t="n">
        <v>54</v>
      </c>
      <c r="B216" s="8" t="s">
        <v>157</v>
      </c>
      <c r="C216" s="8" t="n">
        <v>3</v>
      </c>
      <c r="D216" s="8" t="s">
        <v>69</v>
      </c>
      <c r="E216" s="8" t="n">
        <v>0.36</v>
      </c>
      <c r="F216" s="8" t="n">
        <v>5</v>
      </c>
      <c r="G216" s="8" t="n">
        <v>0.1</v>
      </c>
    </row>
    <row r="217" customFormat="false" ht="18" hidden="false" customHeight="false" outlineLevel="0" collapsed="false">
      <c r="A217" s="8" t="n">
        <v>54</v>
      </c>
      <c r="B217" s="8" t="s">
        <v>157</v>
      </c>
      <c r="C217" s="8" t="n">
        <v>4</v>
      </c>
      <c r="D217" s="8" t="s">
        <v>63</v>
      </c>
      <c r="E217" s="8" t="n">
        <v>0.72</v>
      </c>
      <c r="F217" s="8" t="n">
        <v>3</v>
      </c>
      <c r="G217" s="8" t="n">
        <v>0.46</v>
      </c>
    </row>
    <row r="218" customFormat="false" ht="18" hidden="false" customHeight="false" outlineLevel="0" collapsed="false">
      <c r="A218" s="8" t="n">
        <v>55</v>
      </c>
      <c r="B218" s="8" t="s">
        <v>158</v>
      </c>
      <c r="C218" s="8" t="n">
        <v>1</v>
      </c>
      <c r="D218" s="8" t="s">
        <v>55</v>
      </c>
      <c r="E218" s="8" t="n">
        <v>0.9</v>
      </c>
      <c r="F218" s="8" t="n">
        <v>5</v>
      </c>
      <c r="G218" s="8" t="n">
        <v>0.1</v>
      </c>
    </row>
    <row r="219" customFormat="false" ht="18" hidden="false" customHeight="false" outlineLevel="0" collapsed="false">
      <c r="A219" s="8" t="n">
        <v>55</v>
      </c>
      <c r="B219" s="8" t="s">
        <v>158</v>
      </c>
      <c r="C219" s="8" t="n">
        <v>2</v>
      </c>
      <c r="D219" s="8" t="s">
        <v>77</v>
      </c>
      <c r="E219" s="8" t="n">
        <v>0.18</v>
      </c>
      <c r="F219" s="8" t="n">
        <v>3</v>
      </c>
      <c r="G219" s="8" t="n">
        <v>0.46</v>
      </c>
    </row>
    <row r="220" customFormat="false" ht="18" hidden="false" customHeight="false" outlineLevel="0" collapsed="false">
      <c r="A220" s="8" t="n">
        <v>55</v>
      </c>
      <c r="B220" s="8" t="s">
        <v>158</v>
      </c>
      <c r="C220" s="8" t="n">
        <v>3</v>
      </c>
      <c r="D220" s="8" t="s">
        <v>69</v>
      </c>
      <c r="E220" s="8" t="n">
        <v>0.36</v>
      </c>
      <c r="F220" s="8" t="n">
        <v>5</v>
      </c>
      <c r="G220" s="8" t="n">
        <v>0.1</v>
      </c>
    </row>
    <row r="221" customFormat="false" ht="18" hidden="false" customHeight="false" outlineLevel="0" collapsed="false">
      <c r="A221" s="8" t="n">
        <v>55</v>
      </c>
      <c r="B221" s="8" t="s">
        <v>158</v>
      </c>
      <c r="C221" s="8" t="n">
        <v>4</v>
      </c>
      <c r="D221" s="8" t="s">
        <v>61</v>
      </c>
      <c r="E221" s="8" t="n">
        <v>0.18</v>
      </c>
      <c r="F221" s="8" t="n">
        <v>3</v>
      </c>
      <c r="G221" s="8" t="n">
        <v>0.46</v>
      </c>
    </row>
    <row r="222" customFormat="false" ht="18" hidden="false" customHeight="false" outlineLevel="0" collapsed="false">
      <c r="A222" s="8" t="n">
        <v>56</v>
      </c>
      <c r="B222" s="8" t="s">
        <v>159</v>
      </c>
      <c r="C222" s="8" t="n">
        <v>1</v>
      </c>
      <c r="D222" s="8" t="s">
        <v>55</v>
      </c>
      <c r="E222" s="8" t="n">
        <v>0.9</v>
      </c>
      <c r="F222" s="8" t="n">
        <v>5</v>
      </c>
      <c r="G222" s="8" t="n">
        <v>0.1</v>
      </c>
    </row>
    <row r="223" customFormat="false" ht="18" hidden="false" customHeight="false" outlineLevel="0" collapsed="false">
      <c r="A223" s="8" t="n">
        <v>56</v>
      </c>
      <c r="B223" s="8" t="s">
        <v>159</v>
      </c>
      <c r="C223" s="8" t="n">
        <v>2</v>
      </c>
      <c r="D223" s="8" t="s">
        <v>77</v>
      </c>
      <c r="E223" s="8" t="n">
        <v>0.18</v>
      </c>
      <c r="F223" s="8" t="n">
        <v>3</v>
      </c>
      <c r="G223" s="8" t="n">
        <v>0.46</v>
      </c>
    </row>
    <row r="224" customFormat="false" ht="18" hidden="false" customHeight="false" outlineLevel="0" collapsed="false">
      <c r="A224" s="8" t="n">
        <v>56</v>
      </c>
      <c r="B224" s="8" t="s">
        <v>159</v>
      </c>
      <c r="C224" s="8" t="n">
        <v>3</v>
      </c>
      <c r="D224" s="8" t="s">
        <v>69</v>
      </c>
      <c r="E224" s="8" t="n">
        <v>0.36</v>
      </c>
      <c r="F224" s="8" t="n">
        <v>5</v>
      </c>
      <c r="G224" s="8" t="n">
        <v>0.1</v>
      </c>
    </row>
    <row r="225" customFormat="false" ht="18" hidden="false" customHeight="false" outlineLevel="0" collapsed="false">
      <c r="A225" s="8" t="n">
        <v>56</v>
      </c>
      <c r="B225" s="8" t="s">
        <v>159</v>
      </c>
      <c r="C225" s="8" t="n">
        <v>4</v>
      </c>
      <c r="D225" s="8" t="s">
        <v>67</v>
      </c>
      <c r="E225" s="8" t="n">
        <v>0.18</v>
      </c>
      <c r="F225" s="8" t="n">
        <v>3</v>
      </c>
      <c r="G225" s="8" t="n">
        <v>0.46</v>
      </c>
    </row>
    <row r="226" customFormat="false" ht="18" hidden="false" customHeight="false" outlineLevel="0" collapsed="false">
      <c r="A226" s="8" t="n">
        <v>57</v>
      </c>
      <c r="B226" s="8" t="s">
        <v>160</v>
      </c>
      <c r="C226" s="8" t="n">
        <v>1</v>
      </c>
      <c r="D226" s="8" t="s">
        <v>55</v>
      </c>
      <c r="E226" s="8" t="n">
        <v>0.9</v>
      </c>
      <c r="F226" s="8" t="n">
        <v>5</v>
      </c>
      <c r="G226" s="8" t="n">
        <v>0.1</v>
      </c>
    </row>
    <row r="227" customFormat="false" ht="18" hidden="false" customHeight="false" outlineLevel="0" collapsed="false">
      <c r="A227" s="8" t="n">
        <v>57</v>
      </c>
      <c r="B227" s="8" t="s">
        <v>160</v>
      </c>
      <c r="C227" s="8" t="n">
        <v>2</v>
      </c>
      <c r="D227" s="8" t="s">
        <v>77</v>
      </c>
      <c r="E227" s="8" t="n">
        <v>0.18</v>
      </c>
      <c r="F227" s="8" t="n">
        <v>3</v>
      </c>
      <c r="G227" s="8" t="n">
        <v>0.46</v>
      </c>
    </row>
    <row r="228" customFormat="false" ht="18" hidden="false" customHeight="false" outlineLevel="0" collapsed="false">
      <c r="A228" s="8" t="n">
        <v>57</v>
      </c>
      <c r="B228" s="8" t="s">
        <v>160</v>
      </c>
      <c r="C228" s="8" t="n">
        <v>3</v>
      </c>
      <c r="D228" s="8" t="s">
        <v>71</v>
      </c>
      <c r="E228" s="8" t="n">
        <v>0.36</v>
      </c>
      <c r="F228" s="8" t="n">
        <v>5</v>
      </c>
      <c r="G228" s="8" t="n">
        <v>0.1</v>
      </c>
    </row>
    <row r="229" customFormat="false" ht="18" hidden="false" customHeight="false" outlineLevel="0" collapsed="false">
      <c r="A229" s="8" t="n">
        <v>57</v>
      </c>
      <c r="B229" s="8" t="s">
        <v>160</v>
      </c>
      <c r="C229" s="8" t="n">
        <v>4</v>
      </c>
      <c r="D229" s="8" t="s">
        <v>65</v>
      </c>
      <c r="E229" s="8" t="n">
        <v>0.9</v>
      </c>
      <c r="F229" s="8" t="n">
        <v>5</v>
      </c>
      <c r="G229" s="8" t="n">
        <v>0.1</v>
      </c>
    </row>
    <row r="230" customFormat="false" ht="18" hidden="false" customHeight="false" outlineLevel="0" collapsed="false">
      <c r="A230" s="8" t="n">
        <v>58</v>
      </c>
      <c r="B230" s="8" t="s">
        <v>161</v>
      </c>
      <c r="C230" s="8" t="n">
        <v>1</v>
      </c>
      <c r="D230" s="8" t="s">
        <v>55</v>
      </c>
      <c r="E230" s="8" t="n">
        <v>0.9</v>
      </c>
      <c r="F230" s="8" t="n">
        <v>5</v>
      </c>
      <c r="G230" s="8" t="n">
        <v>0.1</v>
      </c>
    </row>
    <row r="231" customFormat="false" ht="18" hidden="false" customHeight="false" outlineLevel="0" collapsed="false">
      <c r="A231" s="8" t="n">
        <v>58</v>
      </c>
      <c r="B231" s="8" t="s">
        <v>161</v>
      </c>
      <c r="C231" s="8" t="n">
        <v>2</v>
      </c>
      <c r="D231" s="8" t="s">
        <v>77</v>
      </c>
      <c r="E231" s="8" t="n">
        <v>0.18</v>
      </c>
      <c r="F231" s="8" t="n">
        <v>3</v>
      </c>
      <c r="G231" s="8" t="n">
        <v>0.46</v>
      </c>
    </row>
    <row r="232" customFormat="false" ht="18" hidden="false" customHeight="false" outlineLevel="0" collapsed="false">
      <c r="A232" s="8" t="n">
        <v>58</v>
      </c>
      <c r="B232" s="8" t="s">
        <v>161</v>
      </c>
      <c r="C232" s="8" t="n">
        <v>3</v>
      </c>
      <c r="D232" s="8" t="s">
        <v>71</v>
      </c>
      <c r="E232" s="8" t="n">
        <v>0.36</v>
      </c>
      <c r="F232" s="8" t="n">
        <v>5</v>
      </c>
      <c r="G232" s="8" t="n">
        <v>0.1</v>
      </c>
    </row>
    <row r="233" customFormat="false" ht="18" hidden="false" customHeight="false" outlineLevel="0" collapsed="false">
      <c r="A233" s="8" t="n">
        <v>58</v>
      </c>
      <c r="B233" s="8" t="s">
        <v>161</v>
      </c>
      <c r="C233" s="8" t="n">
        <v>4</v>
      </c>
      <c r="D233" s="8" t="s">
        <v>63</v>
      </c>
      <c r="E233" s="8" t="n">
        <v>0.72</v>
      </c>
      <c r="F233" s="8" t="n">
        <v>3</v>
      </c>
      <c r="G233" s="8" t="n">
        <v>0.46</v>
      </c>
    </row>
    <row r="234" customFormat="false" ht="18" hidden="false" customHeight="false" outlineLevel="0" collapsed="false">
      <c r="A234" s="8" t="n">
        <v>59</v>
      </c>
      <c r="B234" s="8" t="s">
        <v>162</v>
      </c>
      <c r="C234" s="8" t="n">
        <v>1</v>
      </c>
      <c r="D234" s="8" t="s">
        <v>55</v>
      </c>
      <c r="E234" s="8" t="n">
        <v>0.9</v>
      </c>
      <c r="F234" s="8" t="n">
        <v>5</v>
      </c>
      <c r="G234" s="8" t="n">
        <v>0.1</v>
      </c>
    </row>
    <row r="235" customFormat="false" ht="18" hidden="false" customHeight="false" outlineLevel="0" collapsed="false">
      <c r="A235" s="8" t="n">
        <v>59</v>
      </c>
      <c r="B235" s="8" t="s">
        <v>162</v>
      </c>
      <c r="C235" s="8" t="n">
        <v>2</v>
      </c>
      <c r="D235" s="8" t="s">
        <v>77</v>
      </c>
      <c r="E235" s="8" t="n">
        <v>0.18</v>
      </c>
      <c r="F235" s="8" t="n">
        <v>3</v>
      </c>
      <c r="G235" s="8" t="n">
        <v>0.46</v>
      </c>
    </row>
    <row r="236" customFormat="false" ht="18" hidden="false" customHeight="false" outlineLevel="0" collapsed="false">
      <c r="A236" s="8" t="n">
        <v>59</v>
      </c>
      <c r="B236" s="8" t="s">
        <v>162</v>
      </c>
      <c r="C236" s="8" t="n">
        <v>3</v>
      </c>
      <c r="D236" s="8" t="s">
        <v>71</v>
      </c>
      <c r="E236" s="8" t="n">
        <v>0.36</v>
      </c>
      <c r="F236" s="8" t="n">
        <v>5</v>
      </c>
      <c r="G236" s="8" t="n">
        <v>0.1</v>
      </c>
    </row>
    <row r="237" customFormat="false" ht="18" hidden="false" customHeight="false" outlineLevel="0" collapsed="false">
      <c r="A237" s="8" t="n">
        <v>59</v>
      </c>
      <c r="B237" s="8" t="s">
        <v>162</v>
      </c>
      <c r="C237" s="8" t="n">
        <v>4</v>
      </c>
      <c r="D237" s="8" t="s">
        <v>61</v>
      </c>
      <c r="E237" s="8" t="n">
        <v>0.18</v>
      </c>
      <c r="F237" s="8" t="n">
        <v>3</v>
      </c>
      <c r="G237" s="8" t="n">
        <v>0.46</v>
      </c>
    </row>
    <row r="238" customFormat="false" ht="18" hidden="false" customHeight="false" outlineLevel="0" collapsed="false">
      <c r="A238" s="8" t="n">
        <v>60</v>
      </c>
      <c r="B238" s="8" t="s">
        <v>163</v>
      </c>
      <c r="C238" s="8" t="n">
        <v>1</v>
      </c>
      <c r="D238" s="8" t="s">
        <v>55</v>
      </c>
      <c r="E238" s="8" t="n">
        <v>0.9</v>
      </c>
      <c r="F238" s="8" t="n">
        <v>5</v>
      </c>
      <c r="G238" s="8" t="n">
        <v>0.1</v>
      </c>
    </row>
    <row r="239" customFormat="false" ht="18" hidden="false" customHeight="false" outlineLevel="0" collapsed="false">
      <c r="A239" s="8" t="n">
        <v>60</v>
      </c>
      <c r="B239" s="8" t="s">
        <v>163</v>
      </c>
      <c r="C239" s="8" t="n">
        <v>2</v>
      </c>
      <c r="D239" s="8" t="s">
        <v>77</v>
      </c>
      <c r="E239" s="8" t="n">
        <v>0.18</v>
      </c>
      <c r="F239" s="8" t="n">
        <v>3</v>
      </c>
      <c r="G239" s="8" t="n">
        <v>0.46</v>
      </c>
    </row>
    <row r="240" customFormat="false" ht="18" hidden="false" customHeight="false" outlineLevel="0" collapsed="false">
      <c r="A240" s="8" t="n">
        <v>60</v>
      </c>
      <c r="B240" s="8" t="s">
        <v>163</v>
      </c>
      <c r="C240" s="8" t="n">
        <v>3</v>
      </c>
      <c r="D240" s="8" t="s">
        <v>71</v>
      </c>
      <c r="E240" s="8" t="n">
        <v>0.36</v>
      </c>
      <c r="F240" s="8" t="n">
        <v>5</v>
      </c>
      <c r="G240" s="8" t="n">
        <v>0.1</v>
      </c>
    </row>
    <row r="241" customFormat="false" ht="18" hidden="false" customHeight="false" outlineLevel="0" collapsed="false">
      <c r="A241" s="8" t="n">
        <v>60</v>
      </c>
      <c r="B241" s="8" t="s">
        <v>163</v>
      </c>
      <c r="C241" s="8" t="n">
        <v>4</v>
      </c>
      <c r="D241" s="8" t="s">
        <v>67</v>
      </c>
      <c r="E241" s="8" t="n">
        <v>0.18</v>
      </c>
      <c r="F241" s="8" t="n">
        <v>3</v>
      </c>
      <c r="G241" s="8" t="n">
        <v>0.46</v>
      </c>
    </row>
    <row r="242" customFormat="false" ht="18" hidden="false" customHeight="false" outlineLevel="0" collapsed="false">
      <c r="A242" s="8" t="n">
        <v>61</v>
      </c>
      <c r="B242" s="8" t="s">
        <v>164</v>
      </c>
      <c r="C242" s="8" t="n">
        <v>1</v>
      </c>
      <c r="D242" s="8" t="s">
        <v>55</v>
      </c>
      <c r="E242" s="8" t="n">
        <v>0.9</v>
      </c>
      <c r="F242" s="8" t="n">
        <v>5</v>
      </c>
      <c r="G242" s="8" t="n">
        <v>0.1</v>
      </c>
    </row>
    <row r="243" customFormat="false" ht="18" hidden="false" customHeight="false" outlineLevel="0" collapsed="false">
      <c r="A243" s="8" t="n">
        <v>61</v>
      </c>
      <c r="B243" s="8" t="s">
        <v>164</v>
      </c>
      <c r="C243" s="8" t="n">
        <v>2</v>
      </c>
      <c r="D243" s="8" t="s">
        <v>77</v>
      </c>
      <c r="E243" s="8" t="n">
        <v>0.18</v>
      </c>
      <c r="F243" s="8" t="n">
        <v>3</v>
      </c>
      <c r="G243" s="8" t="n">
        <v>0.46</v>
      </c>
    </row>
    <row r="244" customFormat="false" ht="18" hidden="false" customHeight="false" outlineLevel="0" collapsed="false">
      <c r="A244" s="8" t="n">
        <v>61</v>
      </c>
      <c r="B244" s="8" t="s">
        <v>164</v>
      </c>
      <c r="C244" s="8" t="n">
        <v>3</v>
      </c>
      <c r="D244" s="8" t="s">
        <v>73</v>
      </c>
      <c r="E244" s="8" t="n">
        <v>0.36</v>
      </c>
      <c r="F244" s="8" t="n">
        <v>5</v>
      </c>
      <c r="G244" s="8" t="n">
        <v>0.1</v>
      </c>
    </row>
    <row r="245" customFormat="false" ht="18" hidden="false" customHeight="false" outlineLevel="0" collapsed="false">
      <c r="A245" s="8" t="n">
        <v>61</v>
      </c>
      <c r="B245" s="8" t="s">
        <v>164</v>
      </c>
      <c r="C245" s="8" t="n">
        <v>4</v>
      </c>
      <c r="D245" s="8" t="s">
        <v>65</v>
      </c>
      <c r="E245" s="8" t="n">
        <v>0.9</v>
      </c>
      <c r="F245" s="8" t="n">
        <v>5</v>
      </c>
      <c r="G245" s="8" t="n">
        <v>0.1</v>
      </c>
    </row>
    <row r="246" customFormat="false" ht="18" hidden="false" customHeight="false" outlineLevel="0" collapsed="false">
      <c r="A246" s="8" t="n">
        <v>62</v>
      </c>
      <c r="B246" s="8" t="s">
        <v>165</v>
      </c>
      <c r="C246" s="8" t="n">
        <v>1</v>
      </c>
      <c r="D246" s="8" t="s">
        <v>55</v>
      </c>
      <c r="E246" s="8" t="n">
        <v>0.9</v>
      </c>
      <c r="F246" s="8" t="n">
        <v>5</v>
      </c>
      <c r="G246" s="8" t="n">
        <v>0.1</v>
      </c>
    </row>
    <row r="247" customFormat="false" ht="18" hidden="false" customHeight="false" outlineLevel="0" collapsed="false">
      <c r="A247" s="8" t="n">
        <v>62</v>
      </c>
      <c r="B247" s="8" t="s">
        <v>165</v>
      </c>
      <c r="C247" s="8" t="n">
        <v>2</v>
      </c>
      <c r="D247" s="8" t="s">
        <v>77</v>
      </c>
      <c r="E247" s="8" t="n">
        <v>0.18</v>
      </c>
      <c r="F247" s="8" t="n">
        <v>3</v>
      </c>
      <c r="G247" s="8" t="n">
        <v>0.46</v>
      </c>
    </row>
    <row r="248" customFormat="false" ht="18" hidden="false" customHeight="false" outlineLevel="0" collapsed="false">
      <c r="A248" s="8" t="n">
        <v>62</v>
      </c>
      <c r="B248" s="8" t="s">
        <v>165</v>
      </c>
      <c r="C248" s="8" t="n">
        <v>3</v>
      </c>
      <c r="D248" s="8" t="s">
        <v>73</v>
      </c>
      <c r="E248" s="8" t="n">
        <v>0.36</v>
      </c>
      <c r="F248" s="8" t="n">
        <v>5</v>
      </c>
      <c r="G248" s="8" t="n">
        <v>0.1</v>
      </c>
    </row>
    <row r="249" customFormat="false" ht="18" hidden="false" customHeight="false" outlineLevel="0" collapsed="false">
      <c r="A249" s="8" t="n">
        <v>62</v>
      </c>
      <c r="B249" s="8" t="s">
        <v>165</v>
      </c>
      <c r="C249" s="8" t="n">
        <v>4</v>
      </c>
      <c r="D249" s="8" t="s">
        <v>63</v>
      </c>
      <c r="E249" s="8" t="n">
        <v>0.72</v>
      </c>
      <c r="F249" s="8" t="n">
        <v>3</v>
      </c>
      <c r="G249" s="8" t="n">
        <v>0.46</v>
      </c>
    </row>
    <row r="250" customFormat="false" ht="18" hidden="false" customHeight="false" outlineLevel="0" collapsed="false">
      <c r="A250" s="8" t="n">
        <v>63</v>
      </c>
      <c r="B250" s="8" t="s">
        <v>166</v>
      </c>
      <c r="C250" s="8" t="n">
        <v>1</v>
      </c>
      <c r="D250" s="8" t="s">
        <v>55</v>
      </c>
      <c r="E250" s="8" t="n">
        <v>0.9</v>
      </c>
      <c r="F250" s="8" t="n">
        <v>5</v>
      </c>
      <c r="G250" s="8" t="n">
        <v>0.1</v>
      </c>
    </row>
    <row r="251" customFormat="false" ht="18" hidden="false" customHeight="false" outlineLevel="0" collapsed="false">
      <c r="A251" s="8" t="n">
        <v>63</v>
      </c>
      <c r="B251" s="8" t="s">
        <v>166</v>
      </c>
      <c r="C251" s="8" t="n">
        <v>2</v>
      </c>
      <c r="D251" s="8" t="s">
        <v>77</v>
      </c>
      <c r="E251" s="8" t="n">
        <v>0.18</v>
      </c>
      <c r="F251" s="8" t="n">
        <v>3</v>
      </c>
      <c r="G251" s="8" t="n">
        <v>0.46</v>
      </c>
    </row>
    <row r="252" customFormat="false" ht="18" hidden="false" customHeight="false" outlineLevel="0" collapsed="false">
      <c r="A252" s="8" t="n">
        <v>63</v>
      </c>
      <c r="B252" s="8" t="s">
        <v>166</v>
      </c>
      <c r="C252" s="8" t="n">
        <v>3</v>
      </c>
      <c r="D252" s="8" t="s">
        <v>73</v>
      </c>
      <c r="E252" s="8" t="n">
        <v>0.36</v>
      </c>
      <c r="F252" s="8" t="n">
        <v>5</v>
      </c>
      <c r="G252" s="8" t="n">
        <v>0.1</v>
      </c>
    </row>
    <row r="253" customFormat="false" ht="18" hidden="false" customHeight="false" outlineLevel="0" collapsed="false">
      <c r="A253" s="8" t="n">
        <v>63</v>
      </c>
      <c r="B253" s="8" t="s">
        <v>166</v>
      </c>
      <c r="C253" s="8" t="n">
        <v>4</v>
      </c>
      <c r="D253" s="8" t="s">
        <v>61</v>
      </c>
      <c r="E253" s="8" t="n">
        <v>0.18</v>
      </c>
      <c r="F253" s="8" t="n">
        <v>3</v>
      </c>
      <c r="G253" s="8" t="n">
        <v>0.46</v>
      </c>
    </row>
    <row r="254" customFormat="false" ht="18" hidden="false" customHeight="false" outlineLevel="0" collapsed="false">
      <c r="A254" s="8" t="n">
        <v>64</v>
      </c>
      <c r="B254" s="8" t="s">
        <v>167</v>
      </c>
      <c r="C254" s="8" t="n">
        <v>1</v>
      </c>
      <c r="D254" s="8" t="s">
        <v>55</v>
      </c>
      <c r="E254" s="8" t="n">
        <v>0.9</v>
      </c>
      <c r="F254" s="8" t="n">
        <v>5</v>
      </c>
      <c r="G254" s="8" t="n">
        <v>0.1</v>
      </c>
    </row>
    <row r="255" customFormat="false" ht="18" hidden="false" customHeight="false" outlineLevel="0" collapsed="false">
      <c r="A255" s="8" t="n">
        <v>64</v>
      </c>
      <c r="B255" s="8" t="s">
        <v>167</v>
      </c>
      <c r="C255" s="8" t="n">
        <v>2</v>
      </c>
      <c r="D255" s="8" t="s">
        <v>77</v>
      </c>
      <c r="E255" s="8" t="n">
        <v>0.18</v>
      </c>
      <c r="F255" s="8" t="n">
        <v>3</v>
      </c>
      <c r="G255" s="8" t="n">
        <v>0.46</v>
      </c>
    </row>
    <row r="256" customFormat="false" ht="18" hidden="false" customHeight="false" outlineLevel="0" collapsed="false">
      <c r="A256" s="8" t="n">
        <v>64</v>
      </c>
      <c r="B256" s="8" t="s">
        <v>167</v>
      </c>
      <c r="C256" s="8" t="n">
        <v>3</v>
      </c>
      <c r="D256" s="8" t="s">
        <v>73</v>
      </c>
      <c r="E256" s="8" t="n">
        <v>0.36</v>
      </c>
      <c r="F256" s="8" t="n">
        <v>5</v>
      </c>
      <c r="G256" s="8" t="n">
        <v>0.1</v>
      </c>
    </row>
    <row r="257" customFormat="false" ht="18" hidden="false" customHeight="false" outlineLevel="0" collapsed="false">
      <c r="A257" s="8" t="n">
        <v>64</v>
      </c>
      <c r="B257" s="8" t="s">
        <v>167</v>
      </c>
      <c r="C257" s="8" t="n">
        <v>4</v>
      </c>
      <c r="D257" s="8" t="s">
        <v>67</v>
      </c>
      <c r="E257" s="8" t="n">
        <v>0.18</v>
      </c>
      <c r="F257" s="8" t="n">
        <v>3</v>
      </c>
      <c r="G257" s="8" t="n">
        <v>0.46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17" t="s">
        <v>168</v>
      </c>
    </row>
    <row r="2" customFormat="false" ht="18" hidden="false" customHeight="false" outlineLevel="0" collapsed="false">
      <c r="A2" s="18" t="s">
        <v>169</v>
      </c>
    </row>
    <row r="3" customFormat="false" ht="18" hidden="false" customHeight="false" outlineLevel="0" collapsed="false">
      <c r="A3" s="18" t="s">
        <v>170</v>
      </c>
    </row>
    <row r="4" customFormat="false" ht="18" hidden="false" customHeight="false" outlineLevel="0" collapsed="false">
      <c r="A4" s="18" t="s">
        <v>83</v>
      </c>
    </row>
    <row r="5" customFormat="false" ht="18" hidden="false" customHeight="false" outlineLevel="0" collapsed="false">
      <c r="A5" s="18" t="s">
        <v>171</v>
      </c>
    </row>
    <row r="6" customFormat="false" ht="18" hidden="false" customHeight="false" outlineLevel="0" collapsed="false">
      <c r="A6" s="18"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2025-07-22T16:52:43Z</dcterms:created>
  <dc:creator>user</dc:creator>
  <dc:description/>
  <dc:language>en-US</dc:language>
  <cp:lastModifiedBy>吉也 伊藤</cp:lastModifiedBy>
  <dcterms:modified xsi:type="dcterms:W3CDTF">2026-04-14T15:40:38Z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