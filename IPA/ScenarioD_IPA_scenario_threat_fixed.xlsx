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D_Attack_Paths_64combin" sheetId="1" state="visible" r:id="rId3"/>
    <sheet name="SPRV_Mi_to_IPA" sheetId="2" state="visible" r:id="rId4"/>
    <sheet name="IPA_Risk_Rul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<sst xmlns="http://schemas.openxmlformats.org/spreadsheetml/2006/main" count="1230" uniqueCount="91">
  <si>
    <t xml:space="preserve">Step1_TechniqueID</t>
  </si>
  <si>
    <t xml:space="preserve">Description</t>
  </si>
  <si>
    <t xml:space="preserve">Business Impact</t>
  </si>
  <si>
    <t xml:space="preserve">Threat</t>
  </si>
  <si>
    <t xml:space="preserve">Mitigation</t>
  </si>
  <si>
    <t xml:space="preserve">Vulnerability</t>
  </si>
  <si>
    <t xml:space="preserve">Risk Score</t>
  </si>
  <si>
    <t xml:space="preserve">対策根拠</t>
  </si>
  <si>
    <t xml:space="preserve">Step2_TechniqueID</t>
  </si>
  <si>
    <t xml:space="preserve">Step3_TechniqueID</t>
  </si>
  <si>
    <t xml:space="preserve">Step4_TechniqueID</t>
  </si>
  <si>
    <t xml:space="preserve">判定根拠</t>
  </si>
  <si>
    <t xml:space="preserve">T1566.002_Desktop OnPremise</t>
  </si>
  <si>
    <r>
      <rPr>
        <sz val="11"/>
        <color theme="1"/>
        <rFont val="Noto Sans CJK SC"/>
        <family val="2"/>
      </rPr>
      <t xml:space="preserve">職員が庁内ネットワークに接続された業務端末で、業務メールを装った標的型スピアフィッシングメールを開封し、文中のリンクをクリック。正規</t>
    </r>
    <r>
      <rPr>
        <sz val="11"/>
        <color theme="1"/>
        <rFont val="游ゴシック"/>
        <family val="2"/>
        <charset val="128"/>
      </rPr>
      <t xml:space="preserve">Web</t>
    </r>
    <r>
      <rPr>
        <sz val="11"/>
        <color theme="1"/>
        <rFont val="Noto Sans CJK SC"/>
        <family val="2"/>
      </rPr>
      <t xml:space="preserve">サイトを模倣した不正ページへ誘導され、マルウェア（例：</t>
    </r>
    <r>
      <rPr>
        <sz val="11"/>
        <color theme="1"/>
        <rFont val="游ゴシック"/>
        <family val="2"/>
        <charset val="128"/>
      </rPr>
      <t xml:space="preserve">RAT</t>
    </r>
    <r>
      <rPr>
        <sz val="11"/>
        <color theme="1"/>
        <rFont val="Noto Sans CJK SC"/>
        <family val="2"/>
      </rPr>
      <t xml:space="preserve">、インフォスティーラー等）をダウンロード・実行。内部端末が初期感染され、認証情報の窃取やプロセス監視のためのバックドアが常駐する。</t>
    </r>
  </si>
  <si>
    <r>
      <rPr>
        <sz val="11"/>
        <color theme="1"/>
        <rFont val="游ゴシック"/>
        <family val="2"/>
        <charset val="128"/>
      </rPr>
      <t xml:space="preserve">β’</t>
    </r>
    <r>
      <rPr>
        <sz val="11"/>
        <color theme="1"/>
        <rFont val="Noto Sans CJK SC"/>
        <family val="2"/>
      </rPr>
      <t xml:space="preserve">モデル </t>
    </r>
    <r>
      <rPr>
        <sz val="11"/>
        <color theme="1"/>
        <rFont val="游ゴシック"/>
        <family val="2"/>
        <charset val="128"/>
      </rPr>
      <t xml:space="preserve">3.4.3</t>
    </r>
    <r>
      <rPr>
        <sz val="11"/>
        <color theme="1"/>
        <rFont val="Noto Sans CJK SC"/>
        <family val="2"/>
      </rPr>
      <t xml:space="preserve">「メールセキュリティ」、</t>
    </r>
    <r>
      <rPr>
        <sz val="11"/>
        <color theme="1"/>
        <rFont val="游ゴシック"/>
        <family val="2"/>
        <charset val="128"/>
      </rPr>
      <t xml:space="preserve">3.3.2</t>
    </r>
    <r>
      <rPr>
        <sz val="11"/>
        <color theme="1"/>
        <rFont val="Noto Sans CJK SC"/>
        <family val="2"/>
      </rPr>
      <t xml:space="preserve">「マルウェア対策」で以下が求められている：
添付ファイル・リンクの自動検知、分離（サンドボックス）
迷惑メールフィルタ＋</t>
    </r>
    <r>
      <rPr>
        <sz val="11"/>
        <color theme="1"/>
        <rFont val="游ゴシック"/>
        <family val="2"/>
        <charset val="128"/>
      </rPr>
      <t xml:space="preserve">URL</t>
    </r>
    <r>
      <rPr>
        <sz val="11"/>
        <color theme="1"/>
        <rFont val="Noto Sans CJK SC"/>
        <family val="2"/>
      </rPr>
      <t xml:space="preserve">フィルタリング
</t>
    </r>
    <r>
      <rPr>
        <sz val="11"/>
        <color theme="1"/>
        <rFont val="游ゴシック"/>
        <family val="2"/>
        <charset val="128"/>
      </rPr>
      <t xml:space="preserve">EDR</t>
    </r>
    <r>
      <rPr>
        <sz val="11"/>
        <color theme="1"/>
        <rFont val="Noto Sans CJK SC"/>
        <family val="2"/>
      </rPr>
      <t xml:space="preserve">導入によるマルウェア挙動の検知と封じ込め
職員の標的型攻撃訓練や注意喚起の運用も想定される
ただし、ユーザー操作（リンククリック）による内部感染を完全には防げず、残余リスクが一定残るため</t>
    </r>
    <r>
      <rPr>
        <sz val="11"/>
        <color theme="1"/>
        <rFont val="游ゴシック"/>
        <family val="2"/>
        <charset val="128"/>
      </rPr>
      <t xml:space="preserve">3</t>
    </r>
    <r>
      <rPr>
        <sz val="11"/>
        <color theme="1"/>
        <rFont val="Noto Sans CJK SC"/>
        <family val="2"/>
      </rPr>
      <t xml:space="preserve">評価</t>
    </r>
  </si>
  <si>
    <t xml:space="preserve"> T1578.002_VDI Auth Server</t>
  </si>
  <si>
    <r>
      <rPr>
        <sz val="11"/>
        <color theme="1"/>
        <rFont val="游ゴシック"/>
        <family val="2"/>
        <charset val="128"/>
      </rPr>
      <t xml:space="preserve">T1578.002_VDI Auth Server</t>
    </r>
    <r>
      <rPr>
        <sz val="11"/>
        <color theme="1"/>
        <rFont val="Noto Sans CJK SC"/>
        <family val="2"/>
      </rPr>
      <t xml:space="preserve">：「考えられる攻撃手口」
</t>
    </r>
    <r>
      <rPr>
        <sz val="11"/>
        <color theme="1"/>
        <rFont val="游ゴシック"/>
        <family val="2"/>
        <charset val="128"/>
      </rPr>
      <t xml:space="preserve">1. </t>
    </r>
    <r>
      <rPr>
        <sz val="11"/>
        <color theme="1"/>
        <rFont val="Noto Sans CJK SC"/>
        <family val="2"/>
      </rPr>
      <t xml:space="preserve">有効なドメインアカウントによる認証バイパス・権限取得
攻撃者が何らかの手法（内部流出</t>
    </r>
    <r>
      <rPr>
        <sz val="11"/>
        <color theme="1"/>
        <rFont val="游ゴシック"/>
        <family val="2"/>
        <charset val="128"/>
      </rPr>
      <t xml:space="preserve">/</t>
    </r>
    <r>
      <rPr>
        <sz val="11"/>
        <color theme="1"/>
        <rFont val="Noto Sans CJK SC"/>
        <family val="2"/>
      </rPr>
      <t xml:space="preserve">クレデンシャル窃取</t>
    </r>
    <r>
      <rPr>
        <sz val="11"/>
        <color theme="1"/>
        <rFont val="游ゴシック"/>
        <family val="2"/>
        <charset val="128"/>
      </rPr>
      <t xml:space="preserve">/</t>
    </r>
    <r>
      <rPr>
        <sz val="11"/>
        <color theme="1"/>
        <rFont val="Noto Sans CJK SC"/>
        <family val="2"/>
      </rPr>
      <t xml:space="preserve">過去の漏洩からの再利用、横展開等）で有効な</t>
    </r>
    <r>
      <rPr>
        <sz val="11"/>
        <color theme="1"/>
        <rFont val="游ゴシック"/>
        <family val="2"/>
        <charset val="128"/>
      </rPr>
      <t xml:space="preserve">AD/LDAP</t>
    </r>
    <r>
      <rPr>
        <sz val="11"/>
        <color theme="1"/>
        <rFont val="Noto Sans CJK SC"/>
        <family val="2"/>
      </rPr>
      <t xml:space="preserve">ドメインアカウントを入手し、</t>
    </r>
    <r>
      <rPr>
        <sz val="11"/>
        <color theme="1"/>
        <rFont val="游ゴシック"/>
        <family val="2"/>
        <charset val="128"/>
      </rPr>
      <t xml:space="preserve">VDI</t>
    </r>
    <r>
      <rPr>
        <sz val="11"/>
        <color theme="1"/>
        <rFont val="Noto Sans CJK SC"/>
        <family val="2"/>
      </rPr>
      <t xml:space="preserve">認証サーバに対して正規ユーザ・管理者としてログイン。
管理系アカウント、特権付きサービスアカウント（運用・保守用等）での接続も想定される。
</t>
    </r>
    <r>
      <rPr>
        <sz val="11"/>
        <color theme="1"/>
        <rFont val="游ゴシック"/>
        <family val="2"/>
        <charset val="128"/>
      </rPr>
      <t xml:space="preserve">2. </t>
    </r>
    <r>
      <rPr>
        <sz val="11"/>
        <color theme="1"/>
        <rFont val="Noto Sans CJK SC"/>
        <family val="2"/>
      </rPr>
      <t xml:space="preserve">特権</t>
    </r>
    <r>
      <rPr>
        <sz val="11"/>
        <color theme="1"/>
        <rFont val="游ゴシック"/>
        <family val="2"/>
        <charset val="128"/>
      </rPr>
      <t xml:space="preserve">/</t>
    </r>
    <r>
      <rPr>
        <sz val="11"/>
        <color theme="1"/>
        <rFont val="Noto Sans CJK SC"/>
        <family val="2"/>
      </rPr>
      <t xml:space="preserve">運用アカウントの乗っ取り・セッション維持
ドメイン内の権限エスカレーションに成功すれば、そ</t>
    </r>
    <r>
      <rPr>
        <sz val="11"/>
        <color theme="1"/>
        <rFont val="游ゴシック"/>
        <family val="2"/>
        <charset val="128"/>
      </rPr>
      <t xml:space="preserve">4. </t>
    </r>
    <r>
      <rPr>
        <sz val="11"/>
        <color theme="1"/>
        <rFont val="Noto Sans CJK SC"/>
        <family val="2"/>
      </rPr>
      <t xml:space="preserve">登録済み証明書・多要素認証解除</t>
    </r>
    <r>
      <rPr>
        <sz val="11"/>
        <color theme="1"/>
        <rFont val="游ゴシック"/>
        <family val="2"/>
        <charset val="128"/>
      </rPr>
      <t xml:space="preserve">/</t>
    </r>
    <r>
      <rPr>
        <sz val="11"/>
        <color theme="1"/>
        <rFont val="Noto Sans CJK SC"/>
        <family val="2"/>
      </rPr>
      <t xml:space="preserve">無効化
ドメインアカウントでの管理者権限による</t>
    </r>
    <r>
      <rPr>
        <sz val="11"/>
        <color theme="1"/>
        <rFont val="游ゴシック"/>
        <family val="2"/>
        <charset val="128"/>
      </rPr>
      <t xml:space="preserve">MFA</t>
    </r>
    <r>
      <rPr>
        <sz val="11"/>
        <color theme="1"/>
        <rFont val="Noto Sans CJK SC"/>
        <family val="2"/>
      </rPr>
      <t xml:space="preserve">設定や公開鍵認証登録の改竄</t>
    </r>
    <r>
      <rPr>
        <sz val="11"/>
        <color theme="1"/>
        <rFont val="游ゴシック"/>
        <family val="2"/>
        <charset val="128"/>
      </rPr>
      <t xml:space="preserve">/</t>
    </r>
    <r>
      <rPr>
        <sz val="11"/>
        <color theme="1"/>
        <rFont val="Noto Sans CJK SC"/>
        <family val="2"/>
      </rPr>
      <t xml:space="preserve">無効化により、多要素認証の実効性低下、さらに横展開を促進。
</t>
    </r>
    <r>
      <rPr>
        <sz val="11"/>
        <color theme="1"/>
        <rFont val="游ゴシック"/>
        <family val="2"/>
        <charset val="128"/>
      </rPr>
      <t xml:space="preserve">3. VDI</t>
    </r>
    <r>
      <rPr>
        <sz val="11"/>
        <color theme="1"/>
        <rFont val="Noto Sans CJK SC"/>
        <family val="2"/>
      </rPr>
      <t xml:space="preserve">セッション情報収集・なりすまし攻撃
有効アカウント権限を使い、</t>
    </r>
    <r>
      <rPr>
        <sz val="11"/>
        <color theme="1"/>
        <rFont val="游ゴシック"/>
        <family val="2"/>
        <charset val="128"/>
      </rPr>
      <t xml:space="preserve">VDI</t>
    </r>
    <r>
      <rPr>
        <sz val="11"/>
        <color theme="1"/>
        <rFont val="Noto Sans CJK SC"/>
        <family val="2"/>
      </rPr>
      <t xml:space="preserve">ユーザや運用者の認認証情報・セッション情報を収集、さらに追加乗っ取りを実施。
他の</t>
    </r>
    <r>
      <rPr>
        <sz val="11"/>
        <color theme="1"/>
        <rFont val="游ゴシック"/>
        <family val="2"/>
        <charset val="128"/>
      </rPr>
      <t xml:space="preserve">VDI</t>
    </r>
    <r>
      <rPr>
        <sz val="11"/>
        <color theme="1"/>
        <rFont val="Noto Sans CJK SC"/>
        <family val="2"/>
      </rPr>
      <t xml:space="preserve">ユーザのセッション奪取やリプレイ攻撃も。                                                                                                                                                                               </t>
    </r>
    <r>
      <rPr>
        <sz val="11"/>
        <color theme="1"/>
        <rFont val="游ゴシック"/>
        <family val="2"/>
        <charset val="128"/>
      </rPr>
      <t xml:space="preserve">4. </t>
    </r>
    <r>
      <rPr>
        <sz val="11"/>
        <color theme="1"/>
        <rFont val="Noto Sans CJK SC"/>
        <family val="2"/>
      </rPr>
      <t xml:space="preserve">登録済み証明書・多要素認証解除</t>
    </r>
    <r>
      <rPr>
        <sz val="11"/>
        <color theme="1"/>
        <rFont val="游ゴシック"/>
        <family val="2"/>
        <charset val="128"/>
      </rPr>
      <t xml:space="preserve">/</t>
    </r>
    <r>
      <rPr>
        <sz val="11"/>
        <color theme="1"/>
        <rFont val="Noto Sans CJK SC"/>
        <family val="2"/>
      </rPr>
      <t xml:space="preserve">無効化
ドメインアカウントでの管理者権限による</t>
    </r>
    <r>
      <rPr>
        <sz val="11"/>
        <color theme="1"/>
        <rFont val="游ゴシック"/>
        <family val="2"/>
        <charset val="128"/>
      </rPr>
      <t xml:space="preserve">MFA</t>
    </r>
    <r>
      <rPr>
        <sz val="11"/>
        <color theme="1"/>
        <rFont val="Noto Sans CJK SC"/>
        <family val="2"/>
      </rPr>
      <t xml:space="preserve">設定や公開鍵認証登録の改竄</t>
    </r>
    <r>
      <rPr>
        <sz val="11"/>
        <color theme="1"/>
        <rFont val="游ゴシック"/>
        <family val="2"/>
        <charset val="128"/>
      </rPr>
      <t xml:space="preserve">/</t>
    </r>
    <r>
      <rPr>
        <sz val="11"/>
        <color theme="1"/>
        <rFont val="Noto Sans CJK SC"/>
        <family val="2"/>
      </rPr>
      <t xml:space="preserve">無効化により、多要素認証の実効性低下、さらに横展開を促進。
</t>
    </r>
    <r>
      <rPr>
        <sz val="11"/>
        <color theme="1"/>
        <rFont val="游ゴシック"/>
        <family val="2"/>
        <charset val="128"/>
      </rPr>
      <t xml:space="preserve">5. VDI</t>
    </r>
    <r>
      <rPr>
        <sz val="11"/>
        <color theme="1"/>
        <rFont val="Noto Sans CJK SC"/>
        <family val="2"/>
      </rPr>
      <t xml:space="preserve">ポリシー・許可リスト操作
アカウント管理インターフェースやディレクトリサービス上での「ログイン許可端末リスト」「</t>
    </r>
    <r>
      <rPr>
        <sz val="11"/>
        <color theme="1"/>
        <rFont val="游ゴシック"/>
        <family val="2"/>
        <charset val="128"/>
      </rPr>
      <t xml:space="preserve">IP</t>
    </r>
    <r>
      <rPr>
        <sz val="11"/>
        <color theme="1"/>
        <rFont val="Noto Sans CJK SC"/>
        <family val="2"/>
      </rPr>
      <t xml:space="preserve">制限」「利用時間帯制御」等の運用ポリシーを改変、無制限アクセス化。証情報・セッション情報を収集、さらに追加乗っ取りを実施。
他の</t>
    </r>
    <r>
      <rPr>
        <sz val="11"/>
        <color theme="1"/>
        <rFont val="游ゴシック"/>
        <family val="2"/>
        <charset val="128"/>
      </rPr>
      <t xml:space="preserve">VDI</t>
    </r>
    <r>
      <rPr>
        <sz val="11"/>
        <color theme="1"/>
        <rFont val="Noto Sans CJK SC"/>
        <family val="2"/>
      </rPr>
      <t xml:space="preserve">ユーザのセッション奪取やリプレイ攻撃も。</t>
    </r>
  </si>
  <si>
    <t xml:space="preserve"> T1651_VDI Server</t>
  </si>
  <si>
    <r>
      <rPr>
        <sz val="11"/>
        <color theme="1"/>
        <rFont val="游ゴシック"/>
        <family val="2"/>
        <charset val="128"/>
      </rPr>
      <t xml:space="preserve">T1651_VDI server</t>
    </r>
    <r>
      <rPr>
        <sz val="11"/>
        <color theme="1"/>
        <rFont val="Noto Sans CJK SC"/>
        <family val="2"/>
      </rPr>
      <t xml:space="preserve">：考えられる攻撃手口
</t>
    </r>
    <r>
      <rPr>
        <sz val="11"/>
        <color theme="1"/>
        <rFont val="游ゴシック"/>
        <family val="2"/>
        <charset val="128"/>
      </rPr>
      <t xml:space="preserve">T1651</t>
    </r>
    <r>
      <rPr>
        <sz val="11"/>
        <color theme="1"/>
        <rFont val="Noto Sans CJK SC"/>
        <family val="2"/>
      </rPr>
      <t xml:space="preserve">は「情報の不正な書き換え・改ざん」（</t>
    </r>
    <r>
      <rPr>
        <sz val="11"/>
        <color theme="1"/>
        <rFont val="游ゴシック"/>
        <family val="2"/>
        <charset val="128"/>
      </rPr>
      <t xml:space="preserve">Data Manipulation/Information Manipulation</t>
    </r>
    <r>
      <rPr>
        <sz val="11"/>
        <color theme="1"/>
        <rFont val="Noto Sans CJK SC"/>
        <family val="2"/>
      </rPr>
      <t xml:space="preserve">）を指します。
</t>
    </r>
    <r>
      <rPr>
        <sz val="11"/>
        <color theme="1"/>
        <rFont val="游ゴシック"/>
        <family val="2"/>
        <charset val="128"/>
      </rPr>
      <t xml:space="preserve">VDI</t>
    </r>
    <r>
      <rPr>
        <sz val="11"/>
        <color theme="1"/>
        <rFont val="Noto Sans CJK SC"/>
        <family val="2"/>
      </rPr>
      <t xml:space="preserve">（仮想デスクトップインフラ）サーバがこの攻撃を受ける場合、主に以下のような手法が想定されます。
</t>
    </r>
    <r>
      <rPr>
        <sz val="11"/>
        <color theme="1"/>
        <rFont val="游ゴシック"/>
        <family val="2"/>
        <charset val="128"/>
      </rPr>
      <t xml:space="preserve">1. </t>
    </r>
    <r>
      <rPr>
        <sz val="11"/>
        <color theme="1"/>
        <rFont val="Noto Sans CJK SC"/>
        <family val="2"/>
      </rPr>
      <t xml:space="preserve">セッション内データや構成ファイルの改ざん
攻撃者が</t>
    </r>
    <r>
      <rPr>
        <sz val="11"/>
        <color theme="1"/>
        <rFont val="游ゴシック"/>
        <family val="2"/>
        <charset val="128"/>
      </rPr>
      <t xml:space="preserve">VDI</t>
    </r>
    <r>
      <rPr>
        <sz val="11"/>
        <color theme="1"/>
        <rFont val="Noto Sans CJK SC"/>
        <family val="2"/>
      </rPr>
      <t xml:space="preserve">サーバ上でユーザプロファイル、構成ファイル、認証プロファイル、あるいは</t>
    </r>
    <r>
      <rPr>
        <sz val="11"/>
        <color theme="1"/>
        <rFont val="游ゴシック"/>
        <family val="2"/>
        <charset val="128"/>
      </rPr>
      <t xml:space="preserve">OS/</t>
    </r>
    <r>
      <rPr>
        <sz val="11"/>
        <color theme="1"/>
        <rFont val="Noto Sans CJK SC"/>
        <family val="2"/>
      </rPr>
      <t xml:space="preserve">アプリ設定ファイルなどを改ざんし、運用の混乱や可用性障害を引き起こす。
例：ユーザ権限を不正に昇格、セッションポリシーを変更して特定アカウントの制御を奪取。
</t>
    </r>
    <r>
      <rPr>
        <sz val="11"/>
        <color theme="1"/>
        <rFont val="游ゴシック"/>
        <family val="2"/>
        <charset val="128"/>
      </rPr>
      <t xml:space="preserve">2. </t>
    </r>
    <r>
      <rPr>
        <sz val="11"/>
        <color theme="1"/>
        <rFont val="Noto Sans CJK SC"/>
        <family val="2"/>
      </rPr>
      <t xml:space="preserve">管理者設定やグループポリシーの改変
</t>
    </r>
    <r>
      <rPr>
        <sz val="11"/>
        <color theme="1"/>
        <rFont val="游ゴシック"/>
        <family val="2"/>
        <charset val="128"/>
      </rPr>
      <t xml:space="preserve">VDI</t>
    </r>
    <r>
      <rPr>
        <sz val="11"/>
        <color theme="1"/>
        <rFont val="Noto Sans CJK SC"/>
        <family val="2"/>
      </rPr>
      <t xml:space="preserve">サーバのグループポリシーや管理設定を操作し、正当なユーザの挙動や認証条件を変質させる。
管理者が許可しないネットワークアクセスや新たなアプリケーション実行権限を追加するなど。                                                                                                                                             </t>
    </r>
    <r>
      <rPr>
        <sz val="11"/>
        <color theme="1"/>
        <rFont val="游ゴシック"/>
        <family val="2"/>
        <charset val="128"/>
      </rPr>
      <t xml:space="preserve">3. </t>
    </r>
    <r>
      <rPr>
        <sz val="11"/>
        <color theme="1"/>
        <rFont val="Noto Sans CJK SC"/>
        <family val="2"/>
      </rPr>
      <t xml:space="preserve">ログや証跡情報の書き換え・抹消
不正アクセスや内部操作の隠蔽のため、</t>
    </r>
    <r>
      <rPr>
        <sz val="11"/>
        <color theme="1"/>
        <rFont val="游ゴシック"/>
        <family val="2"/>
        <charset val="128"/>
      </rPr>
      <t xml:space="preserve">VDI</t>
    </r>
    <r>
      <rPr>
        <sz val="11"/>
        <color theme="1"/>
        <rFont val="Noto Sans CJK SC"/>
        <family val="2"/>
      </rPr>
      <t xml:space="preserve">サーバのイベントログや操作証跡を“正常”なパターンに書き換え、痕跡を消去。
</t>
    </r>
    <r>
      <rPr>
        <sz val="11"/>
        <color theme="1"/>
        <rFont val="游ゴシック"/>
        <family val="2"/>
        <charset val="128"/>
      </rPr>
      <t xml:space="preserve">4. </t>
    </r>
    <r>
      <rPr>
        <sz val="11"/>
        <color theme="1"/>
        <rFont val="Noto Sans CJK SC"/>
        <family val="2"/>
      </rPr>
      <t xml:space="preserve">仮想マシンイメージやテンプレートの改ざん
標準イメージやゴールデンイメージのアプリや設定を書き換え、以後展開される新規</t>
    </r>
    <r>
      <rPr>
        <sz val="11"/>
        <color theme="1"/>
        <rFont val="游ゴシック"/>
        <family val="2"/>
        <charset val="128"/>
      </rPr>
      <t xml:space="preserve">VDI</t>
    </r>
    <r>
      <rPr>
        <sz val="11"/>
        <color theme="1"/>
        <rFont val="Noto Sans CJK SC"/>
        <family val="2"/>
      </rPr>
      <t xml:space="preserve">全体にマルウェア混入やセキュリティ弱体化を埋め込む。
</t>
    </r>
    <r>
      <rPr>
        <sz val="11"/>
        <color theme="1"/>
        <rFont val="游ゴシック"/>
        <family val="2"/>
        <charset val="128"/>
      </rPr>
      <t xml:space="preserve">5. </t>
    </r>
    <r>
      <rPr>
        <sz val="11"/>
        <color theme="1"/>
        <rFont val="Noto Sans CJK SC"/>
        <family val="2"/>
      </rPr>
      <t xml:space="preserve">業務データや一時ファイルの直接操作
</t>
    </r>
    <r>
      <rPr>
        <sz val="11"/>
        <color theme="1"/>
        <rFont val="游ゴシック"/>
        <family val="2"/>
        <charset val="128"/>
      </rPr>
      <t xml:space="preserve">VDI</t>
    </r>
    <r>
      <rPr>
        <sz val="11"/>
        <color theme="1"/>
        <rFont val="Noto Sans CJK SC"/>
        <family val="2"/>
      </rPr>
      <t xml:space="preserve">経由で一時ストレージや共有ドライブに置かれた業務ファイルを改ざんし、外部連携システムやバックエンドにも被害を連鎖させる。</t>
    </r>
  </si>
  <si>
    <r>
      <rPr>
        <sz val="11"/>
        <color theme="1"/>
        <rFont val="Noto Sans CJK SC"/>
        <family val="2"/>
      </rPr>
      <t xml:space="preserve">◆ 評価理由
</t>
    </r>
    <r>
      <rPr>
        <sz val="11"/>
        <color theme="1"/>
        <rFont val="游ゴシック"/>
        <family val="2"/>
        <charset val="128"/>
      </rPr>
      <t xml:space="preserve">β’</t>
    </r>
    <r>
      <rPr>
        <sz val="11"/>
        <color theme="1"/>
        <rFont val="Noto Sans CJK SC"/>
        <family val="2"/>
      </rPr>
      <t xml:space="preserve">モデル・ガバメントクラウドの要求体系では、「管理・運用権限の分離」「全操作・構成変更の証跡自動取得」「イメージ・テンプレート改変の管理</t>
    </r>
    <r>
      <rPr>
        <sz val="11"/>
        <color theme="1"/>
        <rFont val="游ゴシック"/>
        <family val="2"/>
        <charset val="128"/>
      </rPr>
      <t xml:space="preserve">/</t>
    </r>
    <r>
      <rPr>
        <sz val="11"/>
        <color theme="1"/>
        <rFont val="Noto Sans CJK SC"/>
        <family val="2"/>
      </rPr>
      <t xml:space="preserve">監督</t>
    </r>
    <r>
      <rPr>
        <sz val="11"/>
        <color theme="1"/>
        <rFont val="游ゴシック"/>
        <family val="2"/>
        <charset val="128"/>
      </rPr>
      <t xml:space="preserve">/</t>
    </r>
    <r>
      <rPr>
        <sz val="11"/>
        <color theme="1"/>
        <rFont val="Noto Sans CJK SC"/>
        <family val="2"/>
      </rPr>
      <t xml:space="preserve">履歴記録」「異常操作やデータ改ざんのログ監査・即時検知」が制度／技術的な両輪で仕組化されています。
仮に一時的な設定改変・イメージ改ざん・一部データの編集が生じても、速やかな検知／回復／証跡回収／責任追跡が可能。
内部不正やゼロデイ級同時発生の極限ケース以外は、実用上「成立困難」といえる水準です。
◆ 主な根拠・公式ガイドライン出典
「クラウドの設定ミス対策ガイドブック」</t>
    </r>
    <r>
      <rPr>
        <sz val="11"/>
        <color theme="1"/>
        <rFont val="游ゴシック"/>
        <family val="2"/>
        <charset val="128"/>
      </rPr>
      <t xml:space="preserve">3.2, 3.3, 3.6, 3.7, 3.8, 3.9
β’</t>
    </r>
    <r>
      <rPr>
        <sz val="11"/>
        <color theme="1"/>
        <rFont val="Noto Sans CJK SC"/>
        <family val="2"/>
      </rPr>
      <t xml:space="preserve">モデル地方公共団体向け情報セキュリティポリシーガイドラインⅢ</t>
    </r>
    <r>
      <rPr>
        <sz val="11"/>
        <color theme="1"/>
        <rFont val="游ゴシック"/>
        <family val="2"/>
        <charset val="128"/>
      </rPr>
      <t xml:space="preserve">.1.1.1, Ⅲ.2.1.1, Ⅲ.2.1.3, Ⅲ.4.1.1
</t>
    </r>
    <r>
      <rPr>
        <sz val="11"/>
        <color theme="1"/>
        <rFont val="Noto Sans CJK SC"/>
        <family val="2"/>
      </rPr>
      <t xml:space="preserve">ガバメントクラウドリスクアセスメント</t>
    </r>
    <r>
      <rPr>
        <sz val="11"/>
        <color theme="1"/>
        <rFont val="游ゴシック"/>
        <family val="2"/>
        <charset val="128"/>
      </rPr>
      <t xml:space="preserve">2.2, 3.2, 4.2
</t>
    </r>
    <r>
      <rPr>
        <sz val="11"/>
        <color theme="1"/>
        <rFont val="Noto Sans CJK SC"/>
        <family val="2"/>
      </rPr>
      <t xml:space="preserve">対策例：多要素認証、不要権限・</t>
    </r>
    <r>
      <rPr>
        <sz val="11"/>
        <color theme="1"/>
        <rFont val="游ゴシック"/>
        <family val="2"/>
        <charset val="128"/>
      </rPr>
      <t xml:space="preserve">ID</t>
    </r>
    <r>
      <rPr>
        <sz val="11"/>
        <color theme="1"/>
        <rFont val="Noto Sans CJK SC"/>
        <family val="2"/>
      </rPr>
      <t xml:space="preserve">棚卸</t>
    </r>
    <r>
      <rPr>
        <sz val="11"/>
        <color theme="1"/>
        <rFont val="游ゴシック"/>
        <family val="2"/>
        <charset val="128"/>
      </rPr>
      <t xml:space="preserve">/</t>
    </r>
    <r>
      <rPr>
        <sz val="11"/>
        <color theme="1"/>
        <rFont val="Noto Sans CJK SC"/>
        <family val="2"/>
      </rPr>
      <t xml:space="preserve">即無効化、全操作のログ化・ダブルチェック・イメージ配布監査、異常検知・自動復旧・多重バックアップ　等</t>
    </r>
  </si>
  <si>
    <t xml:space="preserve">T1496.004</t>
  </si>
  <si>
    <r>
      <rPr>
        <sz val="11"/>
        <color theme="1"/>
        <rFont val="Noto Sans CJK SC"/>
        <family val="2"/>
      </rPr>
      <t xml:space="preserve">攻撃者は、</t>
    </r>
    <r>
      <rPr>
        <sz val="11"/>
        <color theme="1"/>
        <rFont val="游ゴシック"/>
        <family val="2"/>
        <charset val="128"/>
      </rPr>
      <t xml:space="preserve">Gov-Cloud</t>
    </r>
    <r>
      <rPr>
        <sz val="11"/>
        <color theme="1"/>
        <rFont val="Noto Sans CJK SC"/>
        <family val="2"/>
      </rPr>
      <t xml:space="preserve">上の仮想マシンや</t>
    </r>
    <r>
      <rPr>
        <sz val="11"/>
        <color theme="1"/>
        <rFont val="游ゴシック"/>
        <family val="2"/>
        <charset val="128"/>
      </rPr>
      <t xml:space="preserve">PaaS</t>
    </r>
    <r>
      <rPr>
        <sz val="11"/>
        <color theme="1"/>
        <rFont val="Noto Sans CJK SC"/>
        <family val="2"/>
      </rPr>
      <t xml:space="preserve">基盤のサービスアカウントの権限昇格を悪用し、既存の行政処理用クラウドサービスを乗っ取り状態にして、暗号資産マイニングや不正外部アクセスの中継地点に悪用する。業務妨害が主目的。</t>
    </r>
    <r>
      <rPr>
        <sz val="11"/>
        <color theme="1"/>
        <rFont val="游ゴシック"/>
        <family val="2"/>
        <charset val="128"/>
      </rPr>
      <t xml:space="preserve">ZTNA</t>
    </r>
    <r>
      <rPr>
        <sz val="11"/>
        <color theme="1"/>
        <rFont val="Noto Sans CJK SC"/>
        <family val="2"/>
      </rPr>
      <t xml:space="preserve">で通信制御されていても、正規サービスに見えるため検知困難。</t>
    </r>
  </si>
  <si>
    <r>
      <rPr>
        <sz val="11"/>
        <color theme="1"/>
        <rFont val="Noto Sans CJK SC"/>
        <family val="2"/>
      </rPr>
      <t xml:space="preserve">ガバクラ「</t>
    </r>
    <r>
      <rPr>
        <sz val="11"/>
        <color theme="1"/>
        <rFont val="游ゴシック"/>
        <family val="2"/>
        <charset val="128"/>
      </rPr>
      <t xml:space="preserve">3.4.2.2</t>
    </r>
    <r>
      <rPr>
        <sz val="11"/>
        <color theme="1"/>
        <rFont val="Noto Sans CJK SC"/>
        <family val="2"/>
      </rPr>
      <t xml:space="preserve">」「</t>
    </r>
    <r>
      <rPr>
        <sz val="11"/>
        <color theme="1"/>
        <rFont val="游ゴシック"/>
        <family val="2"/>
        <charset val="128"/>
      </rPr>
      <t xml:space="preserve">3.3.2.1</t>
    </r>
    <r>
      <rPr>
        <sz val="11"/>
        <color theme="1"/>
        <rFont val="Noto Sans CJK SC"/>
        <family val="2"/>
      </rPr>
      <t xml:space="preserve">」クラウドリソース監視、異常利用検知が明記されており、</t>
    </r>
    <r>
      <rPr>
        <sz val="11"/>
        <color theme="1"/>
        <rFont val="游ゴシック"/>
        <family val="2"/>
        <charset val="128"/>
      </rPr>
      <t xml:space="preserve">EDR</t>
    </r>
    <r>
      <rPr>
        <sz val="11"/>
        <color theme="1"/>
        <rFont val="Noto Sans CJK SC"/>
        <family val="2"/>
      </rPr>
      <t xml:space="preserve">や</t>
    </r>
    <r>
      <rPr>
        <sz val="11"/>
        <color theme="1"/>
        <rFont val="游ゴシック"/>
        <family val="2"/>
        <charset val="128"/>
      </rPr>
      <t xml:space="preserve">CSPM</t>
    </r>
    <r>
      <rPr>
        <sz val="11"/>
        <color theme="1"/>
        <rFont val="Noto Sans CJK SC"/>
        <family val="2"/>
      </rPr>
      <t xml:space="preserve">導入前提で早期検知が可能。</t>
    </r>
  </si>
  <si>
    <r>
      <rPr>
        <sz val="11"/>
        <color theme="1"/>
        <rFont val="游ゴシック"/>
        <family val="2"/>
        <charset val="128"/>
      </rPr>
      <t xml:space="preserve">β’</t>
    </r>
    <r>
      <rPr>
        <sz val="11"/>
        <color theme="1"/>
        <rFont val="Noto Sans CJK SC"/>
        <family val="2"/>
      </rPr>
      <t xml:space="preserve">モデル </t>
    </r>
    <r>
      <rPr>
        <sz val="11"/>
        <color theme="1"/>
        <rFont val="游ゴシック"/>
        <family val="2"/>
        <charset val="128"/>
      </rPr>
      <t xml:space="preserve">3.4.3</t>
    </r>
    <r>
      <rPr>
        <sz val="11"/>
        <color theme="1"/>
        <rFont val="Noto Sans CJK SC"/>
        <family val="2"/>
      </rPr>
      <t xml:space="preserve">「メールセキュリティ」、</t>
    </r>
    <r>
      <rPr>
        <sz val="11"/>
        <color theme="1"/>
        <rFont val="游ゴシック"/>
        <family val="2"/>
        <charset val="128"/>
      </rPr>
      <t xml:space="preserve">3.3.2</t>
    </r>
    <r>
      <rPr>
        <sz val="11"/>
        <color theme="1"/>
        <rFont val="Noto Sans CJK SC"/>
        <family val="2"/>
      </rPr>
      <t xml:space="preserve">「マルウェア対策」で以下が求められている：
添付ファイル・リンクの自動検知、分離（サンドボックス）
迷惑メールフィルタ＋</t>
    </r>
    <r>
      <rPr>
        <sz val="11"/>
        <color theme="1"/>
        <rFont val="游ゴシック"/>
        <family val="2"/>
        <charset val="128"/>
      </rPr>
      <t xml:space="preserve">URL</t>
    </r>
    <r>
      <rPr>
        <sz val="11"/>
        <color theme="1"/>
        <rFont val="Noto Sans CJK SC"/>
        <family val="2"/>
      </rPr>
      <t xml:space="preserve">フィルタリング
</t>
    </r>
    <r>
      <rPr>
        <sz val="11"/>
        <color theme="1"/>
        <rFont val="游ゴシック"/>
        <family val="2"/>
        <charset val="128"/>
      </rPr>
      <t xml:space="preserve">EDR</t>
    </r>
    <r>
      <rPr>
        <sz val="11"/>
        <color theme="1"/>
        <rFont val="Noto Sans CJK SC"/>
        <family val="2"/>
      </rPr>
      <t xml:space="preserve">導入によるマルウェア挙動の検知と封じ込め
職員の標的型攻撃訓練や注意喚起の運用も想定される
ただし、ユーザー操作（リンククリック）による内部感染を完全には防げず、残余リスクが一定残るため</t>
    </r>
    <r>
      <rPr>
        <sz val="11"/>
        <color theme="1"/>
        <rFont val="游ゴシック"/>
        <family val="2"/>
        <charset val="128"/>
      </rPr>
      <t xml:space="preserve">4</t>
    </r>
    <r>
      <rPr>
        <sz val="11"/>
        <color theme="1"/>
        <rFont val="Noto Sans CJK SC"/>
        <family val="2"/>
      </rPr>
      <t xml:space="preserve">評価</t>
    </r>
  </si>
  <si>
    <t xml:space="preserve">T1496.001</t>
  </si>
  <si>
    <r>
      <rPr>
        <sz val="11"/>
        <color theme="1"/>
        <rFont val="Noto Sans CJK SC"/>
        <family val="2"/>
      </rPr>
      <t xml:space="preserve">乗っ取った</t>
    </r>
    <r>
      <rPr>
        <sz val="11"/>
        <color theme="1"/>
        <rFont val="游ゴシック"/>
        <family val="2"/>
        <charset val="128"/>
      </rPr>
      <t xml:space="preserve">VDI</t>
    </r>
    <r>
      <rPr>
        <sz val="11"/>
        <color theme="1"/>
        <rFont val="Noto Sans CJK SC"/>
        <family val="2"/>
      </rPr>
      <t xml:space="preserve">や業務アプリサーバの演算資源（</t>
    </r>
    <r>
      <rPr>
        <sz val="11"/>
        <color theme="1"/>
        <rFont val="游ゴシック"/>
        <family val="2"/>
        <charset val="128"/>
      </rPr>
      <t xml:space="preserve">CPU/GPU</t>
    </r>
    <r>
      <rPr>
        <sz val="11"/>
        <color theme="1"/>
        <rFont val="Noto Sans CJK SC"/>
        <family val="2"/>
      </rPr>
      <t xml:space="preserve">）を密かに使用し、外部クラウドにリダイレクトされたマイニングスクリプトを実行。クラウド利用料金の増加・リソース逼迫による行政サービスの遅延が生じる。ログ監視やアラート閾値が不十分な環境では長期間発見されない。</t>
    </r>
  </si>
  <si>
    <r>
      <rPr>
        <sz val="11"/>
        <color theme="1"/>
        <rFont val="Noto Sans CJK SC"/>
        <family val="2"/>
      </rPr>
      <t xml:space="preserve">仮想インスタンスの挙動監視と、</t>
    </r>
    <r>
      <rPr>
        <sz val="11"/>
        <color theme="1"/>
        <rFont val="游ゴシック"/>
        <family val="2"/>
        <charset val="128"/>
      </rPr>
      <t xml:space="preserve">EDR</t>
    </r>
    <r>
      <rPr>
        <sz val="11"/>
        <color theme="1"/>
        <rFont val="Noto Sans CJK SC"/>
        <family val="2"/>
      </rPr>
      <t xml:space="preserve">による制御で防止可能。</t>
    </r>
  </si>
  <si>
    <t xml:space="preserve">T1486</t>
  </si>
  <si>
    <r>
      <rPr>
        <sz val="11"/>
        <color theme="1"/>
        <rFont val="游ゴシック"/>
        <family val="2"/>
        <charset val="128"/>
      </rPr>
      <t xml:space="preserve">T1486 × My Number Administrative System on GovCloud</t>
    </r>
    <r>
      <rPr>
        <sz val="11"/>
        <color theme="1"/>
        <rFont val="Noto Sans CJK SC"/>
        <family val="2"/>
      </rPr>
      <t xml:space="preserve">：想定される攻撃手口
</t>
    </r>
    <r>
      <rPr>
        <sz val="11"/>
        <color theme="1"/>
        <rFont val="游ゴシック"/>
        <family val="2"/>
        <charset val="128"/>
      </rPr>
      <t xml:space="preserve">1. </t>
    </r>
    <r>
      <rPr>
        <sz val="11"/>
        <color theme="1"/>
        <rFont val="Noto Sans CJK SC"/>
        <family val="2"/>
      </rPr>
      <t xml:space="preserve">ランサムウェアによるデータ・システム暗号化
攻撃者はマイナンバー利用事務系へマルウェア（ランサムウェア等）を侵入させ、業務データ（住民台帳、申請記録、付随書類など）やアプリケーション構成ファイルを暗号化・不可視化し、利用不能状態を強制。
被害例：住民業務システムの長期停止、行政サービスの中断、重大データの完全消失。
</t>
    </r>
    <r>
      <rPr>
        <sz val="11"/>
        <color theme="1"/>
        <rFont val="游ゴシック"/>
        <family val="2"/>
        <charset val="128"/>
      </rPr>
      <t xml:space="preserve">2. </t>
    </r>
    <r>
      <rPr>
        <sz val="11"/>
        <color theme="1"/>
        <rFont val="Noto Sans CJK SC"/>
        <family val="2"/>
      </rPr>
      <t xml:space="preserve">暗号化後の業務継続妨害・サボタージュ
システム管理用</t>
    </r>
    <r>
      <rPr>
        <sz val="11"/>
        <color theme="1"/>
        <rFont val="游ゴシック"/>
        <family val="2"/>
        <charset val="128"/>
      </rPr>
      <t xml:space="preserve">VPC/</t>
    </r>
    <r>
      <rPr>
        <sz val="11"/>
        <color theme="1"/>
        <rFont val="Noto Sans CJK SC"/>
        <family val="2"/>
      </rPr>
      <t xml:space="preserve">経路、定期バックアップやレプリカ先まで一括して暗号化され、復旧プロセス全体が妨害されるケースも。
管理コンソールも奪取されていた場合、冗長化エンジンや復元フロー自体を操作不能化。
</t>
    </r>
    <r>
      <rPr>
        <sz val="11"/>
        <color theme="1"/>
        <rFont val="游ゴシック"/>
        <family val="2"/>
        <charset val="128"/>
      </rPr>
      <t xml:space="preserve">3. </t>
    </r>
    <r>
      <rPr>
        <sz val="11"/>
        <color theme="1"/>
        <rFont val="Noto Sans CJK SC"/>
        <family val="2"/>
      </rPr>
      <t xml:space="preserve">二重脅迫型攻撃（暗号化＋データの外部送信</t>
    </r>
    <r>
      <rPr>
        <sz val="11"/>
        <color theme="1"/>
        <rFont val="游ゴシック"/>
        <family val="2"/>
        <charset val="128"/>
      </rPr>
      <t xml:space="preserve">/</t>
    </r>
    <r>
      <rPr>
        <sz val="11"/>
        <color theme="1"/>
        <rFont val="Noto Sans CJK SC"/>
        <family val="2"/>
      </rPr>
      <t xml:space="preserve">リーク）
暗号化前に住民情報・内部業務情報を外部に送信／漏洩させ、「身代金不払いの場合、リークサイトなどで情報を公開」と二重恐喝。</t>
    </r>
  </si>
  <si>
    <r>
      <rPr>
        <sz val="11"/>
        <color theme="1"/>
        <rFont val="Noto Sans CJK SC"/>
        <family val="2"/>
      </rPr>
      <t xml:space="preserve">評価理由とガイドライン根拠
</t>
    </r>
    <r>
      <rPr>
        <sz val="11"/>
        <color theme="1"/>
        <rFont val="游ゴシック"/>
        <family val="2"/>
        <charset val="128"/>
      </rPr>
      <t xml:space="preserve">β’</t>
    </r>
    <r>
      <rPr>
        <sz val="11"/>
        <color theme="1"/>
        <rFont val="Noto Sans CJK SC"/>
        <family val="2"/>
      </rPr>
      <t xml:space="preserve">モデルや「ガバメントクラウドリスクアセスメント」では、マイナンバー利用事務系の通信・運用経路・端末管理のすべてで</t>
    </r>
    <r>
      <rPr>
        <sz val="11"/>
        <color theme="1"/>
        <rFont val="游ゴシック"/>
        <family val="2"/>
        <charset val="128"/>
      </rPr>
      <t xml:space="preserve">**</t>
    </r>
    <r>
      <rPr>
        <sz val="11"/>
        <color theme="1"/>
        <rFont val="Noto Sans CJK SC"/>
        <family val="2"/>
      </rPr>
      <t xml:space="preserve">「多層防御・最小権限・運用分離・多要素認証・定期監査」「全通信のホワイトリスティング」</t>
    </r>
    <r>
      <rPr>
        <sz val="11"/>
        <color theme="1"/>
        <rFont val="游ゴシック"/>
        <family val="2"/>
        <charset val="128"/>
      </rPr>
      <t xml:space="preserve">**</t>
    </r>
    <r>
      <rPr>
        <sz val="11"/>
        <color theme="1"/>
        <rFont val="Noto Sans CJK SC"/>
        <family val="2"/>
      </rPr>
      <t xml:space="preserve">を要求。
ランサムウェア型マルウェアは、インターネット遮断・サンドボックス検証・定期</t>
    </r>
    <r>
      <rPr>
        <sz val="11"/>
        <color theme="1"/>
        <rFont val="游ゴシック"/>
        <family val="2"/>
        <charset val="128"/>
      </rPr>
      <t xml:space="preserve">EDR</t>
    </r>
    <r>
      <rPr>
        <sz val="11"/>
        <color theme="1"/>
        <rFont val="Noto Sans CJK SC"/>
        <family val="2"/>
      </rPr>
      <t xml:space="preserve">診断・不正操作のリアルタイム監査などにより“定着・拡散・二重脅迫”いずれのシナリオも構造的に封じ込め。
バックアップや業務継続計画も標準要件となっているため、万一一時的に暗号化被害が生じても、逸失データ無しでの迅速復旧・住民サービス維持が図られます。
なお実際のセキュリティレベル評価（デジタル庁「ガバメントクラウドリスクアセスメント」</t>
    </r>
    <r>
      <rPr>
        <sz val="11"/>
        <color theme="1"/>
        <rFont val="游ゴシック"/>
        <family val="2"/>
        <charset val="128"/>
      </rPr>
      <t xml:space="preserve">2.2</t>
    </r>
    <r>
      <rPr>
        <sz val="11"/>
        <color theme="1"/>
        <rFont val="Noto Sans CJK SC"/>
        <family val="2"/>
      </rPr>
      <t xml:space="preserve">・</t>
    </r>
    <r>
      <rPr>
        <sz val="11"/>
        <color theme="1"/>
        <rFont val="游ゴシック"/>
        <family val="2"/>
        <charset val="128"/>
      </rPr>
      <t xml:space="preserve">3.2</t>
    </r>
    <r>
      <rPr>
        <sz val="11"/>
        <color theme="1"/>
        <rFont val="Noto Sans CJK SC"/>
        <family val="2"/>
      </rPr>
      <t xml:space="preserve">節）でも、同様攻撃について「十分に多層の防御」「管理用アカウントの権限制御」「</t>
    </r>
    <r>
      <rPr>
        <sz val="11"/>
        <color theme="1"/>
        <rFont val="游ゴシック"/>
        <family val="2"/>
        <charset val="128"/>
      </rPr>
      <t xml:space="preserve">EDR</t>
    </r>
    <r>
      <rPr>
        <sz val="11"/>
        <color theme="1"/>
        <rFont val="Noto Sans CJK SC"/>
        <family val="2"/>
      </rPr>
      <t xml:space="preserve">等運用」等を前提とし、「リスク極小」・「成功確率低（最低）」と明記されています</t>
    </r>
  </si>
  <si>
    <t xml:space="preserve">T1496.002</t>
  </si>
  <si>
    <r>
      <rPr>
        <sz val="11"/>
        <color theme="1"/>
        <rFont val="Noto Sans CJK SC"/>
        <family val="2"/>
      </rPr>
      <t xml:space="preserve">攻撃テクニック</t>
    </r>
    <r>
      <rPr>
        <sz val="11"/>
        <color theme="1"/>
        <rFont val="游ゴシック"/>
        <family val="2"/>
        <charset val="128"/>
      </rPr>
      <t xml:space="preserve">ID</t>
    </r>
    <r>
      <rPr>
        <sz val="11"/>
        <color theme="1"/>
        <rFont val="Noto Sans CJK SC"/>
        <family val="2"/>
      </rPr>
      <t xml:space="preserve">：</t>
    </r>
    <r>
      <rPr>
        <sz val="11"/>
        <color theme="1"/>
        <rFont val="游ゴシック"/>
        <family val="2"/>
        <charset val="128"/>
      </rPr>
      <t xml:space="preserve">T1496.002</t>
    </r>
    <r>
      <rPr>
        <sz val="11"/>
        <color theme="1"/>
        <rFont val="Noto Sans CJK SC"/>
        <family val="2"/>
      </rPr>
      <t xml:space="preserve">（</t>
    </r>
    <r>
      <rPr>
        <sz val="11"/>
        <color theme="1"/>
        <rFont val="游ゴシック"/>
        <family val="2"/>
        <charset val="128"/>
      </rPr>
      <t xml:space="preserve">Resource Hijacking: Cloud Service Hijacking</t>
    </r>
    <r>
      <rPr>
        <sz val="11"/>
        <color theme="1"/>
        <rFont val="Noto Sans CJK SC"/>
        <family val="2"/>
      </rPr>
      <t xml:space="preserve">）の攻撃手口
</t>
    </r>
    <r>
      <rPr>
        <sz val="11"/>
        <color theme="1"/>
        <rFont val="游ゴシック"/>
        <family val="2"/>
        <charset val="128"/>
      </rPr>
      <t xml:space="preserve">T1496.002</t>
    </r>
    <r>
      <rPr>
        <sz val="11"/>
        <color theme="1"/>
        <rFont val="Noto Sans CJK SC"/>
        <family val="2"/>
      </rPr>
      <t xml:space="preserve">は</t>
    </r>
    <r>
      <rPr>
        <sz val="11"/>
        <color theme="1"/>
        <rFont val="游ゴシック"/>
        <family val="2"/>
        <charset val="128"/>
      </rPr>
      <t xml:space="preserve">MITRE ATT&amp;CK</t>
    </r>
    <r>
      <rPr>
        <sz val="11"/>
        <color theme="1"/>
        <rFont val="Noto Sans CJK SC"/>
        <family val="2"/>
      </rPr>
      <t xml:space="preserve">で「クラウドサービスのリソース乗っ取り型」サブテクニックです。</t>
    </r>
    <r>
      <rPr>
        <sz val="11"/>
        <color theme="1"/>
        <rFont val="游ゴシック"/>
        <family val="2"/>
        <charset val="128"/>
      </rPr>
      <t xml:space="preserve">My Number Administrative System on GovCloud</t>
    </r>
    <r>
      <rPr>
        <sz val="11"/>
        <color theme="1"/>
        <rFont val="Noto Sans CJK SC"/>
        <family val="2"/>
      </rPr>
      <t xml:space="preserve">（住民情報管理系）を標的とした場合、以下のような手口が現実的に考えられます。
</t>
    </r>
    <r>
      <rPr>
        <sz val="11"/>
        <color theme="1"/>
        <rFont val="游ゴシック"/>
        <family val="2"/>
        <charset val="128"/>
      </rPr>
      <t xml:space="preserve">1. </t>
    </r>
    <r>
      <rPr>
        <sz val="11"/>
        <color theme="1"/>
        <rFont val="Noto Sans CJK SC"/>
        <family val="2"/>
      </rPr>
      <t xml:space="preserve">システムリソースの密かなる不正利用
攻撃者が脆弱性・認証情報窃取・設定ミスなどにより、マイナンバー系の本番</t>
    </r>
    <r>
      <rPr>
        <sz val="11"/>
        <color theme="1"/>
        <rFont val="游ゴシック"/>
        <family val="2"/>
        <charset val="128"/>
      </rPr>
      <t xml:space="preserve">VM</t>
    </r>
    <r>
      <rPr>
        <sz val="11"/>
        <color theme="1"/>
        <rFont val="Noto Sans CJK SC"/>
        <family val="2"/>
      </rPr>
      <t xml:space="preserve">・コンテナ・クラスタ・計算リソースに不正アクセス。
そこで「クラウドリソースを自己のために不正消費」し、暗号資産マイニング（例：仮想</t>
    </r>
    <r>
      <rPr>
        <sz val="11"/>
        <color theme="1"/>
        <rFont val="游ゴシック"/>
        <family val="2"/>
        <charset val="128"/>
      </rPr>
      <t xml:space="preserve">CPU</t>
    </r>
    <r>
      <rPr>
        <sz val="11"/>
        <color theme="1"/>
        <rFont val="Noto Sans CJK SC"/>
        <family val="2"/>
      </rPr>
      <t xml:space="preserve">・</t>
    </r>
    <r>
      <rPr>
        <sz val="11"/>
        <color theme="1"/>
        <rFont val="游ゴシック"/>
        <family val="2"/>
        <charset val="128"/>
      </rPr>
      <t xml:space="preserve">GPU</t>
    </r>
    <r>
      <rPr>
        <sz val="11"/>
        <color theme="1"/>
        <rFont val="Noto Sans CJK SC"/>
        <family val="2"/>
      </rPr>
      <t xml:space="preserve">の無断占有）や</t>
    </r>
    <r>
      <rPr>
        <sz val="11"/>
        <color theme="1"/>
        <rFont val="游ゴシック"/>
        <family val="2"/>
        <charset val="128"/>
      </rPr>
      <t xml:space="preserve">DDoS</t>
    </r>
    <r>
      <rPr>
        <sz val="11"/>
        <color theme="1"/>
        <rFont val="Noto Sans CJK SC"/>
        <family val="2"/>
      </rPr>
      <t xml:space="preserve">踏み台化、違法データホスティングなどを実施。
ガバメントクラウド課金リソースが大量消費・高騰し、業務処理能力の低下・停止など間接被害も。
</t>
    </r>
    <r>
      <rPr>
        <sz val="11"/>
        <color theme="1"/>
        <rFont val="游ゴシック"/>
        <family val="2"/>
        <charset val="128"/>
      </rPr>
      <t xml:space="preserve">2. </t>
    </r>
    <r>
      <rPr>
        <sz val="11"/>
        <color theme="1"/>
        <rFont val="Noto Sans CJK SC"/>
        <family val="2"/>
      </rPr>
      <t xml:space="preserve">サービスアカウント悪用による不正プロセス実行
古い・棚卸未済のサービスアカウント</t>
    </r>
    <r>
      <rPr>
        <sz val="11"/>
        <color theme="1"/>
        <rFont val="游ゴシック"/>
        <family val="2"/>
        <charset val="128"/>
      </rPr>
      <t xml:space="preserve">API</t>
    </r>
    <r>
      <rPr>
        <sz val="11"/>
        <color theme="1"/>
        <rFont val="Noto Sans CJK SC"/>
        <family val="2"/>
      </rPr>
      <t xml:space="preserve">キーや</t>
    </r>
    <r>
      <rPr>
        <sz val="11"/>
        <color theme="1"/>
        <rFont val="游ゴシック"/>
        <family val="2"/>
        <charset val="128"/>
      </rPr>
      <t xml:space="preserve">IAM</t>
    </r>
    <r>
      <rPr>
        <sz val="11"/>
        <color theme="1"/>
        <rFont val="Noto Sans CJK SC"/>
        <family val="2"/>
      </rPr>
      <t xml:space="preserve">資格情報を収集し、バックグラウンドで不正ジョブを自動投入。
管理者も見落としやすい「一時停止させたバッチ」「退職者</t>
    </r>
    <r>
      <rPr>
        <sz val="11"/>
        <color theme="1"/>
        <rFont val="游ゴシック"/>
        <family val="2"/>
        <charset val="128"/>
      </rPr>
      <t xml:space="preserve">ID</t>
    </r>
    <r>
      <rPr>
        <sz val="11"/>
        <color theme="1"/>
        <rFont val="Noto Sans CJK SC"/>
        <family val="2"/>
      </rPr>
      <t xml:space="preserve">」「一時</t>
    </r>
    <r>
      <rPr>
        <sz val="11"/>
        <color theme="1"/>
        <rFont val="游ゴシック"/>
        <family val="2"/>
        <charset val="128"/>
      </rPr>
      <t xml:space="preserve">API</t>
    </r>
    <r>
      <rPr>
        <sz val="11"/>
        <color theme="1"/>
        <rFont val="Noto Sans CJK SC"/>
        <family val="2"/>
      </rPr>
      <t xml:space="preserve">キー」「メンテナンス時直挿しシェル」などで、第三者ジョブ（マイニング、迷惑メール、外部プロキシ利用 </t>
    </r>
    <r>
      <rPr>
        <sz val="11"/>
        <color theme="1"/>
        <rFont val="游ゴシック"/>
        <family val="2"/>
        <charset val="128"/>
      </rPr>
      <t xml:space="preserve">etc.</t>
    </r>
    <r>
      <rPr>
        <sz val="11"/>
        <color theme="1"/>
        <rFont val="Noto Sans CJK SC"/>
        <family val="2"/>
      </rPr>
      <t xml:space="preserve">）を組み込む。
</t>
    </r>
    <r>
      <rPr>
        <sz val="11"/>
        <color theme="1"/>
        <rFont val="游ゴシック"/>
        <family val="2"/>
        <charset val="128"/>
      </rPr>
      <t xml:space="preserve">3. </t>
    </r>
    <r>
      <rPr>
        <sz val="11"/>
        <color theme="1"/>
        <rFont val="Noto Sans CJK SC"/>
        <family val="2"/>
      </rPr>
      <t xml:space="preserve">ネットワーク帯域・ストレージ汚染クラウドストレージやオブジェクトバケットを「パブリック」にし、違法ファイル・動画・マルウェア配布等に悪用。
ネットワーク帯域がマイナス影響を受け、正規業務アプリのパフォーマンス低下・</t>
    </r>
    <r>
      <rPr>
        <sz val="11"/>
        <color theme="1"/>
        <rFont val="游ゴシック"/>
        <family val="2"/>
        <charset val="128"/>
      </rPr>
      <t xml:space="preserve">SLA</t>
    </r>
    <r>
      <rPr>
        <sz val="11"/>
        <color theme="1"/>
        <rFont val="Noto Sans CJK SC"/>
        <family val="2"/>
      </rPr>
      <t xml:space="preserve">逸脱を引き起こす場合も。</t>
    </r>
  </si>
  <si>
    <r>
      <rPr>
        <sz val="11"/>
        <color theme="1"/>
        <rFont val="Noto Sans CJK SC"/>
        <family val="2"/>
      </rPr>
      <t xml:space="preserve">評価理由・ガイドライン根拠
</t>
    </r>
    <r>
      <rPr>
        <sz val="11"/>
        <color theme="1"/>
        <rFont val="游ゴシック"/>
        <family val="2"/>
        <charset val="128"/>
      </rPr>
      <t xml:space="preserve">β’</t>
    </r>
    <r>
      <rPr>
        <sz val="11"/>
        <color theme="1"/>
        <rFont val="Noto Sans CJK SC"/>
        <family val="2"/>
      </rPr>
      <t xml:space="preserve">モデルやガバメントクラウドリスクアセスメントでは</t>
    </r>
    <r>
      <rPr>
        <sz val="11"/>
        <color theme="1"/>
        <rFont val="游ゴシック"/>
        <family val="2"/>
        <charset val="128"/>
      </rPr>
      <t xml:space="preserve">**</t>
    </r>
    <r>
      <rPr>
        <sz val="11"/>
        <color theme="1"/>
        <rFont val="Noto Sans CJK SC"/>
        <family val="2"/>
      </rPr>
      <t xml:space="preserve">「クラウド資産の公開許可範囲厳格化」「不必要な</t>
    </r>
    <r>
      <rPr>
        <sz val="11"/>
        <color theme="1"/>
        <rFont val="游ゴシック"/>
        <family val="2"/>
        <charset val="128"/>
      </rPr>
      <t xml:space="preserve">API</t>
    </r>
    <r>
      <rPr>
        <sz val="11"/>
        <color theme="1"/>
        <rFont val="Noto Sans CJK SC"/>
        <family val="2"/>
      </rPr>
      <t xml:space="preserve">発行・棚卸」「ログ監査・多段階認証」「</t>
    </r>
    <r>
      <rPr>
        <sz val="11"/>
        <color theme="1"/>
        <rFont val="游ゴシック"/>
        <family val="2"/>
        <charset val="128"/>
      </rPr>
      <t xml:space="preserve">Cloud</t>
    </r>
    <r>
      <rPr>
        <sz val="11"/>
        <color theme="1"/>
        <rFont val="Noto Sans CJK SC"/>
        <family val="2"/>
      </rPr>
      <t xml:space="preserve">サービス診断（</t>
    </r>
    <r>
      <rPr>
        <sz val="11"/>
        <color theme="1"/>
        <rFont val="游ゴシック"/>
        <family val="2"/>
        <charset val="128"/>
      </rPr>
      <t xml:space="preserve">CSPM/CIEM</t>
    </r>
    <r>
      <rPr>
        <sz val="11"/>
        <color theme="1"/>
        <rFont val="Noto Sans CJK SC"/>
        <family val="2"/>
      </rPr>
      <t xml:space="preserve">）運用」</t>
    </r>
    <r>
      <rPr>
        <sz val="11"/>
        <color theme="1"/>
        <rFont val="游ゴシック"/>
        <family val="2"/>
        <charset val="128"/>
      </rPr>
      <t xml:space="preserve">**</t>
    </r>
    <r>
      <rPr>
        <sz val="11"/>
        <color theme="1"/>
        <rFont val="Noto Sans CJK SC"/>
        <family val="2"/>
      </rPr>
      <t xml:space="preserve">の多層防御が標準実装。
一時的なヒューマンエラー（例：</t>
    </r>
    <r>
      <rPr>
        <sz val="11"/>
        <color theme="1"/>
        <rFont val="游ゴシック"/>
        <family val="2"/>
        <charset val="128"/>
      </rPr>
      <t xml:space="preserve">API</t>
    </r>
    <r>
      <rPr>
        <sz val="11"/>
        <color theme="1"/>
        <rFont val="Noto Sans CJK SC"/>
        <family val="2"/>
      </rPr>
      <t xml:space="preserve">キーの削除忘れ、一時ストレージ公開、サービスアカウント棚卸抜け）はゼロ化困難なので、完全自動抑止には至らないものの、現行の業界水準＋国ガイドラインでは最高レベルの抑止力が担保されています。
クラウドリソースの不正利用（暗号資産マイニング</t>
    </r>
    <r>
      <rPr>
        <sz val="11"/>
        <color theme="1"/>
        <rFont val="游ゴシック"/>
        <family val="2"/>
        <charset val="128"/>
      </rPr>
      <t xml:space="preserve">/</t>
    </r>
    <r>
      <rPr>
        <sz val="11"/>
        <color theme="1"/>
        <rFont val="Noto Sans CJK SC"/>
        <family val="2"/>
      </rPr>
      <t xml:space="preserve">リソース乗っ取りなど）被害ソースが出現しても、異常利用はほぼ確実に即時アラートが上がるため、被害極小化およびサービス停止回避体制が成立。
● 主な根拠条文・資料
『ガバメントクラウドリスクアセスメント』（</t>
    </r>
    <r>
      <rPr>
        <sz val="11"/>
        <color theme="1"/>
        <rFont val="游ゴシック"/>
        <family val="2"/>
        <charset val="128"/>
      </rPr>
      <t xml:space="preserve">2023/2024</t>
    </r>
    <r>
      <rPr>
        <sz val="11"/>
        <color theme="1"/>
        <rFont val="Noto Sans CJK SC"/>
        <family val="2"/>
      </rPr>
      <t xml:space="preserve">）</t>
    </r>
    <r>
      <rPr>
        <sz val="11"/>
        <color theme="1"/>
        <rFont val="游ゴシック"/>
        <family val="2"/>
        <charset val="128"/>
      </rPr>
      <t xml:space="preserve">2.2</t>
    </r>
    <r>
      <rPr>
        <sz val="11"/>
        <color theme="1"/>
        <rFont val="Noto Sans CJK SC"/>
        <family val="2"/>
      </rPr>
      <t xml:space="preserve">項「セキュリティ対策」、</t>
    </r>
    <r>
      <rPr>
        <sz val="11"/>
        <color theme="1"/>
        <rFont val="游ゴシック"/>
        <family val="2"/>
        <charset val="128"/>
      </rPr>
      <t xml:space="preserve">3.2</t>
    </r>
    <r>
      <rPr>
        <sz val="11"/>
        <color theme="1"/>
        <rFont val="Noto Sans CJK SC"/>
        <family val="2"/>
      </rPr>
      <t xml:space="preserve">項他
「クラウドの設定ミス対策ガイドブック」</t>
    </r>
    <r>
      <rPr>
        <sz val="11"/>
        <color theme="1"/>
        <rFont val="游ゴシック"/>
        <family val="2"/>
        <charset val="128"/>
      </rPr>
      <t xml:space="preserve">3.2</t>
    </r>
    <r>
      <rPr>
        <sz val="11"/>
        <color theme="1"/>
        <rFont val="Noto Sans CJK SC"/>
        <family val="2"/>
      </rPr>
      <t xml:space="preserve">（認可管理）、</t>
    </r>
    <r>
      <rPr>
        <sz val="11"/>
        <color theme="1"/>
        <rFont val="游ゴシック"/>
        <family val="2"/>
        <charset val="128"/>
      </rPr>
      <t xml:space="preserve">3.3</t>
    </r>
    <r>
      <rPr>
        <sz val="11"/>
        <color theme="1"/>
        <rFont val="Noto Sans CJK SC"/>
        <family val="2"/>
      </rPr>
      <t xml:space="preserve">、</t>
    </r>
    <r>
      <rPr>
        <sz val="11"/>
        <color theme="1"/>
        <rFont val="游ゴシック"/>
        <family val="2"/>
        <charset val="128"/>
      </rPr>
      <t xml:space="preserve">3.4</t>
    </r>
    <r>
      <rPr>
        <sz val="11"/>
        <color theme="1"/>
        <rFont val="Noto Sans CJK SC"/>
        <family val="2"/>
      </rPr>
      <t xml:space="preserve">（</t>
    </r>
    <r>
      <rPr>
        <sz val="11"/>
        <color theme="1"/>
        <rFont val="游ゴシック"/>
        <family val="2"/>
        <charset val="128"/>
      </rPr>
      <t xml:space="preserve">API/</t>
    </r>
    <r>
      <rPr>
        <sz val="11"/>
        <color theme="1"/>
        <rFont val="Noto Sans CJK SC"/>
        <family val="2"/>
      </rPr>
      <t xml:space="preserve">アカウント管理）、</t>
    </r>
    <r>
      <rPr>
        <sz val="11"/>
        <color theme="1"/>
        <rFont val="游ゴシック"/>
        <family val="2"/>
        <charset val="128"/>
      </rPr>
      <t xml:space="preserve">3.6</t>
    </r>
    <r>
      <rPr>
        <sz val="11"/>
        <color theme="1"/>
        <rFont val="Noto Sans CJK SC"/>
        <family val="2"/>
      </rPr>
      <t xml:space="preserve">～</t>
    </r>
    <r>
      <rPr>
        <sz val="11"/>
        <color theme="1"/>
        <rFont val="游ゴシック"/>
        <family val="2"/>
        <charset val="128"/>
      </rPr>
      <t xml:space="preserve">3.9</t>
    </r>
    <r>
      <rPr>
        <sz val="11"/>
        <color theme="1"/>
        <rFont val="Noto Sans CJK SC"/>
        <family val="2"/>
      </rPr>
      <t xml:space="preserve">（監査、</t>
    </r>
    <r>
      <rPr>
        <sz val="11"/>
        <color theme="1"/>
        <rFont val="游ゴシック"/>
        <family val="2"/>
        <charset val="128"/>
      </rPr>
      <t xml:space="preserve">CSPM</t>
    </r>
    <r>
      <rPr>
        <sz val="11"/>
        <color theme="1"/>
        <rFont val="Noto Sans CJK SC"/>
        <family val="2"/>
      </rPr>
      <t xml:space="preserve">、運用手順）
</t>
    </r>
    <r>
      <rPr>
        <sz val="11"/>
        <color theme="1"/>
        <rFont val="游ゴシック"/>
        <family val="2"/>
        <charset val="128"/>
      </rPr>
      <t xml:space="preserve">β’</t>
    </r>
    <r>
      <rPr>
        <sz val="11"/>
        <color theme="1"/>
        <rFont val="Noto Sans CJK SC"/>
        <family val="2"/>
      </rPr>
      <t xml:space="preserve">モデル地方公共団体向けセキュリティポリシーガイドライン Ⅲ</t>
    </r>
    <r>
      <rPr>
        <sz val="11"/>
        <color theme="1"/>
        <rFont val="游ゴシック"/>
        <family val="2"/>
        <charset val="128"/>
      </rPr>
      <t xml:space="preserve">.1.1.1, Ⅲ.2.1.1, Ⅲ.4.1.1, Ⅲ.2.1.3</t>
    </r>
  </si>
  <si>
    <t xml:space="preserve">T1555.006_VDI Server</t>
  </si>
  <si>
    <r>
      <rPr>
        <sz val="11"/>
        <color theme="1"/>
        <rFont val="游ゴシック"/>
        <family val="2"/>
        <charset val="128"/>
      </rPr>
      <t xml:space="preserve"> T1555.006 × VDI server</t>
    </r>
    <r>
      <rPr>
        <sz val="11"/>
        <color theme="1"/>
        <rFont val="Noto Sans CJK SC"/>
        <family val="2"/>
      </rPr>
      <t xml:space="preserve">：考えられる攻撃手口
クラウドストレージ上の資格情報ファイル回収
</t>
    </r>
    <r>
      <rPr>
        <sz val="11"/>
        <color theme="1"/>
        <rFont val="游ゴシック"/>
        <family val="2"/>
        <charset val="128"/>
      </rPr>
      <t xml:space="preserve">VDI</t>
    </r>
    <r>
      <rPr>
        <sz val="11"/>
        <color theme="1"/>
        <rFont val="Noto Sans CJK SC"/>
        <family val="2"/>
      </rPr>
      <t xml:space="preserve">管理や構成ファイル（</t>
    </r>
    <r>
      <rPr>
        <sz val="11"/>
        <color theme="1"/>
        <rFont val="游ゴシック"/>
        <family val="2"/>
        <charset val="128"/>
      </rPr>
      <t xml:space="preserve">config.json/.env/.ini</t>
    </r>
    <r>
      <rPr>
        <sz val="11"/>
        <color theme="1"/>
        <rFont val="Noto Sans CJK SC"/>
        <family val="2"/>
      </rPr>
      <t xml:space="preserve">等）、一時ログ、スナップショット内などに、</t>
    </r>
    <r>
      <rPr>
        <sz val="11"/>
        <color theme="1"/>
        <rFont val="游ゴシック"/>
        <family val="2"/>
        <charset val="128"/>
      </rPr>
      <t xml:space="preserve">ID</t>
    </r>
    <r>
      <rPr>
        <sz val="11"/>
        <color theme="1"/>
        <rFont val="Noto Sans CJK SC"/>
        <family val="2"/>
      </rPr>
      <t xml:space="preserve">やパスワード、</t>
    </r>
    <r>
      <rPr>
        <sz val="11"/>
        <color theme="1"/>
        <rFont val="游ゴシック"/>
        <family val="2"/>
        <charset val="128"/>
      </rPr>
      <t xml:space="preserve">API</t>
    </r>
    <r>
      <rPr>
        <sz val="11"/>
        <color theme="1"/>
        <rFont val="Noto Sans CJK SC"/>
        <family val="2"/>
      </rPr>
      <t xml:space="preserve">キー、管理者トークン等が保管されたままになっている場合、攻撃者がパブリック権限や設定ミスを突いてこれを窃取。
証跡・自動バックアップの認証情報から横展開
</t>
    </r>
    <r>
      <rPr>
        <sz val="11"/>
        <color theme="1"/>
        <rFont val="游ゴシック"/>
        <family val="2"/>
        <charset val="128"/>
      </rPr>
      <t xml:space="preserve">VDI</t>
    </r>
    <r>
      <rPr>
        <sz val="11"/>
        <color theme="1"/>
        <rFont val="Noto Sans CJK SC"/>
        <family val="2"/>
      </rPr>
      <t xml:space="preserve">管理ジョブや更新系バッチのログ、バックアップ等に認証情報が平文で残り、攻撃者が別環境への横断侵害の手がかりに利用。
コンテナイメージやテンプレートの資格情報悪用
</t>
    </r>
    <r>
      <rPr>
        <sz val="11"/>
        <color theme="1"/>
        <rFont val="游ゴシック"/>
        <family val="2"/>
        <charset val="128"/>
      </rPr>
      <t xml:space="preserve">VDI</t>
    </r>
    <r>
      <rPr>
        <sz val="11"/>
        <color theme="1"/>
        <rFont val="Noto Sans CJK SC"/>
        <family val="2"/>
      </rPr>
      <t xml:space="preserve">配布用イメージ</t>
    </r>
    <r>
      <rPr>
        <sz val="11"/>
        <color theme="1"/>
        <rFont val="游ゴシック"/>
        <family val="2"/>
        <charset val="128"/>
      </rPr>
      <t xml:space="preserve">/</t>
    </r>
    <r>
      <rPr>
        <sz val="11"/>
        <color theme="1"/>
        <rFont val="Noto Sans CJK SC"/>
        <family val="2"/>
      </rPr>
      <t xml:space="preserve">テンプレートがストレージ上で誤って公開され、そこから</t>
    </r>
    <r>
      <rPr>
        <sz val="11"/>
        <color theme="1"/>
        <rFont val="游ゴシック"/>
        <family val="2"/>
        <charset val="128"/>
      </rPr>
      <t xml:space="preserve">embedded API</t>
    </r>
    <r>
      <rPr>
        <sz val="11"/>
        <color theme="1"/>
        <rFont val="Noto Sans CJK SC"/>
        <family val="2"/>
      </rPr>
      <t xml:space="preserve">キーや管理クレデンシャルが復元され横展開。
自動化スクリプト、ジョブ管理ファイル経由の情報奪取
定期運用用のスクリプト</t>
    </r>
    <r>
      <rPr>
        <sz val="11"/>
        <color theme="1"/>
        <rFont val="游ゴシック"/>
        <family val="2"/>
        <charset val="128"/>
      </rPr>
      <t xml:space="preserve">/</t>
    </r>
    <r>
      <rPr>
        <sz val="11"/>
        <color theme="1"/>
        <rFont val="Noto Sans CJK SC"/>
        <family val="2"/>
      </rPr>
      <t xml:space="preserve">ジョブファイル</t>
    </r>
    <r>
      <rPr>
        <sz val="11"/>
        <color theme="1"/>
        <rFont val="游ゴシック"/>
        <family val="2"/>
        <charset val="128"/>
      </rPr>
      <t xml:space="preserve">/Linked</t>
    </r>
    <r>
      <rPr>
        <sz val="11"/>
        <color theme="1"/>
        <rFont val="Noto Sans CJK SC"/>
        <family val="2"/>
      </rPr>
      <t xml:space="preserve">サービス設定がストレージに暗号化されず置かれ、広範なシステム資産へのアクセス権を連鎖的に奪われる。</t>
    </r>
  </si>
  <si>
    <r>
      <rPr>
        <sz val="11"/>
        <color theme="1"/>
        <rFont val="Noto Sans CJK SC"/>
        <family val="2"/>
      </rPr>
      <t xml:space="preserve">◆ 評価理由とポイント
構成ミス・公開設定抜け・認証情報放置といったヒューマンエラーや棚卸不備が完全ゼロにはできないため、“</t>
    </r>
    <r>
      <rPr>
        <sz val="11"/>
        <color theme="1"/>
        <rFont val="游ゴシック"/>
        <family val="2"/>
        <charset val="128"/>
      </rPr>
      <t xml:space="preserve">100</t>
    </r>
    <r>
      <rPr>
        <sz val="11"/>
        <color theme="1"/>
        <rFont val="Noto Sans CJK SC"/>
        <family val="2"/>
      </rPr>
      <t xml:space="preserve">％抑止＝</t>
    </r>
    <r>
      <rPr>
        <sz val="11"/>
        <color theme="1"/>
        <rFont val="游ゴシック"/>
        <family val="2"/>
        <charset val="128"/>
      </rPr>
      <t xml:space="preserve">5”</t>
    </r>
    <r>
      <rPr>
        <sz val="11"/>
        <color theme="1"/>
        <rFont val="Noto Sans CJK SC"/>
        <family val="2"/>
      </rPr>
      <t xml:space="preserve">ではなく「</t>
    </r>
    <r>
      <rPr>
        <sz val="11"/>
        <color theme="1"/>
        <rFont val="游ゴシック"/>
        <family val="2"/>
        <charset val="128"/>
      </rPr>
      <t xml:space="preserve">4</t>
    </r>
    <r>
      <rPr>
        <sz val="11"/>
        <color theme="1"/>
        <rFont val="Noto Sans CJK SC"/>
        <family val="2"/>
      </rPr>
      <t xml:space="preserve">（かなり高いが完封とは言わない）」評価が現実解です。
</t>
    </r>
    <r>
      <rPr>
        <sz val="11"/>
        <color theme="1"/>
        <rFont val="游ゴシック"/>
        <family val="2"/>
        <charset val="128"/>
      </rPr>
      <t xml:space="preserve">β’</t>
    </r>
    <r>
      <rPr>
        <sz val="11"/>
        <color theme="1"/>
        <rFont val="Noto Sans CJK SC"/>
        <family val="2"/>
      </rPr>
      <t xml:space="preserve">モデルやガイドブックでは「運用フローに削除・監査・異常監視等を織り込む」仕組化が要求されており、標準水準はグローバルでも高位。
それでも「人手によるアップロード</t>
    </r>
    <r>
      <rPr>
        <sz val="11"/>
        <color theme="1"/>
        <rFont val="游ゴシック"/>
        <family val="2"/>
        <charset val="128"/>
      </rPr>
      <t xml:space="preserve">/</t>
    </r>
    <r>
      <rPr>
        <sz val="11"/>
        <color theme="1"/>
        <rFont val="Noto Sans CJK SC"/>
        <family val="2"/>
      </rPr>
      <t xml:space="preserve">設定</t>
    </r>
    <r>
      <rPr>
        <sz val="11"/>
        <color theme="1"/>
        <rFont val="游ゴシック"/>
        <family val="2"/>
        <charset val="128"/>
      </rPr>
      <t xml:space="preserve">/</t>
    </r>
    <r>
      <rPr>
        <sz val="11"/>
        <color theme="1"/>
        <rFont val="Noto Sans CJK SC"/>
        <family val="2"/>
      </rPr>
      <t xml:space="preserve">追跡抜け」や「設計されていない領域での一時保存」等、“仕組み化の隙間”がゼロにはならない…というのがガイド本体やリスクアセスメントでも明記されています。
◆ 根拠・公式ガイド出典
クラウドの設定ミス対策ガイドブック：</t>
    </r>
    <r>
      <rPr>
        <sz val="11"/>
        <color theme="1"/>
        <rFont val="游ゴシック"/>
        <family val="2"/>
        <charset val="128"/>
      </rPr>
      <t xml:space="preserve">3.2</t>
    </r>
    <r>
      <rPr>
        <sz val="11"/>
        <color theme="1"/>
        <rFont val="Noto Sans CJK SC"/>
        <family val="2"/>
      </rPr>
      <t xml:space="preserve">（ストレージ認可・ホワイトリスト）、</t>
    </r>
    <r>
      <rPr>
        <sz val="11"/>
        <color theme="1"/>
        <rFont val="游ゴシック"/>
        <family val="2"/>
        <charset val="128"/>
      </rPr>
      <t xml:space="preserve">3.3</t>
    </r>
    <r>
      <rPr>
        <sz val="11"/>
        <color theme="1"/>
        <rFont val="Noto Sans CJK SC"/>
        <family val="2"/>
      </rPr>
      <t xml:space="preserve">（設定基準）、</t>
    </r>
    <r>
      <rPr>
        <sz val="11"/>
        <color theme="1"/>
        <rFont val="游ゴシック"/>
        <family val="2"/>
        <charset val="128"/>
      </rPr>
      <t xml:space="preserve">3.6</t>
    </r>
    <r>
      <rPr>
        <sz val="11"/>
        <color theme="1"/>
        <rFont val="Noto Sans CJK SC"/>
        <family val="2"/>
      </rPr>
      <t xml:space="preserve">（多段チェック</t>
    </r>
    <r>
      <rPr>
        <sz val="11"/>
        <color theme="1"/>
        <rFont val="游ゴシック"/>
        <family val="2"/>
        <charset val="128"/>
      </rPr>
      <t xml:space="preserve">/</t>
    </r>
    <r>
      <rPr>
        <sz val="11"/>
        <color theme="1"/>
        <rFont val="Noto Sans CJK SC"/>
        <family val="2"/>
      </rPr>
      <t xml:space="preserve">棚卸）、</t>
    </r>
    <r>
      <rPr>
        <sz val="11"/>
        <color theme="1"/>
        <rFont val="游ゴシック"/>
        <family val="2"/>
        <charset val="128"/>
      </rPr>
      <t xml:space="preserve">3.7,3.8</t>
    </r>
    <r>
      <rPr>
        <sz val="11"/>
        <color theme="1"/>
        <rFont val="Noto Sans CJK SC"/>
        <family val="2"/>
      </rPr>
      <t xml:space="preserve">（診断</t>
    </r>
    <r>
      <rPr>
        <sz val="11"/>
        <color theme="1"/>
        <rFont val="游ゴシック"/>
        <family val="2"/>
        <charset val="128"/>
      </rPr>
      <t xml:space="preserve">/CSPM/Vault</t>
    </r>
    <r>
      <rPr>
        <sz val="11"/>
        <color theme="1"/>
        <rFont val="Noto Sans CJK SC"/>
        <family val="2"/>
      </rPr>
      <t xml:space="preserve">）、</t>
    </r>
    <r>
      <rPr>
        <sz val="11"/>
        <color theme="1"/>
        <rFont val="游ゴシック"/>
        <family val="2"/>
        <charset val="128"/>
      </rPr>
      <t xml:space="preserve">3.9</t>
    </r>
    <r>
      <rPr>
        <sz val="11"/>
        <color theme="1"/>
        <rFont val="Noto Sans CJK SC"/>
        <family val="2"/>
      </rPr>
      <t xml:space="preserve">（証跡監査）
</t>
    </r>
    <r>
      <rPr>
        <sz val="11"/>
        <color theme="1"/>
        <rFont val="游ゴシック"/>
        <family val="2"/>
        <charset val="128"/>
      </rPr>
      <t xml:space="preserve">β’</t>
    </r>
    <r>
      <rPr>
        <sz val="11"/>
        <color theme="1"/>
        <rFont val="Noto Sans CJK SC"/>
        <family val="2"/>
      </rPr>
      <t xml:space="preserve">モデル地方公共団体向け情報セキュリティポリシーガイドライン：Ⅲ</t>
    </r>
    <r>
      <rPr>
        <sz val="11"/>
        <color theme="1"/>
        <rFont val="游ゴシック"/>
        <family val="2"/>
        <charset val="128"/>
      </rPr>
      <t xml:space="preserve">.1.1.1</t>
    </r>
    <r>
      <rPr>
        <sz val="11"/>
        <color theme="1"/>
        <rFont val="Noto Sans CJK SC"/>
        <family val="2"/>
      </rPr>
      <t xml:space="preserve">（権限管理・</t>
    </r>
    <r>
      <rPr>
        <sz val="11"/>
        <color theme="1"/>
        <rFont val="游ゴシック"/>
        <family val="2"/>
        <charset val="128"/>
      </rPr>
      <t xml:space="preserve">MFA</t>
    </r>
    <r>
      <rPr>
        <sz val="11"/>
        <color theme="1"/>
        <rFont val="Noto Sans CJK SC"/>
        <family val="2"/>
      </rPr>
      <t xml:space="preserve">）、Ⅲ</t>
    </r>
    <r>
      <rPr>
        <sz val="11"/>
        <color theme="1"/>
        <rFont val="游ゴシック"/>
        <family val="2"/>
        <charset val="128"/>
      </rPr>
      <t xml:space="preserve">.2.1.1</t>
    </r>
    <r>
      <rPr>
        <sz val="11"/>
        <color theme="1"/>
        <rFont val="Noto Sans CJK SC"/>
        <family val="2"/>
      </rPr>
      <t xml:space="preserve">（不要</t>
    </r>
    <r>
      <rPr>
        <sz val="11"/>
        <color theme="1"/>
        <rFont val="游ゴシック"/>
        <family val="2"/>
        <charset val="128"/>
      </rPr>
      <t xml:space="preserve">ID</t>
    </r>
    <r>
      <rPr>
        <sz val="11"/>
        <color theme="1"/>
        <rFont val="Noto Sans CJK SC"/>
        <family val="2"/>
      </rPr>
      <t xml:space="preserve">即廃止）、Ⅲ</t>
    </r>
    <r>
      <rPr>
        <sz val="11"/>
        <color theme="1"/>
        <rFont val="游ゴシック"/>
        <family val="2"/>
        <charset val="128"/>
      </rPr>
      <t xml:space="preserve">.2.1.3</t>
    </r>
    <r>
      <rPr>
        <sz val="11"/>
        <color theme="1"/>
        <rFont val="Noto Sans CJK SC"/>
        <family val="2"/>
      </rPr>
      <t xml:space="preserve">（ダブルチェック</t>
    </r>
    <r>
      <rPr>
        <sz val="11"/>
        <color theme="1"/>
        <rFont val="游ゴシック"/>
        <family val="2"/>
        <charset val="128"/>
      </rPr>
      <t xml:space="preserve">/</t>
    </r>
    <r>
      <rPr>
        <sz val="11"/>
        <color theme="1"/>
        <rFont val="Noto Sans CJK SC"/>
        <family val="2"/>
      </rPr>
      <t xml:space="preserve">監督・教育）、Ⅲ</t>
    </r>
    <r>
      <rPr>
        <sz val="11"/>
        <color theme="1"/>
        <rFont val="游ゴシック"/>
        <family val="2"/>
        <charset val="128"/>
      </rPr>
      <t xml:space="preserve">.4.1.1</t>
    </r>
    <r>
      <rPr>
        <sz val="11"/>
        <color theme="1"/>
        <rFont val="Noto Sans CJK SC"/>
        <family val="2"/>
      </rPr>
      <t xml:space="preserve">（証跡管理・監査）
ガバメントクラウドリスクアセスメント</t>
    </r>
    <r>
      <rPr>
        <sz val="11"/>
        <color theme="1"/>
        <rFont val="游ゴシック"/>
        <family val="2"/>
        <charset val="128"/>
      </rPr>
      <t xml:space="preserve">2.2</t>
    </r>
    <r>
      <rPr>
        <sz val="11"/>
        <color theme="1"/>
        <rFont val="Noto Sans CJK SC"/>
        <family val="2"/>
      </rPr>
      <t xml:space="preserve">（構成設計・ログ・通信制御）</t>
    </r>
  </si>
  <si>
    <t xml:space="preserve">T1059.009_VDI Server</t>
  </si>
  <si>
    <r>
      <rPr>
        <sz val="11"/>
        <color theme="1"/>
        <rFont val="Noto Sans CJK SC"/>
        <family val="2"/>
      </rPr>
      <t xml:space="preserve">攻撃者は、クラウド連携機能をもつ</t>
    </r>
    <r>
      <rPr>
        <sz val="11"/>
        <color theme="1"/>
        <rFont val="游ゴシック"/>
        <family val="2"/>
        <charset val="128"/>
      </rPr>
      <t xml:space="preserve">VDI</t>
    </r>
    <r>
      <rPr>
        <sz val="11"/>
        <color theme="1"/>
        <rFont val="Noto Sans CJK SC"/>
        <family val="2"/>
      </rPr>
      <t xml:space="preserve">サーバ（たとえば仮想デスクトップ環境のバックエンド）に対して、</t>
    </r>
    <r>
      <rPr>
        <sz val="11"/>
        <color theme="1"/>
        <rFont val="游ゴシック"/>
        <family val="2"/>
        <charset val="128"/>
      </rPr>
      <t xml:space="preserve">Cloud API</t>
    </r>
    <r>
      <rPr>
        <sz val="11"/>
        <color theme="1"/>
        <rFont val="Noto Sans CJK SC"/>
        <family val="2"/>
      </rPr>
      <t xml:space="preserve">経由で</t>
    </r>
    <r>
      <rPr>
        <sz val="11"/>
        <color theme="1"/>
        <rFont val="游ゴシック"/>
        <family val="2"/>
        <charset val="128"/>
      </rPr>
      <t xml:space="preserve">PowerShell</t>
    </r>
    <r>
      <rPr>
        <sz val="11"/>
        <color theme="1"/>
        <rFont val="Noto Sans CJK SC"/>
        <family val="2"/>
      </rPr>
      <t xml:space="preserve">スクリプトや</t>
    </r>
    <r>
      <rPr>
        <sz val="11"/>
        <color theme="1"/>
        <rFont val="游ゴシック"/>
        <family val="2"/>
        <charset val="128"/>
      </rPr>
      <t xml:space="preserve">Python</t>
    </r>
    <r>
      <rPr>
        <sz val="11"/>
        <color theme="1"/>
        <rFont val="Noto Sans CJK SC"/>
        <family val="2"/>
      </rPr>
      <t xml:space="preserve">コードを投入し、横展開やバックドア展開を行う。クラウド</t>
    </r>
    <r>
      <rPr>
        <sz val="11"/>
        <color theme="1"/>
        <rFont val="游ゴシック"/>
        <family val="2"/>
        <charset val="128"/>
      </rPr>
      <t xml:space="preserve">API</t>
    </r>
    <r>
      <rPr>
        <sz val="11"/>
        <color theme="1"/>
        <rFont val="Noto Sans CJK SC"/>
        <family val="2"/>
      </rPr>
      <t xml:space="preserve">は</t>
    </r>
    <r>
      <rPr>
        <sz val="11"/>
        <color theme="1"/>
        <rFont val="游ゴシック"/>
        <family val="2"/>
        <charset val="128"/>
      </rPr>
      <t xml:space="preserve">ZTNA</t>
    </r>
    <r>
      <rPr>
        <sz val="11"/>
        <color theme="1"/>
        <rFont val="Noto Sans CJK SC"/>
        <family val="2"/>
      </rPr>
      <t xml:space="preserve">で制御されづらく、管理用スクリプトに偽装したマルウェア注入が可能。例：</t>
    </r>
    <r>
      <rPr>
        <sz val="11"/>
        <color theme="1"/>
        <rFont val="游ゴシック"/>
        <family val="2"/>
        <charset val="128"/>
      </rPr>
      <t xml:space="preserve">AWS CLI / Azure CLI / gcloud </t>
    </r>
    <r>
      <rPr>
        <sz val="11"/>
        <color theme="1"/>
        <rFont val="Noto Sans CJK SC"/>
        <family val="2"/>
      </rPr>
      <t xml:space="preserve">を用いた設定変更、キー抽出など。</t>
    </r>
  </si>
  <si>
    <r>
      <rPr>
        <sz val="11"/>
        <color theme="1"/>
        <rFont val="游ゴシック"/>
        <family val="2"/>
        <charset val="128"/>
      </rPr>
      <t xml:space="preserve">	
β’</t>
    </r>
    <r>
      <rPr>
        <sz val="11"/>
        <color theme="1"/>
        <rFont val="Noto Sans CJK SC"/>
        <family val="2"/>
      </rPr>
      <t xml:space="preserve">モデル「</t>
    </r>
    <r>
      <rPr>
        <sz val="11"/>
        <color theme="1"/>
        <rFont val="游ゴシック"/>
        <family val="2"/>
        <charset val="128"/>
      </rPr>
      <t xml:space="preserve">3.3.6</t>
    </r>
    <r>
      <rPr>
        <sz val="11"/>
        <color theme="1"/>
        <rFont val="Noto Sans CJK SC"/>
        <family val="2"/>
      </rPr>
      <t xml:space="preserve">」、ガバクラ「</t>
    </r>
    <r>
      <rPr>
        <sz val="11"/>
        <color theme="1"/>
        <rFont val="游ゴシック"/>
        <family val="2"/>
        <charset val="128"/>
      </rPr>
      <t xml:space="preserve">3.4.2.4</t>
    </r>
    <r>
      <rPr>
        <sz val="11"/>
        <color theme="1"/>
        <rFont val="Noto Sans CJK SC"/>
        <family val="2"/>
      </rPr>
      <t xml:space="preserve">」では</t>
    </r>
    <r>
      <rPr>
        <sz val="11"/>
        <color theme="1"/>
        <rFont val="游ゴシック"/>
        <family val="2"/>
        <charset val="128"/>
      </rPr>
      <t xml:space="preserve">API</t>
    </r>
    <r>
      <rPr>
        <sz val="11"/>
        <color theme="1"/>
        <rFont val="Noto Sans CJK SC"/>
        <family val="2"/>
      </rPr>
      <t xml:space="preserve">監査・実行制限が規定。だが、正規用途と区別が困難な場合がある。</t>
    </r>
  </si>
  <si>
    <t xml:space="preserve">T1484.002_VDI Server</t>
  </si>
  <si>
    <r>
      <rPr>
        <sz val="11"/>
        <color theme="1"/>
        <rFont val="Noto Sans CJK SC"/>
        <family val="2"/>
      </rPr>
      <t xml:space="preserve">攻撃者は、</t>
    </r>
    <r>
      <rPr>
        <sz val="11"/>
        <color theme="1"/>
        <rFont val="游ゴシック"/>
        <family val="2"/>
        <charset val="128"/>
      </rPr>
      <t xml:space="preserve">VDI</t>
    </r>
    <r>
      <rPr>
        <sz val="11"/>
        <color theme="1"/>
        <rFont val="Noto Sans CJK SC"/>
        <family val="2"/>
      </rPr>
      <t xml:space="preserve">環境で接続されている</t>
    </r>
    <r>
      <rPr>
        <sz val="11"/>
        <color theme="1"/>
        <rFont val="游ゴシック"/>
        <family val="2"/>
        <charset val="128"/>
      </rPr>
      <t xml:space="preserve">AD</t>
    </r>
    <r>
      <rPr>
        <sz val="11"/>
        <color theme="1"/>
        <rFont val="Noto Sans CJK SC"/>
        <family val="2"/>
      </rPr>
      <t xml:space="preserve">（</t>
    </r>
    <r>
      <rPr>
        <sz val="11"/>
        <color theme="1"/>
        <rFont val="游ゴシック"/>
        <family val="2"/>
        <charset val="128"/>
      </rPr>
      <t xml:space="preserve">Active Directory</t>
    </r>
    <r>
      <rPr>
        <sz val="11"/>
        <color theme="1"/>
        <rFont val="Noto Sans CJK SC"/>
        <family val="2"/>
      </rPr>
      <t xml:space="preserve">）ドメインやクラウド</t>
    </r>
    <r>
      <rPr>
        <sz val="11"/>
        <color theme="1"/>
        <rFont val="游ゴシック"/>
        <family val="2"/>
        <charset val="128"/>
      </rPr>
      <t xml:space="preserve">ID</t>
    </r>
    <r>
      <rPr>
        <sz val="11"/>
        <color theme="1"/>
        <rFont val="Noto Sans CJK SC"/>
        <family val="2"/>
      </rPr>
      <t xml:space="preserve">基盤の信頼ポリシーを操作。たとえば、</t>
    </r>
    <r>
      <rPr>
        <sz val="11"/>
        <color theme="1"/>
        <rFont val="游ゴシック"/>
        <family val="2"/>
        <charset val="128"/>
      </rPr>
      <t xml:space="preserve">VDI</t>
    </r>
    <r>
      <rPr>
        <sz val="11"/>
        <color theme="1"/>
        <rFont val="Noto Sans CJK SC"/>
        <family val="2"/>
      </rPr>
      <t xml:space="preserve">サーバが属する</t>
    </r>
    <r>
      <rPr>
        <sz val="11"/>
        <color theme="1"/>
        <rFont val="游ゴシック"/>
        <family val="2"/>
        <charset val="128"/>
      </rPr>
      <t xml:space="preserve">OU</t>
    </r>
    <r>
      <rPr>
        <sz val="11"/>
        <color theme="1"/>
        <rFont val="Noto Sans CJK SC"/>
        <family val="2"/>
      </rPr>
      <t xml:space="preserve">に対し、グループポリシーオブジェクト（</t>
    </r>
    <r>
      <rPr>
        <sz val="11"/>
        <color theme="1"/>
        <rFont val="游ゴシック"/>
        <family val="2"/>
        <charset val="128"/>
      </rPr>
      <t xml:space="preserve">GPO</t>
    </r>
    <r>
      <rPr>
        <sz val="11"/>
        <color theme="1"/>
        <rFont val="Noto Sans CJK SC"/>
        <family val="2"/>
      </rPr>
      <t xml:space="preserve">）を改変して、ログオン制限・監査設定・更新ポリシーを無効化。これにより、</t>
    </r>
    <r>
      <rPr>
        <sz val="11"/>
        <color theme="1"/>
        <rFont val="游ゴシック"/>
        <family val="2"/>
        <charset val="128"/>
      </rPr>
      <t xml:space="preserve">EDR</t>
    </r>
    <r>
      <rPr>
        <sz val="11"/>
        <color theme="1"/>
        <rFont val="Noto Sans CJK SC"/>
        <family val="2"/>
      </rPr>
      <t xml:space="preserve">無効化、証跡消去など、最終目的に向けた環境工作が可能となる。</t>
    </r>
  </si>
  <si>
    <r>
      <rPr>
        <sz val="11"/>
        <color theme="1"/>
        <rFont val="Noto Sans CJK SC"/>
        <family val="2"/>
      </rPr>
      <t xml:space="preserve">管理者権限奪取後のポリシー改変は、</t>
    </r>
    <r>
      <rPr>
        <sz val="11"/>
        <color theme="1"/>
        <rFont val="游ゴシック"/>
        <family val="2"/>
        <charset val="128"/>
      </rPr>
      <t xml:space="preserve">β’</t>
    </r>
    <r>
      <rPr>
        <sz val="11"/>
        <color theme="1"/>
        <rFont val="Noto Sans CJK SC"/>
        <family val="2"/>
      </rPr>
      <t xml:space="preserve">モデル「</t>
    </r>
    <r>
      <rPr>
        <sz val="11"/>
        <color theme="1"/>
        <rFont val="游ゴシック"/>
        <family val="2"/>
        <charset val="128"/>
      </rPr>
      <t xml:space="preserve">3.3.1</t>
    </r>
    <r>
      <rPr>
        <sz val="11"/>
        <color theme="1"/>
        <rFont val="Noto Sans CJK SC"/>
        <family val="2"/>
      </rPr>
      <t xml:space="preserve">」でも検出が難しく、ログ改ざんが伴えば特定困難。</t>
    </r>
  </si>
  <si>
    <t xml:space="preserve">T1021.007_VDI Auth Server</t>
  </si>
  <si>
    <r>
      <rPr>
        <sz val="11"/>
        <color theme="1"/>
        <rFont val="游ゴシック"/>
        <family val="2"/>
        <charset val="128"/>
      </rPr>
      <t xml:space="preserve"> T1021.007_VDI Auth Server </t>
    </r>
    <r>
      <rPr>
        <sz val="11"/>
        <color theme="1"/>
        <rFont val="Noto Sans CJK SC"/>
        <family val="2"/>
      </rPr>
      <t xml:space="preserve">への攻撃手口
</t>
    </r>
    <r>
      <rPr>
        <sz val="11"/>
        <color theme="1"/>
        <rFont val="游ゴシック"/>
        <family val="2"/>
        <charset val="128"/>
      </rPr>
      <t xml:space="preserve">1. </t>
    </r>
    <r>
      <rPr>
        <sz val="11"/>
        <color theme="1"/>
        <rFont val="Noto Sans CJK SC"/>
        <family val="2"/>
      </rPr>
      <t xml:space="preserve">有効な認証情報を利用したリモートサービス経由攻撃
攻撃者が漏洩・窃取・推測した管理者または運用アカウントの認証情報（例：</t>
    </r>
    <r>
      <rPr>
        <sz val="11"/>
        <color theme="1"/>
        <rFont val="游ゴシック"/>
        <family val="2"/>
        <charset val="128"/>
      </rPr>
      <t xml:space="preserve">Active Directory</t>
    </r>
    <r>
      <rPr>
        <sz val="11"/>
        <color theme="1"/>
        <rFont val="Noto Sans CJK SC"/>
        <family val="2"/>
      </rPr>
      <t xml:space="preserve">ドメインアカウント）を用いて、</t>
    </r>
    <r>
      <rPr>
        <sz val="11"/>
        <color theme="1"/>
        <rFont val="游ゴシック"/>
        <family val="2"/>
        <charset val="128"/>
      </rPr>
      <t xml:space="preserve">VDI Auth server</t>
    </r>
    <r>
      <rPr>
        <sz val="11"/>
        <color theme="1"/>
        <rFont val="Noto Sans CJK SC"/>
        <family val="2"/>
      </rPr>
      <t xml:space="preserve">に対し</t>
    </r>
    <r>
      <rPr>
        <sz val="11"/>
        <color theme="1"/>
        <rFont val="游ゴシック"/>
        <family val="2"/>
        <charset val="128"/>
      </rPr>
      <t xml:space="preserve">RDP</t>
    </r>
    <r>
      <rPr>
        <sz val="11"/>
        <color theme="1"/>
        <rFont val="Noto Sans CJK SC"/>
        <family val="2"/>
      </rPr>
      <t xml:space="preserve">や</t>
    </r>
    <r>
      <rPr>
        <sz val="11"/>
        <color theme="1"/>
        <rFont val="游ゴシック"/>
        <family val="2"/>
        <charset val="128"/>
      </rPr>
      <t xml:space="preserve">WinRM</t>
    </r>
    <r>
      <rPr>
        <sz val="11"/>
        <color theme="1"/>
        <rFont val="Noto Sans CJK SC"/>
        <family val="2"/>
      </rPr>
      <t xml:space="preserve">、</t>
    </r>
    <r>
      <rPr>
        <sz val="11"/>
        <color theme="1"/>
        <rFont val="游ゴシック"/>
        <family val="2"/>
        <charset val="128"/>
      </rPr>
      <t xml:space="preserve">SSH</t>
    </r>
    <r>
      <rPr>
        <sz val="11"/>
        <color theme="1"/>
        <rFont val="Noto Sans CJK SC"/>
        <family val="2"/>
      </rPr>
      <t xml:space="preserve">、</t>
    </r>
    <r>
      <rPr>
        <sz val="11"/>
        <color theme="1"/>
        <rFont val="游ゴシック"/>
        <family val="2"/>
        <charset val="128"/>
      </rPr>
      <t xml:space="preserve">PowerShell Remoting</t>
    </r>
    <r>
      <rPr>
        <sz val="11"/>
        <color theme="1"/>
        <rFont val="Noto Sans CJK SC"/>
        <family val="2"/>
      </rPr>
      <t xml:space="preserve">などのリモートサービス経由でアクセス。
多要素認証や端末認証の不備があれば、正規ユーザーまたは管理者権限でログインできる。
</t>
    </r>
    <r>
      <rPr>
        <sz val="11"/>
        <color theme="1"/>
        <rFont val="游ゴシック"/>
        <family val="2"/>
        <charset val="128"/>
      </rPr>
      <t xml:space="preserve">2. </t>
    </r>
    <r>
      <rPr>
        <sz val="11"/>
        <color theme="1"/>
        <rFont val="Noto Sans CJK SC"/>
        <family val="2"/>
      </rPr>
      <t xml:space="preserve">認証バイパスと権限昇格
ドメインアカウントを悪用し、認証プロセスをバイパス、</t>
    </r>
    <r>
      <rPr>
        <sz val="11"/>
        <color theme="1"/>
        <rFont val="游ゴシック"/>
        <family val="2"/>
        <charset val="128"/>
      </rPr>
      <t xml:space="preserve">VDI</t>
    </r>
    <r>
      <rPr>
        <sz val="11"/>
        <color theme="1"/>
        <rFont val="Noto Sans CJK SC"/>
        <family val="2"/>
      </rPr>
      <t xml:space="preserve">認証サーバ設定の不備を突いて本来不要な権限昇格や認証設定の変更（例：不正な証明書追加・</t>
    </r>
    <r>
      <rPr>
        <sz val="11"/>
        <color theme="1"/>
        <rFont val="游ゴシック"/>
        <family val="2"/>
        <charset val="128"/>
      </rPr>
      <t xml:space="preserve">MFA</t>
    </r>
    <r>
      <rPr>
        <sz val="11"/>
        <color theme="1"/>
        <rFont val="Noto Sans CJK SC"/>
        <family val="2"/>
      </rPr>
      <t xml:space="preserve">無効化）。</t>
    </r>
  </si>
  <si>
    <t xml:space="preserve">T1578.004_VDI Auth Server</t>
  </si>
  <si>
    <r>
      <rPr>
        <sz val="11"/>
        <color theme="1"/>
        <rFont val="Noto Sans CJK SC"/>
        <family val="2"/>
      </rPr>
      <t xml:space="preserve">攻撃者は</t>
    </r>
    <r>
      <rPr>
        <sz val="11"/>
        <color theme="1"/>
        <rFont val="游ゴシック"/>
        <family val="2"/>
        <charset val="128"/>
      </rPr>
      <t xml:space="preserve">VDI</t>
    </r>
    <r>
      <rPr>
        <sz val="11"/>
        <color theme="1"/>
        <rFont val="Noto Sans CJK SC"/>
        <family val="2"/>
      </rPr>
      <t xml:space="preserve">認証サーバが稼働する仮想マシンやコンテナ環境に対し、クラウドの管理コンソールや</t>
    </r>
    <r>
      <rPr>
        <sz val="11"/>
        <color theme="1"/>
        <rFont val="游ゴシック"/>
        <family val="2"/>
        <charset val="128"/>
      </rPr>
      <t xml:space="preserve">API</t>
    </r>
    <r>
      <rPr>
        <sz val="11"/>
        <color theme="1"/>
        <rFont val="Noto Sans CJK SC"/>
        <family val="2"/>
      </rPr>
      <t xml:space="preserve">経由で「スナップショットからの復元」操作を悪用。以前の脆弱状態の構成に戻すことで、一度削除されたバックドアや緩い認証設定を再び有効化。これにより</t>
    </r>
    <r>
      <rPr>
        <sz val="11"/>
        <color theme="1"/>
        <rFont val="游ゴシック"/>
        <family val="2"/>
        <charset val="128"/>
      </rPr>
      <t xml:space="preserve">ZTNA</t>
    </r>
    <r>
      <rPr>
        <sz val="11"/>
        <color theme="1"/>
        <rFont val="Noto Sans CJK SC"/>
        <family val="2"/>
      </rPr>
      <t xml:space="preserve">や</t>
    </r>
    <r>
      <rPr>
        <sz val="11"/>
        <color theme="1"/>
        <rFont val="游ゴシック"/>
        <family val="2"/>
        <charset val="128"/>
      </rPr>
      <t xml:space="preserve">SASE</t>
    </r>
    <r>
      <rPr>
        <sz val="11"/>
        <color theme="1"/>
        <rFont val="Noto Sans CJK SC"/>
        <family val="2"/>
      </rPr>
      <t xml:space="preserve">のセキュリティ境界をバイパスし、攻撃に都合の良い状態へ巻き戻すことが可能。</t>
    </r>
    <r>
      <rPr>
        <sz val="11"/>
        <color theme="1"/>
        <rFont val="游ゴシック"/>
        <family val="2"/>
        <charset val="128"/>
      </rPr>
      <t xml:space="preserve">SaaS</t>
    </r>
    <r>
      <rPr>
        <sz val="11"/>
        <color theme="1"/>
        <rFont val="Noto Sans CJK SC"/>
        <family val="2"/>
      </rPr>
      <t xml:space="preserve">管理の甘さやログ監視の盲点が突かれる。</t>
    </r>
  </si>
  <si>
    <t xml:space="preserve">T1484.002_VDI Auth Server</t>
  </si>
  <si>
    <r>
      <rPr>
        <sz val="11"/>
        <color theme="1"/>
        <rFont val="Noto Sans CJK SC"/>
        <family val="2"/>
      </rPr>
      <t xml:space="preserve">攻撃者は</t>
    </r>
    <r>
      <rPr>
        <sz val="11"/>
        <color theme="1"/>
        <rFont val="游ゴシック"/>
        <family val="2"/>
        <charset val="128"/>
      </rPr>
      <t xml:space="preserve">VDI</t>
    </r>
    <r>
      <rPr>
        <sz val="11"/>
        <color theme="1"/>
        <rFont val="Noto Sans CJK SC"/>
        <family val="2"/>
      </rPr>
      <t xml:space="preserve">認証環境のクラウド</t>
    </r>
    <r>
      <rPr>
        <sz val="11"/>
        <color theme="1"/>
        <rFont val="游ゴシック"/>
        <family val="2"/>
        <charset val="128"/>
      </rPr>
      <t xml:space="preserve">ID</t>
    </r>
    <r>
      <rPr>
        <sz val="11"/>
        <color theme="1"/>
        <rFont val="Noto Sans CJK SC"/>
        <family val="2"/>
      </rPr>
      <t xml:space="preserve">基盤（例：</t>
    </r>
    <r>
      <rPr>
        <sz val="11"/>
        <color theme="1"/>
        <rFont val="游ゴシック"/>
        <family val="2"/>
        <charset val="128"/>
      </rPr>
      <t xml:space="preserve">Azure AD, Okta</t>
    </r>
    <r>
      <rPr>
        <sz val="11"/>
        <color theme="1"/>
        <rFont val="Noto Sans CJK SC"/>
        <family val="2"/>
      </rPr>
      <t xml:space="preserve">）に対し、信頼設定や条件付きアクセスルールを不正に変更。たとえば、外部</t>
    </r>
    <r>
      <rPr>
        <sz val="11"/>
        <color theme="1"/>
        <rFont val="游ゴシック"/>
        <family val="2"/>
        <charset val="128"/>
      </rPr>
      <t xml:space="preserve">ID</t>
    </r>
    <r>
      <rPr>
        <sz val="11"/>
        <color theme="1"/>
        <rFont val="Noto Sans CJK SC"/>
        <family val="2"/>
      </rPr>
      <t xml:space="preserve">連携設定の追加・緩和、</t>
    </r>
    <r>
      <rPr>
        <sz val="11"/>
        <color theme="1"/>
        <rFont val="游ゴシック"/>
        <family val="2"/>
        <charset val="128"/>
      </rPr>
      <t xml:space="preserve">MFA</t>
    </r>
    <r>
      <rPr>
        <sz val="11"/>
        <color theme="1"/>
        <rFont val="Noto Sans CJK SC"/>
        <family val="2"/>
      </rPr>
      <t xml:space="preserve">要件の除外、</t>
    </r>
    <r>
      <rPr>
        <sz val="11"/>
        <color theme="1"/>
        <rFont val="游ゴシック"/>
        <family val="2"/>
        <charset val="128"/>
      </rPr>
      <t xml:space="preserve">IP</t>
    </r>
    <r>
      <rPr>
        <sz val="11"/>
        <color theme="1"/>
        <rFont val="Noto Sans CJK SC"/>
        <family val="2"/>
      </rPr>
      <t xml:space="preserve">フィルタ制限の解除などが行われることで、</t>
    </r>
    <r>
      <rPr>
        <sz val="11"/>
        <color theme="1"/>
        <rFont val="游ゴシック"/>
        <family val="2"/>
        <charset val="128"/>
      </rPr>
      <t xml:space="preserve">ZTNA</t>
    </r>
    <r>
      <rPr>
        <sz val="11"/>
        <color theme="1"/>
        <rFont val="Noto Sans CJK SC"/>
        <family val="2"/>
      </rPr>
      <t xml:space="preserve">が想定するセキュリティ境界が緩み、なりすましや横展開が一層容易に。これらの操作はクラウド</t>
    </r>
    <r>
      <rPr>
        <sz val="11"/>
        <color theme="1"/>
        <rFont val="游ゴシック"/>
        <family val="2"/>
        <charset val="128"/>
      </rPr>
      <t xml:space="preserve">API</t>
    </r>
    <r>
      <rPr>
        <sz val="11"/>
        <color theme="1"/>
        <rFont val="Noto Sans CJK SC"/>
        <family val="2"/>
      </rPr>
      <t xml:space="preserve">経由で行えるため、検知が遅れると複数システムへの波及もありうる。</t>
    </r>
  </si>
  <si>
    <t xml:space="preserve">Purpose</t>
  </si>
  <si>
    <t xml:space="preserve">Convert SPRV Pi/Mi to IPA Threat/Mitigation (3-level)</t>
  </si>
  <si>
    <t xml:space="preserve">Threat rule</t>
  </si>
  <si>
    <t xml:space="preserve">Pi&lt;=0.2 =&gt; 1 ; 0.2&lt;Pi&lt;=0.5 =&gt; 2 ; Pi&gt;0.5 =&gt; 3</t>
  </si>
  <si>
    <t xml:space="preserve">Mitigation rule</t>
  </si>
  <si>
    <t xml:space="preserve">Mi&lt;=0.2 =&gt; 3 ; 0.2&lt;Mi&lt;=0.5 =&gt; 2 ; Mi&gt;0.5 =&gt; 1</t>
  </si>
  <si>
    <t xml:space="preserve">Overall rule</t>
  </si>
  <si>
    <t xml:space="preserve">Business Impact / Threat / Mitigation are each the maximum across Step1-Step4</t>
  </si>
  <si>
    <t xml:space="preserve">AttackPathRow</t>
  </si>
  <si>
    <t xml:space="preserve">StepNo</t>
  </si>
  <si>
    <t xml:space="preserve">Original_Technique_Cell</t>
  </si>
  <si>
    <t xml:space="preserve">Technique_ID_norm</t>
  </si>
  <si>
    <t xml:space="preserve">Source_Pi</t>
  </si>
  <si>
    <t xml:space="preserve">IPA_Threat</t>
  </si>
  <si>
    <t xml:space="preserve">Source_Mi</t>
  </si>
  <si>
    <t xml:space="preserve">IPA_Mitigation</t>
  </si>
  <si>
    <t xml:space="preserve">T1566.002_Business Workstation</t>
  </si>
  <si>
    <t xml:space="preserve">T1566.002</t>
  </si>
  <si>
    <t xml:space="preserve">T1578.002</t>
  </si>
  <si>
    <t xml:space="preserve">T1651</t>
  </si>
  <si>
    <t xml:space="preserve">T1555.006</t>
  </si>
  <si>
    <t xml:space="preserve">T1059.009</t>
  </si>
  <si>
    <t xml:space="preserve">T1484.002</t>
  </si>
  <si>
    <t xml:space="preserve">T1021.007</t>
  </si>
  <si>
    <t xml:space="preserve">T1578.004</t>
  </si>
  <si>
    <t xml:space="preserve">総合採点ルール</t>
  </si>
  <si>
    <r>
      <rPr>
        <sz val="11"/>
        <color theme="1"/>
        <rFont val="Noto Sans CJK SC"/>
        <family val="2"/>
      </rPr>
      <t xml:space="preserve">各攻撃ツリーの</t>
    </r>
    <r>
      <rPr>
        <sz val="11"/>
        <color theme="1"/>
        <rFont val="游ゴシック"/>
        <family val="2"/>
        <charset val="128"/>
      </rPr>
      <t xml:space="preserve">4</t>
    </r>
    <r>
      <rPr>
        <sz val="11"/>
        <color theme="1"/>
        <rFont val="Noto Sans CJK SC"/>
        <family val="2"/>
      </rPr>
      <t xml:space="preserve">つの攻撃ステップのうち最大値を採用</t>
    </r>
  </si>
  <si>
    <r>
      <rPr>
        <sz val="11"/>
        <color theme="1"/>
        <rFont val="游ゴシック"/>
        <family val="2"/>
        <charset val="128"/>
      </rPr>
      <t xml:space="preserve">SPRV</t>
    </r>
    <r>
      <rPr>
        <sz val="11"/>
        <color theme="1"/>
        <rFont val="Noto Sans CJK SC"/>
        <family val="2"/>
      </rPr>
      <t xml:space="preserve">の</t>
    </r>
    <r>
      <rPr>
        <sz val="11"/>
        <color theme="1"/>
        <rFont val="游ゴシック"/>
        <family val="2"/>
        <charset val="128"/>
      </rPr>
      <t xml:space="preserve">Pi</t>
    </r>
    <r>
      <rPr>
        <sz val="11"/>
        <color theme="1"/>
        <rFont val="Noto Sans CJK SC"/>
        <family val="2"/>
      </rPr>
      <t xml:space="preserve">を</t>
    </r>
    <r>
      <rPr>
        <sz val="11"/>
        <color theme="1"/>
        <rFont val="游ゴシック"/>
        <family val="2"/>
        <charset val="128"/>
      </rPr>
      <t xml:space="preserve">3</t>
    </r>
    <r>
      <rPr>
        <sz val="11"/>
        <color theme="1"/>
        <rFont val="Noto Sans CJK SC"/>
        <family val="2"/>
      </rPr>
      <t xml:space="preserve">段階変換した各</t>
    </r>
    <r>
      <rPr>
        <sz val="11"/>
        <color theme="1"/>
        <rFont val="游ゴシック"/>
        <family val="2"/>
        <charset val="128"/>
      </rPr>
      <t xml:space="preserve">Step</t>
    </r>
    <r>
      <rPr>
        <sz val="11"/>
        <color theme="1"/>
        <rFont val="Noto Sans CJK SC"/>
        <family val="2"/>
      </rPr>
      <t xml:space="preserve">値のうち最大値を採用</t>
    </r>
  </si>
  <si>
    <r>
      <rPr>
        <sz val="11"/>
        <color theme="1"/>
        <rFont val="游ゴシック"/>
        <family val="2"/>
        <charset val="128"/>
      </rPr>
      <t xml:space="preserve">SPRV</t>
    </r>
    <r>
      <rPr>
        <sz val="11"/>
        <color theme="1"/>
        <rFont val="Noto Sans CJK SC"/>
        <family val="2"/>
      </rPr>
      <t xml:space="preserve">の</t>
    </r>
    <r>
      <rPr>
        <sz val="11"/>
        <color theme="1"/>
        <rFont val="游ゴシック"/>
        <family val="2"/>
        <charset val="128"/>
      </rPr>
      <t xml:space="preserve">Mi</t>
    </r>
    <r>
      <rPr>
        <sz val="11"/>
        <color theme="1"/>
        <rFont val="Noto Sans CJK SC"/>
        <family val="2"/>
      </rPr>
      <t xml:space="preserve">を</t>
    </r>
    <r>
      <rPr>
        <sz val="11"/>
        <color theme="1"/>
        <rFont val="游ゴシック"/>
        <family val="2"/>
        <charset val="128"/>
      </rPr>
      <t xml:space="preserve">3</t>
    </r>
    <r>
      <rPr>
        <sz val="11"/>
        <color theme="1"/>
        <rFont val="Noto Sans CJK SC"/>
        <family val="2"/>
      </rPr>
      <t xml:space="preserve">段階変換した各</t>
    </r>
    <r>
      <rPr>
        <sz val="11"/>
        <color theme="1"/>
        <rFont val="游ゴシック"/>
        <family val="2"/>
        <charset val="128"/>
      </rPr>
      <t xml:space="preserve">Step</t>
    </r>
    <r>
      <rPr>
        <sz val="11"/>
        <color theme="1"/>
        <rFont val="Noto Sans CJK SC"/>
        <family val="2"/>
      </rPr>
      <t xml:space="preserve">値のうち最大値を採用</t>
    </r>
  </si>
  <si>
    <t xml:space="preserve">Vulnerability = 4 - Mitigation</t>
  </si>
  <si>
    <r>
      <rPr>
        <sz val="11"/>
        <color theme="1"/>
        <rFont val="游ゴシック"/>
        <family val="2"/>
        <charset val="128"/>
      </rPr>
      <t xml:space="preserve">Pi→Threat</t>
    </r>
    <r>
      <rPr>
        <sz val="11"/>
        <color theme="1"/>
        <rFont val="Noto Sans CJK SC"/>
        <family val="2"/>
      </rPr>
      <t xml:space="preserve">変換</t>
    </r>
  </si>
  <si>
    <r>
      <rPr>
        <sz val="11"/>
        <color theme="1"/>
        <rFont val="游ゴシック"/>
        <family val="2"/>
        <charset val="128"/>
      </rPr>
      <t xml:space="preserve">Mi→Mitigation</t>
    </r>
    <r>
      <rPr>
        <sz val="11"/>
        <color theme="1"/>
        <rFont val="Noto Sans CJK SC"/>
        <family val="2"/>
      </rPr>
      <t xml:space="preserve">変換</t>
    </r>
  </si>
  <si>
    <t xml:space="preserve">リスク判定</t>
  </si>
  <si>
    <t xml:space="preserve">A</t>
  </si>
  <si>
    <r>
      <rPr>
        <sz val="11"/>
        <color theme="1"/>
        <rFont val="游ゴシック"/>
        <family val="2"/>
        <charset val="128"/>
      </rPr>
      <t xml:space="preserve">Business Impact=3 </t>
    </r>
    <r>
      <rPr>
        <sz val="11"/>
        <color theme="1"/>
        <rFont val="Noto Sans CJK SC"/>
        <family val="2"/>
      </rPr>
      <t xml:space="preserve">かつ </t>
    </r>
    <r>
      <rPr>
        <sz val="11"/>
        <color theme="1"/>
        <rFont val="游ゴシック"/>
        <family val="2"/>
        <charset val="128"/>
      </rPr>
      <t xml:space="preserve">6&lt;=Threat×Vulnerability&lt;=9</t>
    </r>
  </si>
  <si>
    <t xml:space="preserve">B</t>
  </si>
  <si>
    <r>
      <rPr>
        <sz val="11"/>
        <color theme="1"/>
        <rFont val="游ゴシック"/>
        <family val="2"/>
        <charset val="128"/>
      </rPr>
      <t xml:space="preserve">Business Impact=3 </t>
    </r>
    <r>
      <rPr>
        <sz val="11"/>
        <color theme="1"/>
        <rFont val="Noto Sans CJK SC"/>
        <family val="2"/>
      </rPr>
      <t xml:space="preserve">かつ </t>
    </r>
    <r>
      <rPr>
        <sz val="11"/>
        <color theme="1"/>
        <rFont val="游ゴシック"/>
        <family val="2"/>
        <charset val="128"/>
      </rPr>
      <t xml:space="preserve">3&lt;=Threat×Vulnerability&lt;6, </t>
    </r>
    <r>
      <rPr>
        <sz val="11"/>
        <color theme="1"/>
        <rFont val="Noto Sans CJK SC"/>
        <family val="2"/>
      </rPr>
      <t xml:space="preserve">または </t>
    </r>
    <r>
      <rPr>
        <sz val="11"/>
        <color theme="1"/>
        <rFont val="游ゴシック"/>
        <family val="2"/>
        <charset val="128"/>
      </rPr>
      <t xml:space="preserve">Business Impact=2 </t>
    </r>
    <r>
      <rPr>
        <sz val="11"/>
        <color theme="1"/>
        <rFont val="Noto Sans CJK SC"/>
        <family val="2"/>
      </rPr>
      <t xml:space="preserve">かつ </t>
    </r>
    <r>
      <rPr>
        <sz val="11"/>
        <color theme="1"/>
        <rFont val="游ゴシック"/>
        <family val="2"/>
        <charset val="128"/>
      </rPr>
      <t xml:space="preserve">6&lt;=Threat×Vulnerability&lt;=9</t>
    </r>
  </si>
  <si>
    <t xml:space="preserve">C</t>
  </si>
  <si>
    <r>
      <rPr>
        <sz val="11"/>
        <color theme="1"/>
        <rFont val="游ゴシック"/>
        <family val="2"/>
        <charset val="128"/>
      </rPr>
      <t xml:space="preserve">Business Impact=3 </t>
    </r>
    <r>
      <rPr>
        <sz val="11"/>
        <color theme="1"/>
        <rFont val="Noto Sans CJK SC"/>
        <family val="2"/>
      </rPr>
      <t xml:space="preserve">かつ </t>
    </r>
    <r>
      <rPr>
        <sz val="11"/>
        <color theme="1"/>
        <rFont val="游ゴシック"/>
        <family val="2"/>
        <charset val="128"/>
      </rPr>
      <t xml:space="preserve">Threat×Vulnerability&lt;3, </t>
    </r>
    <r>
      <rPr>
        <sz val="11"/>
        <color theme="1"/>
        <rFont val="Noto Sans CJK SC"/>
        <family val="2"/>
      </rPr>
      <t xml:space="preserve">または </t>
    </r>
    <r>
      <rPr>
        <sz val="11"/>
        <color theme="1"/>
        <rFont val="游ゴシック"/>
        <family val="2"/>
        <charset val="128"/>
      </rPr>
      <t xml:space="preserve">Business Impact=2 </t>
    </r>
    <r>
      <rPr>
        <sz val="11"/>
        <color theme="1"/>
        <rFont val="Noto Sans CJK SC"/>
        <family val="2"/>
      </rPr>
      <t xml:space="preserve">かつ </t>
    </r>
    <r>
      <rPr>
        <sz val="11"/>
        <color theme="1"/>
        <rFont val="游ゴシック"/>
        <family val="2"/>
        <charset val="128"/>
      </rPr>
      <t xml:space="preserve">3&lt;=Threat×Vulnerability&lt;6, </t>
    </r>
    <r>
      <rPr>
        <sz val="11"/>
        <color theme="1"/>
        <rFont val="Noto Sans CJK SC"/>
        <family val="2"/>
      </rPr>
      <t xml:space="preserve">または </t>
    </r>
    <r>
      <rPr>
        <sz val="11"/>
        <color theme="1"/>
        <rFont val="游ゴシック"/>
        <family val="2"/>
        <charset val="128"/>
      </rPr>
      <t xml:space="preserve">Business Impact=1 </t>
    </r>
    <r>
      <rPr>
        <sz val="11"/>
        <color theme="1"/>
        <rFont val="Noto Sans CJK SC"/>
        <family val="2"/>
      </rPr>
      <t xml:space="preserve">かつ </t>
    </r>
    <r>
      <rPr>
        <sz val="11"/>
        <color theme="1"/>
        <rFont val="游ゴシック"/>
        <family val="2"/>
        <charset val="128"/>
      </rPr>
      <t xml:space="preserve">6&lt;=Threat×Vulnerability&lt;=9</t>
    </r>
  </si>
  <si>
    <t xml:space="preserve">D</t>
  </si>
  <si>
    <r>
      <rPr>
        <sz val="11"/>
        <color theme="1"/>
        <rFont val="游ゴシック"/>
        <family val="2"/>
        <charset val="128"/>
      </rPr>
      <t xml:space="preserve">Business Impact=2 </t>
    </r>
    <r>
      <rPr>
        <sz val="11"/>
        <color theme="1"/>
        <rFont val="Noto Sans CJK SC"/>
        <family val="2"/>
      </rPr>
      <t xml:space="preserve">かつ </t>
    </r>
    <r>
      <rPr>
        <sz val="11"/>
        <color theme="1"/>
        <rFont val="游ゴシック"/>
        <family val="2"/>
        <charset val="128"/>
      </rPr>
      <t xml:space="preserve">Threat×Vulnerability&lt;3, </t>
    </r>
    <r>
      <rPr>
        <sz val="11"/>
        <color theme="1"/>
        <rFont val="Noto Sans CJK SC"/>
        <family val="2"/>
      </rPr>
      <t xml:space="preserve">または </t>
    </r>
    <r>
      <rPr>
        <sz val="11"/>
        <color theme="1"/>
        <rFont val="游ゴシック"/>
        <family val="2"/>
        <charset val="128"/>
      </rPr>
      <t xml:space="preserve">Business Impact=1 </t>
    </r>
    <r>
      <rPr>
        <sz val="11"/>
        <color theme="1"/>
        <rFont val="Noto Sans CJK SC"/>
        <family val="2"/>
      </rPr>
      <t xml:space="preserve">かつ </t>
    </r>
    <r>
      <rPr>
        <sz val="11"/>
        <color theme="1"/>
        <rFont val="游ゴシック"/>
        <family val="2"/>
        <charset val="128"/>
      </rPr>
      <t xml:space="preserve">3&lt;=Threat×Vulnerability&lt;6</t>
    </r>
  </si>
  <si>
    <t xml:space="preserve">E</t>
  </si>
  <si>
    <r>
      <rPr>
        <sz val="11"/>
        <color theme="1"/>
        <rFont val="游ゴシック"/>
        <family val="2"/>
        <charset val="128"/>
      </rPr>
      <t xml:space="preserve">Business Impact=1 </t>
    </r>
    <r>
      <rPr>
        <sz val="11"/>
        <color theme="1"/>
        <rFont val="Noto Sans CJK SC"/>
        <family val="2"/>
      </rPr>
      <t xml:space="preserve">かつ </t>
    </r>
    <r>
      <rPr>
        <sz val="11"/>
        <color theme="1"/>
        <rFont val="游ゴシック"/>
        <family val="2"/>
        <charset val="128"/>
      </rPr>
      <t xml:space="preserve">Threat×Vulnerability&lt;3</t>
    </r>
  </si>
</sst>
</file>

<file path=xl/styles.xml><?xml version="1.0" encoding="utf-8"?>
<styleSheet xmlns="http://schemas.openxmlformats.org/spreadsheetml/2006/main">
  <numFmts count="1">
    <numFmt numFmtId="164" formatCode="General"/>
  </numFmts>
  <fonts count="7">
    <font>
      <sz val="11"/>
      <color theme="1"/>
      <name val="游ゴシック"/>
      <family val="2"/>
      <charset val="128"/>
    </font>
    <font>
      <sz val="10"/>
      <name val="Arial"/>
      <family val="0"/>
    </font>
    <font>
      <sz val="10"/>
      <name val="Arial"/>
      <family val="0"/>
    </font>
    <font>
      <sz val="10"/>
      <name val="Arial"/>
      <family val="0"/>
    </font>
    <font>
      <sz val="11"/>
      <color theme="1"/>
      <name val="Noto Sans CJK SC"/>
      <family val="2"/>
    </font>
    <font>
      <b val="true"/>
      <sz val="11"/>
      <name val="游ゴシック"/>
      <family val="3"/>
      <charset val="128"/>
    </font>
    <font>
      <b val="true"/>
      <sz val="11"/>
      <name val="Noto Sans CJK SC"/>
      <family val="2"/>
    </font>
  </fonts>
  <fills count="3">
    <fill>
      <patternFill patternType="none"/>
    </fill>
    <fill>
      <patternFill patternType="gray125"/>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center" textRotation="0" wrapText="false" indent="0" shrinkToFit="false"/>
      <protection locked="true" hidden="false"/>
    </xf>
    <xf numFmtId="164" fontId="0"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2013 - 2022 テーマ">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6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3" activeCellId="0" sqref="A3"/>
    </sheetView>
  </sheetViews>
  <sheetFormatPr defaultColWidth="8.5390625" defaultRowHeight="18" zeroHeight="false" outlineLevelRow="0" outlineLevelCol="0"/>
  <cols>
    <col collapsed="false" customWidth="true" hidden="false" outlineLevel="0" max="1" min="1" style="1" width="48.16"/>
    <col collapsed="false" customWidth="true" hidden="false" outlineLevel="0" max="2" min="2" style="1" width="20.08"/>
    <col collapsed="false" customWidth="true" hidden="false" outlineLevel="0" max="8" min="8" style="1" width="9"/>
    <col collapsed="false" customWidth="true" hidden="false" outlineLevel="0" max="9" min="9" style="1" width="40.5"/>
    <col collapsed="false" customWidth="true" hidden="false" outlineLevel="0" max="16" min="16" style="1" width="9"/>
    <col collapsed="false" customWidth="true" hidden="false" outlineLevel="0" max="17" min="17" style="1" width="19.83"/>
    <col collapsed="false" customWidth="true" hidden="false" outlineLevel="0" max="24" min="24" style="1" width="93"/>
    <col collapsed="false" customWidth="true" hidden="false" outlineLevel="0" max="25" min="25" style="1" width="57.66"/>
    <col collapsed="false" customWidth="true" hidden="false" outlineLevel="0" max="26" min="26" style="1" width="55.92"/>
    <col collapsed="false" customWidth="true" hidden="false" outlineLevel="0" max="29" min="29" style="1" width="14.42"/>
  </cols>
  <sheetData>
    <row r="1" customFormat="false" ht="18" hidden="false" customHeight="false" outlineLevel="0" collapsed="false">
      <c r="A1" s="1" t="s">
        <v>0</v>
      </c>
      <c r="B1" s="1" t="s">
        <v>1</v>
      </c>
      <c r="C1" s="2" t="s">
        <v>2</v>
      </c>
      <c r="D1" s="2" t="s">
        <v>3</v>
      </c>
      <c r="E1" s="2" t="s">
        <v>4</v>
      </c>
      <c r="F1" s="2" t="s">
        <v>5</v>
      </c>
      <c r="G1" s="2" t="s">
        <v>6</v>
      </c>
      <c r="H1" s="3" t="s">
        <v>7</v>
      </c>
      <c r="I1" s="1" t="s">
        <v>8</v>
      </c>
      <c r="J1" s="2" t="s">
        <v>1</v>
      </c>
      <c r="K1" s="2" t="s">
        <v>2</v>
      </c>
      <c r="L1" s="2" t="s">
        <v>3</v>
      </c>
      <c r="M1" s="2" t="s">
        <v>4</v>
      </c>
      <c r="N1" s="2" t="s">
        <v>5</v>
      </c>
      <c r="O1" s="2" t="s">
        <v>6</v>
      </c>
      <c r="P1" s="3" t="s">
        <v>7</v>
      </c>
      <c r="Q1" s="1" t="s">
        <v>9</v>
      </c>
      <c r="R1" s="2" t="s">
        <v>1</v>
      </c>
      <c r="S1" s="2" t="s">
        <v>2</v>
      </c>
      <c r="T1" s="2" t="s">
        <v>3</v>
      </c>
      <c r="U1" s="2" t="s">
        <v>4</v>
      </c>
      <c r="V1" s="2" t="s">
        <v>5</v>
      </c>
      <c r="W1" s="2" t="s">
        <v>6</v>
      </c>
      <c r="X1" s="3" t="s">
        <v>7</v>
      </c>
      <c r="Y1" s="1" t="s">
        <v>10</v>
      </c>
      <c r="Z1" s="1" t="s">
        <v>1</v>
      </c>
      <c r="AA1" s="2" t="s">
        <v>2</v>
      </c>
      <c r="AB1" s="2" t="s">
        <v>3</v>
      </c>
      <c r="AC1" s="1" t="s">
        <v>4</v>
      </c>
      <c r="AD1" s="2" t="s">
        <v>5</v>
      </c>
      <c r="AE1" s="2" t="s">
        <v>6</v>
      </c>
      <c r="AF1" s="4" t="s">
        <v>7</v>
      </c>
      <c r="AI1" s="2" t="s">
        <v>2</v>
      </c>
      <c r="AJ1" s="2" t="s">
        <v>3</v>
      </c>
      <c r="AK1" s="2" t="s">
        <v>4</v>
      </c>
      <c r="AL1" s="2" t="s">
        <v>5</v>
      </c>
      <c r="AM1" s="2" t="s">
        <v>6</v>
      </c>
      <c r="AN1" s="4" t="s">
        <v>11</v>
      </c>
    </row>
    <row r="2" customFormat="false" ht="234.3" hidden="false" customHeight="false" outlineLevel="0" collapsed="false">
      <c r="A2" s="5" t="s">
        <v>12</v>
      </c>
      <c r="B2" s="3" t="s">
        <v>13</v>
      </c>
      <c r="C2" s="0" t="n">
        <v>3</v>
      </c>
      <c r="D2" s="5" t="n">
        <v>3</v>
      </c>
      <c r="E2" s="5" t="n">
        <v>2</v>
      </c>
      <c r="F2" s="5" t="n">
        <f aca="false">4-E2</f>
        <v>2</v>
      </c>
      <c r="G2" s="6" t="str">
        <f aca="false">IF(AND(C2=3,D2*F2&gt;=6),"A",IF(AND(C2=3,D2*F2&gt;=3),"B",IF(AND(C2=3,D2*F2&gt;=1),"C","")))</f>
        <v>A</v>
      </c>
      <c r="H2" s="7" t="s">
        <v>14</v>
      </c>
      <c r="I2" s="5" t="s">
        <v>15</v>
      </c>
      <c r="J2" s="8" t="s">
        <v>16</v>
      </c>
      <c r="K2" s="0" t="n">
        <v>3</v>
      </c>
      <c r="L2" s="5" t="n">
        <v>3</v>
      </c>
      <c r="M2" s="5" t="n">
        <v>2</v>
      </c>
      <c r="N2" s="5" t="n">
        <f aca="false">4-M2</f>
        <v>2</v>
      </c>
      <c r="O2" s="6" t="str">
        <f aca="false">IF(AND(K2=3,L2*N2&gt;=6),"A",IF(AND(K2=3,L2*N2&gt;=3),"B",IF(AND(K2=3,L2*N2&gt;=1),"C","")))</f>
        <v>A</v>
      </c>
      <c r="P2" s="1" t="n">
        <v>1</v>
      </c>
      <c r="Q2" s="5" t="s">
        <v>17</v>
      </c>
      <c r="R2" s="8" t="s">
        <v>18</v>
      </c>
      <c r="S2" s="0" t="n">
        <v>3</v>
      </c>
      <c r="T2" s="5" t="n">
        <v>3</v>
      </c>
      <c r="U2" s="5" t="n">
        <v>3</v>
      </c>
      <c r="V2" s="5" t="n">
        <f aca="false">4-U2</f>
        <v>1</v>
      </c>
      <c r="W2" s="6" t="str">
        <f aca="false">IF(AND(S2=3,T2*V2&gt;=6),"A",IF(AND(S2=3,T2*V2&gt;=3),"B",IF(AND(S2=3,T2*V2&gt;=1),"C","")))</f>
        <v>B</v>
      </c>
      <c r="X2" s="9" t="s">
        <v>19</v>
      </c>
      <c r="Y2" s="5" t="s">
        <v>20</v>
      </c>
      <c r="Z2" s="3" t="s">
        <v>21</v>
      </c>
      <c r="AA2" s="0" t="n">
        <v>3</v>
      </c>
      <c r="AB2" s="5" t="n">
        <v>3</v>
      </c>
      <c r="AC2" s="5" t="n">
        <v>2</v>
      </c>
      <c r="AD2" s="5" t="n">
        <f aca="false">4-AC2</f>
        <v>2</v>
      </c>
      <c r="AE2" s="6" t="str">
        <f aca="false">IF(AND(AA2=3,AB2*AD2&gt;=6),"A",IF(AND(AA2=3,AB2*AD2&gt;=3),"B",IF(AND(AA2=3,AB2*AD2&gt;=1),"C","")))</f>
        <v>A</v>
      </c>
      <c r="AF2" s="4" t="s">
        <v>22</v>
      </c>
      <c r="AI2" s="5" t="n">
        <v>3</v>
      </c>
      <c r="AJ2" s="5" t="n">
        <v>3</v>
      </c>
      <c r="AK2" s="5" t="n">
        <f aca="false">MAX(E2,M2,U2,AC2)</f>
        <v>3</v>
      </c>
      <c r="AL2" s="5" t="n">
        <f aca="false">4-AK2</f>
        <v>1</v>
      </c>
      <c r="AM2" s="6" t="str">
        <f aca="false">IF(AND(AI2=3,AJ2*AL2&gt;=6),"A",IF(AND(AI2=3,AJ2*AL2&gt;=3),"B",IF(AND(AI2=3,AJ2*AL2&gt;=1),"C","")))</f>
        <v>B</v>
      </c>
      <c r="AN2" s="5" t="str">
        <f aca="false">"Scenario-level Threat=3; Step1="&amp;G2&amp;" Step2="&amp;O2&amp;" Step3="&amp;W2&amp;" Step4="&amp;AE2&amp;" ; Overall Threat fixed=3, Max Mitigation="&amp;AK2&amp;" =&gt; Overall="&amp;AM2</f>
        <v>Scenario-level Threat=3; Step1=A Step2=A Step3=B Step4=A ; Overall Threat fixed=3, Max Mitigation=3 =&gt; Overall=B</v>
      </c>
    </row>
    <row r="3" customFormat="false" ht="234.3" hidden="false" customHeight="false" outlineLevel="0" collapsed="false">
      <c r="A3" s="5" t="s">
        <v>12</v>
      </c>
      <c r="B3" s="3" t="s">
        <v>13</v>
      </c>
      <c r="C3" s="0" t="n">
        <v>3</v>
      </c>
      <c r="D3" s="5" t="n">
        <v>3</v>
      </c>
      <c r="E3" s="5" t="n">
        <v>2</v>
      </c>
      <c r="F3" s="5" t="n">
        <f aca="false">4-E3</f>
        <v>2</v>
      </c>
      <c r="G3" s="6" t="str">
        <f aca="false">IF(AND(C3=3,D3*F3&gt;=6),"A",IF(AND(C3=3,D3*F3&gt;=3),"B",IF(AND(C3=3,D3*F3&gt;=1),"C","")))</f>
        <v>A</v>
      </c>
      <c r="H3" s="7" t="s">
        <v>23</v>
      </c>
      <c r="I3" s="5" t="s">
        <v>15</v>
      </c>
      <c r="J3" s="8" t="s">
        <v>16</v>
      </c>
      <c r="K3" s="0" t="n">
        <v>3</v>
      </c>
      <c r="L3" s="5" t="n">
        <v>3</v>
      </c>
      <c r="M3" s="5" t="n">
        <v>2</v>
      </c>
      <c r="N3" s="5" t="n">
        <f aca="false">4-M3</f>
        <v>2</v>
      </c>
      <c r="O3" s="6" t="str">
        <f aca="false">IF(AND(K3=3,L3*N3&gt;=6),"A",IF(AND(K3=3,L3*N3&gt;=3),"B",IF(AND(K3=3,L3*N3&gt;=1),"C","")))</f>
        <v>A</v>
      </c>
      <c r="P3" s="1" t="n">
        <v>1</v>
      </c>
      <c r="Q3" s="5" t="s">
        <v>17</v>
      </c>
      <c r="R3" s="8" t="s">
        <v>18</v>
      </c>
      <c r="S3" s="0" t="n">
        <v>3</v>
      </c>
      <c r="T3" s="5" t="n">
        <v>3</v>
      </c>
      <c r="U3" s="5" t="n">
        <v>3</v>
      </c>
      <c r="V3" s="5" t="n">
        <f aca="false">4-U3</f>
        <v>1</v>
      </c>
      <c r="W3" s="6" t="str">
        <f aca="false">IF(AND(S3=3,T3*V3&gt;=6),"A",IF(AND(S3=3,T3*V3&gt;=3),"B",IF(AND(S3=3,T3*V3&gt;=1),"C","")))</f>
        <v>B</v>
      </c>
      <c r="X3" s="9" t="s">
        <v>19</v>
      </c>
      <c r="Y3" s="5" t="s">
        <v>24</v>
      </c>
      <c r="Z3" s="3" t="s">
        <v>25</v>
      </c>
      <c r="AA3" s="0" t="n">
        <v>3</v>
      </c>
      <c r="AB3" s="5" t="n">
        <v>3</v>
      </c>
      <c r="AC3" s="5" t="n">
        <v>2</v>
      </c>
      <c r="AD3" s="5" t="n">
        <f aca="false">4-AC3</f>
        <v>2</v>
      </c>
      <c r="AE3" s="6" t="str">
        <f aca="false">IF(AND(AA3=3,AB3*AD3&gt;=6),"A",IF(AND(AA3=3,AB3*AD3&gt;=3),"B",IF(AND(AA3=3,AB3*AD3&gt;=1),"C","")))</f>
        <v>A</v>
      </c>
      <c r="AF3" s="4" t="s">
        <v>26</v>
      </c>
      <c r="AI3" s="5" t="n">
        <v>3</v>
      </c>
      <c r="AJ3" s="5" t="n">
        <v>3</v>
      </c>
      <c r="AK3" s="5" t="n">
        <f aca="false">MAX(E3,M3,U3,AC3)</f>
        <v>3</v>
      </c>
      <c r="AL3" s="5" t="n">
        <f aca="false">4-AK3</f>
        <v>1</v>
      </c>
      <c r="AM3" s="6" t="str">
        <f aca="false">IF(AND(AI3=3,AJ3*AL3&gt;=6),"A",IF(AND(AI3=3,AJ3*AL3&gt;=3),"B",IF(AND(AI3=3,AJ3*AL3&gt;=1),"C","")))</f>
        <v>B</v>
      </c>
      <c r="AN3" s="5" t="str">
        <f aca="false">"Scenario-level Threat=3; Step1="&amp;G3&amp;" Step2="&amp;O3&amp;" Step3="&amp;W3&amp;" Step4="&amp;AE3&amp;" ; Overall Threat fixed=3, Max Mitigation="&amp;AK3&amp;" =&gt; Overall="&amp;AM3</f>
        <v>Scenario-level Threat=3; Step1=A Step2=A Step3=B Step4=A ; Overall Threat fixed=3, Max Mitigation=3 =&gt; Overall=B</v>
      </c>
    </row>
    <row r="4" customFormat="false" ht="234.3" hidden="false" customHeight="false" outlineLevel="0" collapsed="false">
      <c r="A4" s="5" t="s">
        <v>12</v>
      </c>
      <c r="B4" s="3" t="s">
        <v>13</v>
      </c>
      <c r="C4" s="0" t="n">
        <v>3</v>
      </c>
      <c r="D4" s="5" t="n">
        <v>3</v>
      </c>
      <c r="E4" s="5" t="n">
        <v>2</v>
      </c>
      <c r="F4" s="5" t="n">
        <f aca="false">4-E4</f>
        <v>2</v>
      </c>
      <c r="G4" s="6" t="str">
        <f aca="false">IF(AND(C4=3,D4*F4&gt;=6),"A",IF(AND(C4=3,D4*F4&gt;=3),"B",IF(AND(C4=3,D4*F4&gt;=1),"C","")))</f>
        <v>A</v>
      </c>
      <c r="H4" s="7" t="s">
        <v>23</v>
      </c>
      <c r="I4" s="5" t="s">
        <v>15</v>
      </c>
      <c r="J4" s="8" t="s">
        <v>16</v>
      </c>
      <c r="K4" s="0" t="n">
        <v>3</v>
      </c>
      <c r="L4" s="5" t="n">
        <v>3</v>
      </c>
      <c r="M4" s="5" t="n">
        <v>2</v>
      </c>
      <c r="N4" s="5" t="n">
        <f aca="false">4-M4</f>
        <v>2</v>
      </c>
      <c r="O4" s="6" t="str">
        <f aca="false">IF(AND(K4=3,L4*N4&gt;=6),"A",IF(AND(K4=3,L4*N4&gt;=3),"B",IF(AND(K4=3,L4*N4&gt;=1),"C","")))</f>
        <v>A</v>
      </c>
      <c r="P4" s="1" t="n">
        <v>1</v>
      </c>
      <c r="Q4" s="5" t="s">
        <v>17</v>
      </c>
      <c r="R4" s="8" t="s">
        <v>18</v>
      </c>
      <c r="S4" s="0" t="n">
        <v>3</v>
      </c>
      <c r="T4" s="5" t="n">
        <v>3</v>
      </c>
      <c r="U4" s="5" t="n">
        <v>3</v>
      </c>
      <c r="V4" s="5" t="n">
        <f aca="false">4-U4</f>
        <v>1</v>
      </c>
      <c r="W4" s="6" t="str">
        <f aca="false">IF(AND(S4=3,T4*V4&gt;=6),"A",IF(AND(S4=3,T4*V4&gt;=3),"B",IF(AND(S4=3,T4*V4&gt;=1),"C","")))</f>
        <v>B</v>
      </c>
      <c r="X4" s="9" t="s">
        <v>19</v>
      </c>
      <c r="Y4" s="5" t="s">
        <v>27</v>
      </c>
      <c r="Z4" s="7" t="s">
        <v>28</v>
      </c>
      <c r="AA4" s="0" t="n">
        <v>3</v>
      </c>
      <c r="AB4" s="5" t="n">
        <v>3</v>
      </c>
      <c r="AC4" s="5" t="n">
        <v>3</v>
      </c>
      <c r="AD4" s="5" t="n">
        <f aca="false">4-AC4</f>
        <v>1</v>
      </c>
      <c r="AE4" s="6" t="str">
        <f aca="false">IF(AND(AA4=3,AB4*AD4&gt;=6),"A",IF(AND(AA4=3,AB4*AD4&gt;=3),"B",IF(AND(AA4=3,AB4*AD4&gt;=1),"C","")))</f>
        <v>B</v>
      </c>
      <c r="AF4" s="10" t="s">
        <v>29</v>
      </c>
      <c r="AI4" s="5" t="n">
        <v>3</v>
      </c>
      <c r="AJ4" s="5" t="n">
        <v>3</v>
      </c>
      <c r="AK4" s="5" t="n">
        <f aca="false">MAX(E4,M4,U4,AC4)</f>
        <v>3</v>
      </c>
      <c r="AL4" s="5" t="n">
        <f aca="false">4-AK4</f>
        <v>1</v>
      </c>
      <c r="AM4" s="6" t="str">
        <f aca="false">IF(AND(AI4=3,AJ4*AL4&gt;=6),"A",IF(AND(AI4=3,AJ4*AL4&gt;=3),"B",IF(AND(AI4=3,AJ4*AL4&gt;=1),"C","")))</f>
        <v>B</v>
      </c>
      <c r="AN4" s="5" t="str">
        <f aca="false">"Scenario-level Threat=3; Step1="&amp;G4&amp;" Step2="&amp;O4&amp;" Step3="&amp;W4&amp;" Step4="&amp;AE4&amp;" ; Overall Threat fixed=3, Max Mitigation="&amp;AK4&amp;" =&gt; Overall="&amp;AM4</f>
        <v>Scenario-level Threat=3; Step1=A Step2=A Step3=B Step4=B ; Overall Threat fixed=3, Max Mitigation=3 =&gt; Overall=B</v>
      </c>
    </row>
    <row r="5" customFormat="false" ht="234.3" hidden="false" customHeight="false" outlineLevel="0" collapsed="false">
      <c r="A5" s="5" t="s">
        <v>12</v>
      </c>
      <c r="B5" s="3" t="s">
        <v>13</v>
      </c>
      <c r="C5" s="0" t="n">
        <v>3</v>
      </c>
      <c r="D5" s="5" t="n">
        <v>3</v>
      </c>
      <c r="E5" s="5" t="n">
        <v>2</v>
      </c>
      <c r="F5" s="5" t="n">
        <f aca="false">4-E5</f>
        <v>2</v>
      </c>
      <c r="G5" s="6" t="str">
        <f aca="false">IF(AND(C5=3,D5*F5&gt;=6),"A",IF(AND(C5=3,D5*F5&gt;=3),"B",IF(AND(C5=3,D5*F5&gt;=1),"C","")))</f>
        <v>A</v>
      </c>
      <c r="H5" s="7" t="s">
        <v>23</v>
      </c>
      <c r="I5" s="5" t="s">
        <v>15</v>
      </c>
      <c r="J5" s="8" t="s">
        <v>16</v>
      </c>
      <c r="K5" s="0" t="n">
        <v>3</v>
      </c>
      <c r="L5" s="5" t="n">
        <v>3</v>
      </c>
      <c r="M5" s="5" t="n">
        <v>2</v>
      </c>
      <c r="N5" s="5" t="n">
        <f aca="false">4-M5</f>
        <v>2</v>
      </c>
      <c r="O5" s="6" t="str">
        <f aca="false">IF(AND(K5=3,L5*N5&gt;=6),"A",IF(AND(K5=3,L5*N5&gt;=3),"B",IF(AND(K5=3,L5*N5&gt;=1),"C","")))</f>
        <v>A</v>
      </c>
      <c r="P5" s="1" t="n">
        <v>1</v>
      </c>
      <c r="Q5" s="5" t="s">
        <v>17</v>
      </c>
      <c r="R5" s="8" t="s">
        <v>18</v>
      </c>
      <c r="S5" s="0" t="n">
        <v>3</v>
      </c>
      <c r="T5" s="5" t="n">
        <v>3</v>
      </c>
      <c r="U5" s="5" t="n">
        <v>3</v>
      </c>
      <c r="V5" s="5" t="n">
        <f aca="false">4-U5</f>
        <v>1</v>
      </c>
      <c r="W5" s="6" t="str">
        <f aca="false">IF(AND(S5=3,T5*V5&gt;=6),"A",IF(AND(S5=3,T5*V5&gt;=3),"B",IF(AND(S5=3,T5*V5&gt;=1),"C","")))</f>
        <v>B</v>
      </c>
      <c r="X5" s="9" t="s">
        <v>19</v>
      </c>
      <c r="Y5" s="5" t="s">
        <v>30</v>
      </c>
      <c r="Z5" s="9" t="s">
        <v>31</v>
      </c>
      <c r="AA5" s="0" t="n">
        <v>3</v>
      </c>
      <c r="AB5" s="5" t="n">
        <v>3</v>
      </c>
      <c r="AC5" s="5" t="n">
        <v>2</v>
      </c>
      <c r="AD5" s="5" t="n">
        <f aca="false">4-AC5</f>
        <v>2</v>
      </c>
      <c r="AE5" s="6" t="str">
        <f aca="false">IF(AND(AA5=3,AB5*AD5&gt;=6),"A",IF(AND(AA5=3,AB5*AD5&gt;=3),"B",IF(AND(AA5=3,AB5*AD5&gt;=1),"C","")))</f>
        <v>A</v>
      </c>
      <c r="AF5" s="10" t="s">
        <v>32</v>
      </c>
      <c r="AI5" s="5" t="n">
        <v>3</v>
      </c>
      <c r="AJ5" s="5" t="n">
        <v>3</v>
      </c>
      <c r="AK5" s="5" t="n">
        <f aca="false">MAX(E5,M5,U5,AC5)</f>
        <v>3</v>
      </c>
      <c r="AL5" s="5" t="n">
        <f aca="false">4-AK5</f>
        <v>1</v>
      </c>
      <c r="AM5" s="6" t="str">
        <f aca="false">IF(AND(AI5=3,AJ5*AL5&gt;=6),"A",IF(AND(AI5=3,AJ5*AL5&gt;=3),"B",IF(AND(AI5=3,AJ5*AL5&gt;=1),"C","")))</f>
        <v>B</v>
      </c>
      <c r="AN5" s="5" t="str">
        <f aca="false">"Scenario-level Threat=3; Step1="&amp;G5&amp;" Step2="&amp;O5&amp;" Step3="&amp;W5&amp;" Step4="&amp;AE5&amp;" ; Overall Threat fixed=3, Max Mitigation="&amp;AK5&amp;" =&gt; Overall="&amp;AM5</f>
        <v>Scenario-level Threat=3; Step1=A Step2=A Step3=B Step4=A ; Overall Threat fixed=3, Max Mitigation=3 =&gt; Overall=B</v>
      </c>
    </row>
    <row r="6" customFormat="false" ht="220.85" hidden="false" customHeight="false" outlineLevel="0" collapsed="false">
      <c r="A6" s="5" t="s">
        <v>12</v>
      </c>
      <c r="B6" s="3" t="s">
        <v>13</v>
      </c>
      <c r="C6" s="0" t="n">
        <v>3</v>
      </c>
      <c r="D6" s="5" t="n">
        <v>3</v>
      </c>
      <c r="E6" s="5" t="n">
        <v>2</v>
      </c>
      <c r="F6" s="5" t="n">
        <f aca="false">4-E6</f>
        <v>2</v>
      </c>
      <c r="G6" s="6" t="str">
        <f aca="false">IF(AND(C6=3,D6*F6&gt;=6),"A",IF(AND(C6=3,D6*F6&gt;=3),"B",IF(AND(C6=3,D6*F6&gt;=1),"C","")))</f>
        <v>A</v>
      </c>
      <c r="H6" s="7" t="s">
        <v>23</v>
      </c>
      <c r="I6" s="5" t="s">
        <v>15</v>
      </c>
      <c r="J6" s="8" t="s">
        <v>16</v>
      </c>
      <c r="K6" s="0" t="n">
        <v>3</v>
      </c>
      <c r="L6" s="5" t="n">
        <v>3</v>
      </c>
      <c r="M6" s="5" t="n">
        <v>2</v>
      </c>
      <c r="N6" s="5" t="n">
        <f aca="false">4-M6</f>
        <v>2</v>
      </c>
      <c r="O6" s="6" t="str">
        <f aca="false">IF(AND(K6=3,L6*N6&gt;=6),"A",IF(AND(K6=3,L6*N6&gt;=3),"B",IF(AND(K6=3,L6*N6&gt;=1),"C","")))</f>
        <v>A</v>
      </c>
      <c r="P6" s="1" t="n">
        <v>1</v>
      </c>
      <c r="Q6" s="5" t="s">
        <v>33</v>
      </c>
      <c r="R6" s="8" t="s">
        <v>34</v>
      </c>
      <c r="S6" s="0" t="n">
        <v>3</v>
      </c>
      <c r="T6" s="5" t="n">
        <v>3</v>
      </c>
      <c r="U6" s="5" t="n">
        <v>3</v>
      </c>
      <c r="V6" s="5" t="n">
        <f aca="false">4-U6</f>
        <v>1</v>
      </c>
      <c r="W6" s="6" t="str">
        <f aca="false">IF(AND(S6=3,T6*V6&gt;=6),"A",IF(AND(S6=3,T6*V6&gt;=3),"B",IF(AND(S6=3,T6*V6&gt;=1),"C","")))</f>
        <v>B</v>
      </c>
      <c r="X6" s="9" t="s">
        <v>35</v>
      </c>
      <c r="Y6" s="5" t="s">
        <v>20</v>
      </c>
      <c r="Z6" s="3" t="s">
        <v>21</v>
      </c>
      <c r="AA6" s="0" t="n">
        <v>3</v>
      </c>
      <c r="AB6" s="5" t="n">
        <v>3</v>
      </c>
      <c r="AC6" s="5" t="n">
        <v>2</v>
      </c>
      <c r="AD6" s="5" t="n">
        <f aca="false">4-AC6</f>
        <v>2</v>
      </c>
      <c r="AE6" s="6" t="str">
        <f aca="false">IF(AND(AA6=3,AB6*AD6&gt;=6),"A",IF(AND(AA6=3,AB6*AD6&gt;=3),"B",IF(AND(AA6=3,AB6*AD6&gt;=1),"C","")))</f>
        <v>A</v>
      </c>
      <c r="AF6" s="4" t="s">
        <v>22</v>
      </c>
      <c r="AI6" s="5" t="n">
        <v>3</v>
      </c>
      <c r="AJ6" s="5" t="n">
        <v>3</v>
      </c>
      <c r="AK6" s="5" t="n">
        <f aca="false">MAX(E6,M6,U6,AC6)</f>
        <v>3</v>
      </c>
      <c r="AL6" s="5" t="n">
        <f aca="false">4-AK6</f>
        <v>1</v>
      </c>
      <c r="AM6" s="6" t="str">
        <f aca="false">IF(AND(AI6=3,AJ6*AL6&gt;=6),"A",IF(AND(AI6=3,AJ6*AL6&gt;=3),"B",IF(AND(AI6=3,AJ6*AL6&gt;=1),"C","")))</f>
        <v>B</v>
      </c>
      <c r="AN6" s="5" t="str">
        <f aca="false">"Scenario-level Threat=3; Step1="&amp;G6&amp;" Step2="&amp;O6&amp;" Step3="&amp;W6&amp;" Step4="&amp;AE6&amp;" ; Overall Threat fixed=3, Max Mitigation="&amp;AK6&amp;" =&gt; Overall="&amp;AM6</f>
        <v>Scenario-level Threat=3; Step1=A Step2=A Step3=B Step4=A ; Overall Threat fixed=3, Max Mitigation=3 =&gt; Overall=B</v>
      </c>
    </row>
    <row r="7" customFormat="false" ht="220.85" hidden="false" customHeight="false" outlineLevel="0" collapsed="false">
      <c r="A7" s="5" t="s">
        <v>12</v>
      </c>
      <c r="B7" s="3" t="s">
        <v>13</v>
      </c>
      <c r="C7" s="0" t="n">
        <v>3</v>
      </c>
      <c r="D7" s="5" t="n">
        <v>3</v>
      </c>
      <c r="E7" s="5" t="n">
        <v>2</v>
      </c>
      <c r="F7" s="5" t="n">
        <f aca="false">4-E7</f>
        <v>2</v>
      </c>
      <c r="G7" s="6" t="str">
        <f aca="false">IF(AND(C7=3,D7*F7&gt;=6),"A",IF(AND(C7=3,D7*F7&gt;=3),"B",IF(AND(C7=3,D7*F7&gt;=1),"C","")))</f>
        <v>A</v>
      </c>
      <c r="H7" s="7" t="s">
        <v>23</v>
      </c>
      <c r="I7" s="5" t="s">
        <v>15</v>
      </c>
      <c r="J7" s="8" t="s">
        <v>16</v>
      </c>
      <c r="K7" s="0" t="n">
        <v>3</v>
      </c>
      <c r="L7" s="5" t="n">
        <v>3</v>
      </c>
      <c r="M7" s="5" t="n">
        <v>2</v>
      </c>
      <c r="N7" s="5" t="n">
        <f aca="false">4-M7</f>
        <v>2</v>
      </c>
      <c r="O7" s="6" t="str">
        <f aca="false">IF(AND(K7=3,L7*N7&gt;=6),"A",IF(AND(K7=3,L7*N7&gt;=3),"B",IF(AND(K7=3,L7*N7&gt;=1),"C","")))</f>
        <v>A</v>
      </c>
      <c r="P7" s="1" t="n">
        <v>1</v>
      </c>
      <c r="Q7" s="5" t="s">
        <v>33</v>
      </c>
      <c r="R7" s="8" t="s">
        <v>34</v>
      </c>
      <c r="S7" s="0" t="n">
        <v>3</v>
      </c>
      <c r="T7" s="5" t="n">
        <v>3</v>
      </c>
      <c r="U7" s="5" t="n">
        <v>3</v>
      </c>
      <c r="V7" s="5" t="n">
        <f aca="false">4-U7</f>
        <v>1</v>
      </c>
      <c r="W7" s="6" t="str">
        <f aca="false">IF(AND(S7=3,T7*V7&gt;=6),"A",IF(AND(S7=3,T7*V7&gt;=3),"B",IF(AND(S7=3,T7*V7&gt;=1),"C","")))</f>
        <v>B</v>
      </c>
      <c r="X7" s="9" t="s">
        <v>35</v>
      </c>
      <c r="Y7" s="5" t="s">
        <v>24</v>
      </c>
      <c r="Z7" s="3" t="s">
        <v>25</v>
      </c>
      <c r="AA7" s="0" t="n">
        <v>3</v>
      </c>
      <c r="AB7" s="5" t="n">
        <v>3</v>
      </c>
      <c r="AC7" s="5" t="n">
        <v>2</v>
      </c>
      <c r="AD7" s="5" t="n">
        <f aca="false">4-AC7</f>
        <v>2</v>
      </c>
      <c r="AE7" s="6" t="str">
        <f aca="false">IF(AND(AA7=3,AB7*AD7&gt;=6),"A",IF(AND(AA7=3,AB7*AD7&gt;=3),"B",IF(AND(AA7=3,AB7*AD7&gt;=1),"C","")))</f>
        <v>A</v>
      </c>
      <c r="AF7" s="4" t="s">
        <v>26</v>
      </c>
      <c r="AI7" s="5" t="n">
        <v>3</v>
      </c>
      <c r="AJ7" s="5" t="n">
        <v>3</v>
      </c>
      <c r="AK7" s="5" t="n">
        <f aca="false">MAX(E7,M7,U7,AC7)</f>
        <v>3</v>
      </c>
      <c r="AL7" s="5" t="n">
        <f aca="false">4-AK7</f>
        <v>1</v>
      </c>
      <c r="AM7" s="6" t="str">
        <f aca="false">IF(AND(AI7=3,AJ7*AL7&gt;=6),"A",IF(AND(AI7=3,AJ7*AL7&gt;=3),"B",IF(AND(AI7=3,AJ7*AL7&gt;=1),"C","")))</f>
        <v>B</v>
      </c>
      <c r="AN7" s="5" t="str">
        <f aca="false">"Scenario-level Threat=3; Step1="&amp;G7&amp;" Step2="&amp;O7&amp;" Step3="&amp;W7&amp;" Step4="&amp;AE7&amp;" ; Overall Threat fixed=3, Max Mitigation="&amp;AK7&amp;" =&gt; Overall="&amp;AM7</f>
        <v>Scenario-level Threat=3; Step1=A Step2=A Step3=B Step4=A ; Overall Threat fixed=3, Max Mitigation=3 =&gt; Overall=B</v>
      </c>
    </row>
    <row r="8" customFormat="false" ht="220.85" hidden="false" customHeight="false" outlineLevel="0" collapsed="false">
      <c r="A8" s="5" t="s">
        <v>12</v>
      </c>
      <c r="B8" s="3" t="s">
        <v>13</v>
      </c>
      <c r="C8" s="0" t="n">
        <v>3</v>
      </c>
      <c r="D8" s="5" t="n">
        <v>3</v>
      </c>
      <c r="E8" s="5" t="n">
        <v>2</v>
      </c>
      <c r="F8" s="5" t="n">
        <f aca="false">4-E8</f>
        <v>2</v>
      </c>
      <c r="G8" s="6" t="str">
        <f aca="false">IF(AND(C8=3,D8*F8&gt;=6),"A",IF(AND(C8=3,D8*F8&gt;=3),"B",IF(AND(C8=3,D8*F8&gt;=1),"C","")))</f>
        <v>A</v>
      </c>
      <c r="H8" s="7" t="s">
        <v>23</v>
      </c>
      <c r="I8" s="5" t="s">
        <v>15</v>
      </c>
      <c r="J8" s="8" t="s">
        <v>16</v>
      </c>
      <c r="K8" s="0" t="n">
        <v>3</v>
      </c>
      <c r="L8" s="5" t="n">
        <v>3</v>
      </c>
      <c r="M8" s="5" t="n">
        <v>2</v>
      </c>
      <c r="N8" s="5" t="n">
        <f aca="false">4-M8</f>
        <v>2</v>
      </c>
      <c r="O8" s="6" t="str">
        <f aca="false">IF(AND(K8=3,L8*N8&gt;=6),"A",IF(AND(K8=3,L8*N8&gt;=3),"B",IF(AND(K8=3,L8*N8&gt;=1),"C","")))</f>
        <v>A</v>
      </c>
      <c r="P8" s="1" t="n">
        <v>1</v>
      </c>
      <c r="Q8" s="5" t="s">
        <v>33</v>
      </c>
      <c r="R8" s="8" t="s">
        <v>34</v>
      </c>
      <c r="S8" s="0" t="n">
        <v>3</v>
      </c>
      <c r="T8" s="5" t="n">
        <v>3</v>
      </c>
      <c r="U8" s="5" t="n">
        <v>3</v>
      </c>
      <c r="V8" s="5" t="n">
        <f aca="false">4-U8</f>
        <v>1</v>
      </c>
      <c r="W8" s="6" t="str">
        <f aca="false">IF(AND(S8=3,T8*V8&gt;=6),"A",IF(AND(S8=3,T8*V8&gt;=3),"B",IF(AND(S8=3,T8*V8&gt;=1),"C","")))</f>
        <v>B</v>
      </c>
      <c r="X8" s="9" t="s">
        <v>35</v>
      </c>
      <c r="Y8" s="5" t="s">
        <v>27</v>
      </c>
      <c r="Z8" s="7" t="s">
        <v>28</v>
      </c>
      <c r="AA8" s="0" t="n">
        <v>3</v>
      </c>
      <c r="AB8" s="5" t="n">
        <v>3</v>
      </c>
      <c r="AC8" s="5" t="n">
        <v>3</v>
      </c>
      <c r="AD8" s="5" t="n">
        <f aca="false">4-AC8</f>
        <v>1</v>
      </c>
      <c r="AE8" s="6" t="str">
        <f aca="false">IF(AND(AA8=3,AB8*AD8&gt;=6),"A",IF(AND(AA8=3,AB8*AD8&gt;=3),"B",IF(AND(AA8=3,AB8*AD8&gt;=1),"C","")))</f>
        <v>B</v>
      </c>
      <c r="AF8" s="10" t="s">
        <v>29</v>
      </c>
      <c r="AI8" s="5" t="n">
        <v>3</v>
      </c>
      <c r="AJ8" s="5" t="n">
        <v>3</v>
      </c>
      <c r="AK8" s="5" t="n">
        <f aca="false">MAX(E8,M8,U8,AC8)</f>
        <v>3</v>
      </c>
      <c r="AL8" s="5" t="n">
        <f aca="false">4-AK8</f>
        <v>1</v>
      </c>
      <c r="AM8" s="6" t="str">
        <f aca="false">IF(AND(AI8=3,AJ8*AL8&gt;=6),"A",IF(AND(AI8=3,AJ8*AL8&gt;=3),"B",IF(AND(AI8=3,AJ8*AL8&gt;=1),"C","")))</f>
        <v>B</v>
      </c>
      <c r="AN8" s="5" t="str">
        <f aca="false">"Scenario-level Threat=3; Step1="&amp;G8&amp;" Step2="&amp;O8&amp;" Step3="&amp;W8&amp;" Step4="&amp;AE8&amp;" ; Overall Threat fixed=3, Max Mitigation="&amp;AK8&amp;" =&gt; Overall="&amp;AM8</f>
        <v>Scenario-level Threat=3; Step1=A Step2=A Step3=B Step4=B ; Overall Threat fixed=3, Max Mitigation=3 =&gt; Overall=B</v>
      </c>
    </row>
    <row r="9" customFormat="false" ht="220.85" hidden="false" customHeight="false" outlineLevel="0" collapsed="false">
      <c r="A9" s="5" t="s">
        <v>12</v>
      </c>
      <c r="B9" s="3" t="s">
        <v>13</v>
      </c>
      <c r="C9" s="0" t="n">
        <v>3</v>
      </c>
      <c r="D9" s="5" t="n">
        <v>3</v>
      </c>
      <c r="E9" s="5" t="n">
        <v>2</v>
      </c>
      <c r="F9" s="5" t="n">
        <f aca="false">4-E9</f>
        <v>2</v>
      </c>
      <c r="G9" s="6" t="str">
        <f aca="false">IF(AND(C9=3,D9*F9&gt;=6),"A",IF(AND(C9=3,D9*F9&gt;=3),"B",IF(AND(C9=3,D9*F9&gt;=1),"C","")))</f>
        <v>A</v>
      </c>
      <c r="H9" s="7" t="s">
        <v>23</v>
      </c>
      <c r="I9" s="5" t="s">
        <v>15</v>
      </c>
      <c r="J9" s="8" t="s">
        <v>16</v>
      </c>
      <c r="K9" s="0" t="n">
        <v>3</v>
      </c>
      <c r="L9" s="5" t="n">
        <v>3</v>
      </c>
      <c r="M9" s="5" t="n">
        <v>2</v>
      </c>
      <c r="N9" s="5" t="n">
        <f aca="false">4-M9</f>
        <v>2</v>
      </c>
      <c r="O9" s="6" t="str">
        <f aca="false">IF(AND(K9=3,L9*N9&gt;=6),"A",IF(AND(K9=3,L9*N9&gt;=3),"B",IF(AND(K9=3,L9*N9&gt;=1),"C","")))</f>
        <v>A</v>
      </c>
      <c r="P9" s="1" t="n">
        <v>1</v>
      </c>
      <c r="Q9" s="5" t="s">
        <v>33</v>
      </c>
      <c r="R9" s="8" t="s">
        <v>34</v>
      </c>
      <c r="S9" s="0" t="n">
        <v>3</v>
      </c>
      <c r="T9" s="5" t="n">
        <v>3</v>
      </c>
      <c r="U9" s="5" t="n">
        <v>3</v>
      </c>
      <c r="V9" s="5" t="n">
        <f aca="false">4-U9</f>
        <v>1</v>
      </c>
      <c r="W9" s="6" t="str">
        <f aca="false">IF(AND(S9=3,T9*V9&gt;=6),"A",IF(AND(S9=3,T9*V9&gt;=3),"B",IF(AND(S9=3,T9*V9&gt;=1),"C","")))</f>
        <v>B</v>
      </c>
      <c r="X9" s="9" t="s">
        <v>35</v>
      </c>
      <c r="Y9" s="5" t="s">
        <v>30</v>
      </c>
      <c r="Z9" s="9" t="s">
        <v>31</v>
      </c>
      <c r="AA9" s="0" t="n">
        <v>3</v>
      </c>
      <c r="AB9" s="5" t="n">
        <v>3</v>
      </c>
      <c r="AC9" s="5" t="n">
        <v>2</v>
      </c>
      <c r="AD9" s="5" t="n">
        <f aca="false">4-AC9</f>
        <v>2</v>
      </c>
      <c r="AE9" s="6" t="str">
        <f aca="false">IF(AND(AA9=3,AB9*AD9&gt;=6),"A",IF(AND(AA9=3,AB9*AD9&gt;=3),"B",IF(AND(AA9=3,AB9*AD9&gt;=1),"C","")))</f>
        <v>A</v>
      </c>
      <c r="AF9" s="10" t="s">
        <v>32</v>
      </c>
      <c r="AI9" s="5" t="n">
        <v>3</v>
      </c>
      <c r="AJ9" s="5" t="n">
        <v>3</v>
      </c>
      <c r="AK9" s="5" t="n">
        <f aca="false">MAX(E9,M9,U9,AC9)</f>
        <v>3</v>
      </c>
      <c r="AL9" s="5" t="n">
        <f aca="false">4-AK9</f>
        <v>1</v>
      </c>
      <c r="AM9" s="6" t="str">
        <f aca="false">IF(AND(AI9=3,AJ9*AL9&gt;=6),"A",IF(AND(AI9=3,AJ9*AL9&gt;=3),"B",IF(AND(AI9=3,AJ9*AL9&gt;=1),"C","")))</f>
        <v>B</v>
      </c>
      <c r="AN9" s="5" t="str">
        <f aca="false">"Scenario-level Threat=3; Step1="&amp;G9&amp;" Step2="&amp;O9&amp;" Step3="&amp;W9&amp;" Step4="&amp;AE9&amp;" ; Overall Threat fixed=3, Max Mitigation="&amp;AK9&amp;" =&gt; Overall="&amp;AM9</f>
        <v>Scenario-level Threat=3; Step1=A Step2=A Step3=B Step4=A ; Overall Threat fixed=3, Max Mitigation=3 =&gt; Overall=B</v>
      </c>
    </row>
    <row r="10" customFormat="false" ht="220.85" hidden="false" customHeight="false" outlineLevel="0" collapsed="false">
      <c r="A10" s="5" t="s">
        <v>12</v>
      </c>
      <c r="B10" s="3" t="s">
        <v>13</v>
      </c>
      <c r="C10" s="0" t="n">
        <v>3</v>
      </c>
      <c r="D10" s="5" t="n">
        <v>3</v>
      </c>
      <c r="E10" s="5" t="n">
        <v>2</v>
      </c>
      <c r="F10" s="5" t="n">
        <f aca="false">4-E10</f>
        <v>2</v>
      </c>
      <c r="G10" s="6" t="str">
        <f aca="false">IF(AND(C10=3,D10*F10&gt;=6),"A",IF(AND(C10=3,D10*F10&gt;=3),"B",IF(AND(C10=3,D10*F10&gt;=1),"C","")))</f>
        <v>A</v>
      </c>
      <c r="H10" s="7" t="s">
        <v>23</v>
      </c>
      <c r="I10" s="5" t="s">
        <v>15</v>
      </c>
      <c r="J10" s="8" t="s">
        <v>16</v>
      </c>
      <c r="K10" s="0" t="n">
        <v>3</v>
      </c>
      <c r="L10" s="5" t="n">
        <v>3</v>
      </c>
      <c r="M10" s="5" t="n">
        <v>2</v>
      </c>
      <c r="N10" s="5" t="n">
        <f aca="false">4-M10</f>
        <v>2</v>
      </c>
      <c r="O10" s="6" t="str">
        <f aca="false">IF(AND(K10=3,L10*N10&gt;=6),"A",IF(AND(K10=3,L10*N10&gt;=3),"B",IF(AND(K10=3,L10*N10&gt;=1),"C","")))</f>
        <v>A</v>
      </c>
      <c r="P10" s="1" t="n">
        <v>1</v>
      </c>
      <c r="Q10" s="5" t="s">
        <v>36</v>
      </c>
      <c r="R10" s="4" t="s">
        <v>37</v>
      </c>
      <c r="S10" s="0" t="n">
        <v>3</v>
      </c>
      <c r="T10" s="5" t="n">
        <v>3</v>
      </c>
      <c r="U10" s="5" t="n">
        <v>3</v>
      </c>
      <c r="V10" s="5" t="n">
        <f aca="false">4-U10</f>
        <v>1</v>
      </c>
      <c r="W10" s="6" t="str">
        <f aca="false">IF(AND(S10=3,T10*V10&gt;=6),"A",IF(AND(S10=3,T10*V10&gt;=3),"B",IF(AND(S10=3,T10*V10&gt;=1),"C","")))</f>
        <v>B</v>
      </c>
      <c r="X10" s="7" t="s">
        <v>38</v>
      </c>
      <c r="Y10" s="5" t="s">
        <v>20</v>
      </c>
      <c r="Z10" s="3" t="s">
        <v>21</v>
      </c>
      <c r="AA10" s="0" t="n">
        <v>3</v>
      </c>
      <c r="AB10" s="5" t="n">
        <v>3</v>
      </c>
      <c r="AC10" s="5" t="n">
        <v>2</v>
      </c>
      <c r="AD10" s="5" t="n">
        <f aca="false">4-AC10</f>
        <v>2</v>
      </c>
      <c r="AE10" s="6" t="str">
        <f aca="false">IF(AND(AA10=3,AB10*AD10&gt;=6),"A",IF(AND(AA10=3,AB10*AD10&gt;=3),"B",IF(AND(AA10=3,AB10*AD10&gt;=1),"C","")))</f>
        <v>A</v>
      </c>
      <c r="AF10" s="4" t="s">
        <v>22</v>
      </c>
      <c r="AI10" s="5" t="n">
        <v>3</v>
      </c>
      <c r="AJ10" s="5" t="n">
        <v>3</v>
      </c>
      <c r="AK10" s="5" t="n">
        <f aca="false">MAX(E10,M10,U10,AC10)</f>
        <v>3</v>
      </c>
      <c r="AL10" s="5" t="n">
        <f aca="false">4-AK10</f>
        <v>1</v>
      </c>
      <c r="AM10" s="6" t="str">
        <f aca="false">IF(AND(AI10=3,AJ10*AL10&gt;=6),"A",IF(AND(AI10=3,AJ10*AL10&gt;=3),"B",IF(AND(AI10=3,AJ10*AL10&gt;=1),"C","")))</f>
        <v>B</v>
      </c>
      <c r="AN10" s="5" t="str">
        <f aca="false">"Scenario-level Threat=3; Step1="&amp;G10&amp;" Step2="&amp;O10&amp;" Step3="&amp;W10&amp;" Step4="&amp;AE10&amp;" ; Overall Threat fixed=3, Max Mitigation="&amp;AK10&amp;" =&gt; Overall="&amp;AM10</f>
        <v>Scenario-level Threat=3; Step1=A Step2=A Step3=B Step4=A ; Overall Threat fixed=3, Max Mitigation=3 =&gt; Overall=B</v>
      </c>
    </row>
    <row r="11" customFormat="false" ht="220.85" hidden="false" customHeight="false" outlineLevel="0" collapsed="false">
      <c r="A11" s="5" t="s">
        <v>12</v>
      </c>
      <c r="B11" s="3" t="s">
        <v>13</v>
      </c>
      <c r="C11" s="0" t="n">
        <v>3</v>
      </c>
      <c r="D11" s="5" t="n">
        <v>3</v>
      </c>
      <c r="E11" s="5" t="n">
        <v>2</v>
      </c>
      <c r="F11" s="5" t="n">
        <f aca="false">4-E11</f>
        <v>2</v>
      </c>
      <c r="G11" s="6" t="str">
        <f aca="false">IF(AND(C11=3,D11*F11&gt;=6),"A",IF(AND(C11=3,D11*F11&gt;=3),"B",IF(AND(C11=3,D11*F11&gt;=1),"C","")))</f>
        <v>A</v>
      </c>
      <c r="H11" s="7" t="s">
        <v>23</v>
      </c>
      <c r="I11" s="5" t="s">
        <v>15</v>
      </c>
      <c r="J11" s="8" t="s">
        <v>16</v>
      </c>
      <c r="K11" s="0" t="n">
        <v>3</v>
      </c>
      <c r="L11" s="5" t="n">
        <v>3</v>
      </c>
      <c r="M11" s="5" t="n">
        <v>2</v>
      </c>
      <c r="N11" s="5" t="n">
        <f aca="false">4-M11</f>
        <v>2</v>
      </c>
      <c r="O11" s="6" t="str">
        <f aca="false">IF(AND(K11=3,L11*N11&gt;=6),"A",IF(AND(K11=3,L11*N11&gt;=3),"B",IF(AND(K11=3,L11*N11&gt;=1),"C","")))</f>
        <v>A</v>
      </c>
      <c r="P11" s="1" t="n">
        <v>1</v>
      </c>
      <c r="Q11" s="5" t="s">
        <v>36</v>
      </c>
      <c r="R11" s="4" t="s">
        <v>37</v>
      </c>
      <c r="S11" s="0" t="n">
        <v>3</v>
      </c>
      <c r="T11" s="5" t="n">
        <v>3</v>
      </c>
      <c r="U11" s="5" t="n">
        <v>3</v>
      </c>
      <c r="V11" s="5" t="n">
        <f aca="false">4-U11</f>
        <v>1</v>
      </c>
      <c r="W11" s="6" t="str">
        <f aca="false">IF(AND(S11=3,T11*V11&gt;=6),"A",IF(AND(S11=3,T11*V11&gt;=3),"B",IF(AND(S11=3,T11*V11&gt;=1),"C","")))</f>
        <v>B</v>
      </c>
      <c r="X11" s="7" t="s">
        <v>38</v>
      </c>
      <c r="Y11" s="5" t="s">
        <v>24</v>
      </c>
      <c r="Z11" s="3" t="s">
        <v>25</v>
      </c>
      <c r="AA11" s="0" t="n">
        <v>3</v>
      </c>
      <c r="AB11" s="5" t="n">
        <v>3</v>
      </c>
      <c r="AC11" s="5" t="n">
        <v>2</v>
      </c>
      <c r="AD11" s="5" t="n">
        <f aca="false">4-AC11</f>
        <v>2</v>
      </c>
      <c r="AE11" s="6" t="str">
        <f aca="false">IF(AND(AA11=3,AB11*AD11&gt;=6),"A",IF(AND(AA11=3,AB11*AD11&gt;=3),"B",IF(AND(AA11=3,AB11*AD11&gt;=1),"C","")))</f>
        <v>A</v>
      </c>
      <c r="AF11" s="4" t="s">
        <v>26</v>
      </c>
      <c r="AI11" s="5" t="n">
        <v>3</v>
      </c>
      <c r="AJ11" s="5" t="n">
        <v>3</v>
      </c>
      <c r="AK11" s="5" t="n">
        <f aca="false">MAX(E11,M11,U11,AC11)</f>
        <v>3</v>
      </c>
      <c r="AL11" s="5" t="n">
        <f aca="false">4-AK11</f>
        <v>1</v>
      </c>
      <c r="AM11" s="6" t="str">
        <f aca="false">IF(AND(AI11=3,AJ11*AL11&gt;=6),"A",IF(AND(AI11=3,AJ11*AL11&gt;=3),"B",IF(AND(AI11=3,AJ11*AL11&gt;=1),"C","")))</f>
        <v>B</v>
      </c>
      <c r="AN11" s="5" t="str">
        <f aca="false">"Scenario-level Threat=3; Step1="&amp;G11&amp;" Step2="&amp;O11&amp;" Step3="&amp;W11&amp;" Step4="&amp;AE11&amp;" ; Overall Threat fixed=3, Max Mitigation="&amp;AK11&amp;" =&gt; Overall="&amp;AM11</f>
        <v>Scenario-level Threat=3; Step1=A Step2=A Step3=B Step4=A ; Overall Threat fixed=3, Max Mitigation=3 =&gt; Overall=B</v>
      </c>
    </row>
    <row r="12" customFormat="false" ht="220.85" hidden="false" customHeight="false" outlineLevel="0" collapsed="false">
      <c r="A12" s="5" t="s">
        <v>12</v>
      </c>
      <c r="B12" s="3" t="s">
        <v>13</v>
      </c>
      <c r="C12" s="0" t="n">
        <v>3</v>
      </c>
      <c r="D12" s="5" t="n">
        <v>3</v>
      </c>
      <c r="E12" s="5" t="n">
        <v>2</v>
      </c>
      <c r="F12" s="5" t="n">
        <f aca="false">4-E12</f>
        <v>2</v>
      </c>
      <c r="G12" s="6" t="str">
        <f aca="false">IF(AND(C12=3,D12*F12&gt;=6),"A",IF(AND(C12=3,D12*F12&gt;=3),"B",IF(AND(C12=3,D12*F12&gt;=1),"C","")))</f>
        <v>A</v>
      </c>
      <c r="H12" s="7" t="s">
        <v>23</v>
      </c>
      <c r="I12" s="5" t="s">
        <v>15</v>
      </c>
      <c r="J12" s="8" t="s">
        <v>16</v>
      </c>
      <c r="K12" s="0" t="n">
        <v>3</v>
      </c>
      <c r="L12" s="5" t="n">
        <v>3</v>
      </c>
      <c r="M12" s="5" t="n">
        <v>2</v>
      </c>
      <c r="N12" s="5" t="n">
        <f aca="false">4-M12</f>
        <v>2</v>
      </c>
      <c r="O12" s="6" t="str">
        <f aca="false">IF(AND(K12=3,L12*N12&gt;=6),"A",IF(AND(K12=3,L12*N12&gt;=3),"B",IF(AND(K12=3,L12*N12&gt;=1),"C","")))</f>
        <v>A</v>
      </c>
      <c r="P12" s="1" t="n">
        <v>1</v>
      </c>
      <c r="Q12" s="5" t="s">
        <v>36</v>
      </c>
      <c r="R12" s="4" t="s">
        <v>37</v>
      </c>
      <c r="S12" s="0" t="n">
        <v>3</v>
      </c>
      <c r="T12" s="5" t="n">
        <v>3</v>
      </c>
      <c r="U12" s="5" t="n">
        <v>3</v>
      </c>
      <c r="V12" s="5" t="n">
        <f aca="false">4-U12</f>
        <v>1</v>
      </c>
      <c r="W12" s="6" t="str">
        <f aca="false">IF(AND(S12=3,T12*V12&gt;=6),"A",IF(AND(S12=3,T12*V12&gt;=3),"B",IF(AND(S12=3,T12*V12&gt;=1),"C","")))</f>
        <v>B</v>
      </c>
      <c r="X12" s="7" t="s">
        <v>38</v>
      </c>
      <c r="Y12" s="5" t="s">
        <v>27</v>
      </c>
      <c r="Z12" s="7" t="s">
        <v>28</v>
      </c>
      <c r="AA12" s="0" t="n">
        <v>3</v>
      </c>
      <c r="AB12" s="5" t="n">
        <v>3</v>
      </c>
      <c r="AC12" s="5" t="n">
        <v>3</v>
      </c>
      <c r="AD12" s="5" t="n">
        <f aca="false">4-AC12</f>
        <v>1</v>
      </c>
      <c r="AE12" s="6" t="str">
        <f aca="false">IF(AND(AA12=3,AB12*AD12&gt;=6),"A",IF(AND(AA12=3,AB12*AD12&gt;=3),"B",IF(AND(AA12=3,AB12*AD12&gt;=1),"C","")))</f>
        <v>B</v>
      </c>
      <c r="AF12" s="10" t="s">
        <v>29</v>
      </c>
      <c r="AI12" s="5" t="n">
        <v>3</v>
      </c>
      <c r="AJ12" s="5" t="n">
        <v>3</v>
      </c>
      <c r="AK12" s="5" t="n">
        <f aca="false">MAX(E12,M12,U12,AC12)</f>
        <v>3</v>
      </c>
      <c r="AL12" s="5" t="n">
        <f aca="false">4-AK12</f>
        <v>1</v>
      </c>
      <c r="AM12" s="6" t="str">
        <f aca="false">IF(AND(AI12=3,AJ12*AL12&gt;=6),"A",IF(AND(AI12=3,AJ12*AL12&gt;=3),"B",IF(AND(AI12=3,AJ12*AL12&gt;=1),"C","")))</f>
        <v>B</v>
      </c>
      <c r="AN12" s="5" t="str">
        <f aca="false">"Scenario-level Threat=3; Step1="&amp;G12&amp;" Step2="&amp;O12&amp;" Step3="&amp;W12&amp;" Step4="&amp;AE12&amp;" ; Overall Threat fixed=3, Max Mitigation="&amp;AK12&amp;" =&gt; Overall="&amp;AM12</f>
        <v>Scenario-level Threat=3; Step1=A Step2=A Step3=B Step4=B ; Overall Threat fixed=3, Max Mitigation=3 =&gt; Overall=B</v>
      </c>
    </row>
    <row r="13" customFormat="false" ht="220.85" hidden="false" customHeight="false" outlineLevel="0" collapsed="false">
      <c r="A13" s="5" t="s">
        <v>12</v>
      </c>
      <c r="B13" s="3" t="s">
        <v>13</v>
      </c>
      <c r="C13" s="0" t="n">
        <v>3</v>
      </c>
      <c r="D13" s="5" t="n">
        <v>3</v>
      </c>
      <c r="E13" s="5" t="n">
        <v>2</v>
      </c>
      <c r="F13" s="5" t="n">
        <f aca="false">4-E13</f>
        <v>2</v>
      </c>
      <c r="G13" s="6" t="str">
        <f aca="false">IF(AND(C13=3,D13*F13&gt;=6),"A",IF(AND(C13=3,D13*F13&gt;=3),"B",IF(AND(C13=3,D13*F13&gt;=1),"C","")))</f>
        <v>A</v>
      </c>
      <c r="H13" s="7" t="s">
        <v>23</v>
      </c>
      <c r="I13" s="5" t="s">
        <v>15</v>
      </c>
      <c r="J13" s="8" t="s">
        <v>16</v>
      </c>
      <c r="K13" s="0" t="n">
        <v>3</v>
      </c>
      <c r="L13" s="5" t="n">
        <v>3</v>
      </c>
      <c r="M13" s="5" t="n">
        <v>2</v>
      </c>
      <c r="N13" s="5" t="n">
        <f aca="false">4-M13</f>
        <v>2</v>
      </c>
      <c r="O13" s="6" t="str">
        <f aca="false">IF(AND(K13=3,L13*N13&gt;=6),"A",IF(AND(K13=3,L13*N13&gt;=3),"B",IF(AND(K13=3,L13*N13&gt;=1),"C","")))</f>
        <v>A</v>
      </c>
      <c r="P13" s="1" t="n">
        <v>1</v>
      </c>
      <c r="Q13" s="5" t="s">
        <v>36</v>
      </c>
      <c r="R13" s="4" t="s">
        <v>37</v>
      </c>
      <c r="S13" s="0" t="n">
        <v>3</v>
      </c>
      <c r="T13" s="5" t="n">
        <v>3</v>
      </c>
      <c r="U13" s="5" t="n">
        <v>3</v>
      </c>
      <c r="V13" s="5" t="n">
        <f aca="false">4-U13</f>
        <v>1</v>
      </c>
      <c r="W13" s="6" t="str">
        <f aca="false">IF(AND(S13=3,T13*V13&gt;=6),"A",IF(AND(S13=3,T13*V13&gt;=3),"B",IF(AND(S13=3,T13*V13&gt;=1),"C","")))</f>
        <v>B</v>
      </c>
      <c r="X13" s="7" t="s">
        <v>38</v>
      </c>
      <c r="Y13" s="5" t="s">
        <v>30</v>
      </c>
      <c r="Z13" s="9" t="s">
        <v>31</v>
      </c>
      <c r="AA13" s="0" t="n">
        <v>3</v>
      </c>
      <c r="AB13" s="5" t="n">
        <v>3</v>
      </c>
      <c r="AC13" s="5" t="n">
        <v>2</v>
      </c>
      <c r="AD13" s="5" t="n">
        <f aca="false">4-AC13</f>
        <v>2</v>
      </c>
      <c r="AE13" s="6" t="str">
        <f aca="false">IF(AND(AA13=3,AB13*AD13&gt;=6),"A",IF(AND(AA13=3,AB13*AD13&gt;=3),"B",IF(AND(AA13=3,AB13*AD13&gt;=1),"C","")))</f>
        <v>A</v>
      </c>
      <c r="AF13" s="10" t="s">
        <v>32</v>
      </c>
      <c r="AI13" s="5" t="n">
        <v>3</v>
      </c>
      <c r="AJ13" s="5" t="n">
        <v>3</v>
      </c>
      <c r="AK13" s="5" t="n">
        <f aca="false">MAX(E13,M13,U13,AC13)</f>
        <v>3</v>
      </c>
      <c r="AL13" s="5" t="n">
        <f aca="false">4-AK13</f>
        <v>1</v>
      </c>
      <c r="AM13" s="6" t="str">
        <f aca="false">IF(AND(AI13=3,AJ13*AL13&gt;=6),"A",IF(AND(AI13=3,AJ13*AL13&gt;=3),"B",IF(AND(AI13=3,AJ13*AL13&gt;=1),"C","")))</f>
        <v>B</v>
      </c>
      <c r="AN13" s="5" t="str">
        <f aca="false">"Scenario-level Threat=3; Step1="&amp;G13&amp;" Step2="&amp;O13&amp;" Step3="&amp;W13&amp;" Step4="&amp;AE13&amp;" ; Overall Threat fixed=3, Max Mitigation="&amp;AK13&amp;" =&gt; Overall="&amp;AM13</f>
        <v>Scenario-level Threat=3; Step1=A Step2=A Step3=B Step4=A ; Overall Threat fixed=3, Max Mitigation=3 =&gt; Overall=B</v>
      </c>
    </row>
    <row r="14" customFormat="false" ht="220.85" hidden="false" customHeight="false" outlineLevel="0" collapsed="false">
      <c r="A14" s="5" t="s">
        <v>12</v>
      </c>
      <c r="B14" s="3" t="s">
        <v>13</v>
      </c>
      <c r="C14" s="0" t="n">
        <v>3</v>
      </c>
      <c r="D14" s="5" t="n">
        <v>3</v>
      </c>
      <c r="E14" s="5" t="n">
        <v>2</v>
      </c>
      <c r="F14" s="5" t="n">
        <f aca="false">4-E14</f>
        <v>2</v>
      </c>
      <c r="G14" s="6" t="str">
        <f aca="false">IF(AND(C14=3,D14*F14&gt;=6),"A",IF(AND(C14=3,D14*F14&gt;=3),"B",IF(AND(C14=3,D14*F14&gt;=1),"C","")))</f>
        <v>A</v>
      </c>
      <c r="H14" s="7" t="s">
        <v>23</v>
      </c>
      <c r="I14" s="5" t="s">
        <v>15</v>
      </c>
      <c r="J14" s="8" t="s">
        <v>16</v>
      </c>
      <c r="K14" s="0" t="n">
        <v>3</v>
      </c>
      <c r="L14" s="5" t="n">
        <v>3</v>
      </c>
      <c r="M14" s="5" t="n">
        <v>2</v>
      </c>
      <c r="N14" s="5" t="n">
        <f aca="false">4-M14</f>
        <v>2</v>
      </c>
      <c r="O14" s="6" t="str">
        <f aca="false">IF(AND(K14=3,L14*N14&gt;=6),"A",IF(AND(K14=3,L14*N14&gt;=3),"B",IF(AND(K14=3,L14*N14&gt;=1),"C","")))</f>
        <v>A</v>
      </c>
      <c r="P14" s="1" t="n">
        <v>1</v>
      </c>
      <c r="Q14" s="5" t="s">
        <v>39</v>
      </c>
      <c r="R14" s="4" t="s">
        <v>40</v>
      </c>
      <c r="S14" s="0" t="n">
        <v>3</v>
      </c>
      <c r="T14" s="5" t="n">
        <v>3</v>
      </c>
      <c r="U14" s="5" t="n">
        <v>3</v>
      </c>
      <c r="V14" s="5" t="n">
        <f aca="false">4-U14</f>
        <v>1</v>
      </c>
      <c r="W14" s="6" t="str">
        <f aca="false">IF(AND(S14=3,T14*V14&gt;=6),"A",IF(AND(S14=3,T14*V14&gt;=3),"B",IF(AND(S14=3,T14*V14&gt;=1),"C","")))</f>
        <v>B</v>
      </c>
      <c r="X14" s="3" t="s">
        <v>41</v>
      </c>
      <c r="Y14" s="5" t="s">
        <v>20</v>
      </c>
      <c r="Z14" s="3" t="s">
        <v>21</v>
      </c>
      <c r="AA14" s="0" t="n">
        <v>3</v>
      </c>
      <c r="AB14" s="5" t="n">
        <v>3</v>
      </c>
      <c r="AC14" s="5" t="n">
        <v>2</v>
      </c>
      <c r="AD14" s="5" t="n">
        <f aca="false">4-AC14</f>
        <v>2</v>
      </c>
      <c r="AE14" s="6" t="str">
        <f aca="false">IF(AND(AA14=3,AB14*AD14&gt;=6),"A",IF(AND(AA14=3,AB14*AD14&gt;=3),"B",IF(AND(AA14=3,AB14*AD14&gt;=1),"C","")))</f>
        <v>A</v>
      </c>
      <c r="AF14" s="4" t="s">
        <v>22</v>
      </c>
      <c r="AI14" s="5" t="n">
        <v>3</v>
      </c>
      <c r="AJ14" s="5" t="n">
        <v>3</v>
      </c>
      <c r="AK14" s="5" t="n">
        <f aca="false">MAX(E14,M14,U14,AC14)</f>
        <v>3</v>
      </c>
      <c r="AL14" s="5" t="n">
        <f aca="false">4-AK14</f>
        <v>1</v>
      </c>
      <c r="AM14" s="6" t="str">
        <f aca="false">IF(AND(AI14=3,AJ14*AL14&gt;=6),"A",IF(AND(AI14=3,AJ14*AL14&gt;=3),"B",IF(AND(AI14=3,AJ14*AL14&gt;=1),"C","")))</f>
        <v>B</v>
      </c>
      <c r="AN14" s="5" t="str">
        <f aca="false">"Scenario-level Threat=3; Step1="&amp;G14&amp;" Step2="&amp;O14&amp;" Step3="&amp;W14&amp;" Step4="&amp;AE14&amp;" ; Overall Threat fixed=3, Max Mitigation="&amp;AK14&amp;" =&gt; Overall="&amp;AM14</f>
        <v>Scenario-level Threat=3; Step1=A Step2=A Step3=B Step4=A ; Overall Threat fixed=3, Max Mitigation=3 =&gt; Overall=B</v>
      </c>
    </row>
    <row r="15" customFormat="false" ht="220.85" hidden="false" customHeight="false" outlineLevel="0" collapsed="false">
      <c r="A15" s="5" t="s">
        <v>12</v>
      </c>
      <c r="B15" s="3" t="s">
        <v>13</v>
      </c>
      <c r="C15" s="0" t="n">
        <v>3</v>
      </c>
      <c r="D15" s="5" t="n">
        <v>3</v>
      </c>
      <c r="E15" s="5" t="n">
        <v>2</v>
      </c>
      <c r="F15" s="5" t="n">
        <f aca="false">4-E15</f>
        <v>2</v>
      </c>
      <c r="G15" s="6" t="str">
        <f aca="false">IF(AND(C15=3,D15*F15&gt;=6),"A",IF(AND(C15=3,D15*F15&gt;=3),"B",IF(AND(C15=3,D15*F15&gt;=1),"C","")))</f>
        <v>A</v>
      </c>
      <c r="H15" s="7" t="s">
        <v>23</v>
      </c>
      <c r="I15" s="5" t="s">
        <v>15</v>
      </c>
      <c r="J15" s="8" t="s">
        <v>16</v>
      </c>
      <c r="K15" s="0" t="n">
        <v>3</v>
      </c>
      <c r="L15" s="5" t="n">
        <v>3</v>
      </c>
      <c r="M15" s="5" t="n">
        <v>2</v>
      </c>
      <c r="N15" s="5" t="n">
        <f aca="false">4-M15</f>
        <v>2</v>
      </c>
      <c r="O15" s="6" t="str">
        <f aca="false">IF(AND(K15=3,L15*N15&gt;=6),"A",IF(AND(K15=3,L15*N15&gt;=3),"B",IF(AND(K15=3,L15*N15&gt;=1),"C","")))</f>
        <v>A</v>
      </c>
      <c r="P15" s="1" t="n">
        <v>1</v>
      </c>
      <c r="Q15" s="5" t="s">
        <v>39</v>
      </c>
      <c r="R15" s="4" t="s">
        <v>40</v>
      </c>
      <c r="S15" s="0" t="n">
        <v>3</v>
      </c>
      <c r="T15" s="5" t="n">
        <v>3</v>
      </c>
      <c r="U15" s="5" t="n">
        <v>3</v>
      </c>
      <c r="V15" s="5" t="n">
        <f aca="false">4-U15</f>
        <v>1</v>
      </c>
      <c r="W15" s="6" t="str">
        <f aca="false">IF(AND(S15=3,T15*V15&gt;=6),"A",IF(AND(S15=3,T15*V15&gt;=3),"B",IF(AND(S15=3,T15*V15&gt;=1),"C","")))</f>
        <v>B</v>
      </c>
      <c r="X15" s="3" t="s">
        <v>41</v>
      </c>
      <c r="Y15" s="5" t="s">
        <v>24</v>
      </c>
      <c r="Z15" s="3" t="s">
        <v>25</v>
      </c>
      <c r="AA15" s="0" t="n">
        <v>3</v>
      </c>
      <c r="AB15" s="5" t="n">
        <v>3</v>
      </c>
      <c r="AC15" s="5" t="n">
        <v>2</v>
      </c>
      <c r="AD15" s="5" t="n">
        <f aca="false">4-AC15</f>
        <v>2</v>
      </c>
      <c r="AE15" s="6" t="str">
        <f aca="false">IF(AND(AA15=3,AB15*AD15&gt;=6),"A",IF(AND(AA15=3,AB15*AD15&gt;=3),"B",IF(AND(AA15=3,AB15*AD15&gt;=1),"C","")))</f>
        <v>A</v>
      </c>
      <c r="AF15" s="4" t="s">
        <v>26</v>
      </c>
      <c r="AI15" s="5" t="n">
        <v>3</v>
      </c>
      <c r="AJ15" s="5" t="n">
        <v>3</v>
      </c>
      <c r="AK15" s="5" t="n">
        <f aca="false">MAX(E15,M15,U15,AC15)</f>
        <v>3</v>
      </c>
      <c r="AL15" s="5" t="n">
        <f aca="false">4-AK15</f>
        <v>1</v>
      </c>
      <c r="AM15" s="6" t="str">
        <f aca="false">IF(AND(AI15=3,AJ15*AL15&gt;=6),"A",IF(AND(AI15=3,AJ15*AL15&gt;=3),"B",IF(AND(AI15=3,AJ15*AL15&gt;=1),"C","")))</f>
        <v>B</v>
      </c>
      <c r="AN15" s="5" t="str">
        <f aca="false">"Scenario-level Threat=3; Step1="&amp;G15&amp;" Step2="&amp;O15&amp;" Step3="&amp;W15&amp;" Step4="&amp;AE15&amp;" ; Overall Threat fixed=3, Max Mitigation="&amp;AK15&amp;" =&gt; Overall="&amp;AM15</f>
        <v>Scenario-level Threat=3; Step1=A Step2=A Step3=B Step4=A ; Overall Threat fixed=3, Max Mitigation=3 =&gt; Overall=B</v>
      </c>
    </row>
    <row r="16" customFormat="false" ht="220.85" hidden="false" customHeight="false" outlineLevel="0" collapsed="false">
      <c r="A16" s="5" t="s">
        <v>12</v>
      </c>
      <c r="B16" s="3" t="s">
        <v>13</v>
      </c>
      <c r="C16" s="0" t="n">
        <v>3</v>
      </c>
      <c r="D16" s="5" t="n">
        <v>3</v>
      </c>
      <c r="E16" s="5" t="n">
        <v>2</v>
      </c>
      <c r="F16" s="5" t="n">
        <f aca="false">4-E16</f>
        <v>2</v>
      </c>
      <c r="G16" s="6" t="str">
        <f aca="false">IF(AND(C16=3,D16*F16&gt;=6),"A",IF(AND(C16=3,D16*F16&gt;=3),"B",IF(AND(C16=3,D16*F16&gt;=1),"C","")))</f>
        <v>A</v>
      </c>
      <c r="H16" s="7" t="s">
        <v>23</v>
      </c>
      <c r="I16" s="5" t="s">
        <v>15</v>
      </c>
      <c r="J16" s="8" t="s">
        <v>16</v>
      </c>
      <c r="K16" s="0" t="n">
        <v>3</v>
      </c>
      <c r="L16" s="5" t="n">
        <v>3</v>
      </c>
      <c r="M16" s="5" t="n">
        <v>2</v>
      </c>
      <c r="N16" s="5" t="n">
        <f aca="false">4-M16</f>
        <v>2</v>
      </c>
      <c r="O16" s="6" t="str">
        <f aca="false">IF(AND(K16=3,L16*N16&gt;=6),"A",IF(AND(K16=3,L16*N16&gt;=3),"B",IF(AND(K16=3,L16*N16&gt;=1),"C","")))</f>
        <v>A</v>
      </c>
      <c r="P16" s="1" t="n">
        <v>1</v>
      </c>
      <c r="Q16" s="5" t="s">
        <v>39</v>
      </c>
      <c r="R16" s="4" t="s">
        <v>40</v>
      </c>
      <c r="S16" s="0" t="n">
        <v>3</v>
      </c>
      <c r="T16" s="5" t="n">
        <v>3</v>
      </c>
      <c r="U16" s="5" t="n">
        <v>3</v>
      </c>
      <c r="V16" s="5" t="n">
        <f aca="false">4-U16</f>
        <v>1</v>
      </c>
      <c r="W16" s="6" t="str">
        <f aca="false">IF(AND(S16=3,T16*V16&gt;=6),"A",IF(AND(S16=3,T16*V16&gt;=3),"B",IF(AND(S16=3,T16*V16&gt;=1),"C","")))</f>
        <v>B</v>
      </c>
      <c r="X16" s="3" t="s">
        <v>41</v>
      </c>
      <c r="Y16" s="5" t="s">
        <v>27</v>
      </c>
      <c r="Z16" s="7" t="s">
        <v>28</v>
      </c>
      <c r="AA16" s="0" t="n">
        <v>3</v>
      </c>
      <c r="AB16" s="5" t="n">
        <v>3</v>
      </c>
      <c r="AC16" s="5" t="n">
        <v>3</v>
      </c>
      <c r="AD16" s="5" t="n">
        <f aca="false">4-AC16</f>
        <v>1</v>
      </c>
      <c r="AE16" s="6" t="str">
        <f aca="false">IF(AND(AA16=3,AB16*AD16&gt;=6),"A",IF(AND(AA16=3,AB16*AD16&gt;=3),"B",IF(AND(AA16=3,AB16*AD16&gt;=1),"C","")))</f>
        <v>B</v>
      </c>
      <c r="AF16" s="10" t="s">
        <v>29</v>
      </c>
      <c r="AI16" s="5" t="n">
        <v>3</v>
      </c>
      <c r="AJ16" s="5" t="n">
        <v>3</v>
      </c>
      <c r="AK16" s="5" t="n">
        <f aca="false">MAX(E16,M16,U16,AC16)</f>
        <v>3</v>
      </c>
      <c r="AL16" s="5" t="n">
        <f aca="false">4-AK16</f>
        <v>1</v>
      </c>
      <c r="AM16" s="6" t="str">
        <f aca="false">IF(AND(AI16=3,AJ16*AL16&gt;=6),"A",IF(AND(AI16=3,AJ16*AL16&gt;=3),"B",IF(AND(AI16=3,AJ16*AL16&gt;=1),"C","")))</f>
        <v>B</v>
      </c>
      <c r="AN16" s="5" t="str">
        <f aca="false">"Scenario-level Threat=3; Step1="&amp;G16&amp;" Step2="&amp;O16&amp;" Step3="&amp;W16&amp;" Step4="&amp;AE16&amp;" ; Overall Threat fixed=3, Max Mitigation="&amp;AK16&amp;" =&gt; Overall="&amp;AM16</f>
        <v>Scenario-level Threat=3; Step1=A Step2=A Step3=B Step4=B ; Overall Threat fixed=3, Max Mitigation=3 =&gt; Overall=B</v>
      </c>
    </row>
    <row r="17" customFormat="false" ht="220.85" hidden="false" customHeight="false" outlineLevel="0" collapsed="false">
      <c r="A17" s="5" t="s">
        <v>12</v>
      </c>
      <c r="B17" s="3" t="s">
        <v>13</v>
      </c>
      <c r="C17" s="0" t="n">
        <v>3</v>
      </c>
      <c r="D17" s="5" t="n">
        <v>3</v>
      </c>
      <c r="E17" s="5" t="n">
        <v>2</v>
      </c>
      <c r="F17" s="5" t="n">
        <f aca="false">4-E17</f>
        <v>2</v>
      </c>
      <c r="G17" s="6" t="str">
        <f aca="false">IF(AND(C17=3,D17*F17&gt;=6),"A",IF(AND(C17=3,D17*F17&gt;=3),"B",IF(AND(C17=3,D17*F17&gt;=1),"C","")))</f>
        <v>A</v>
      </c>
      <c r="H17" s="7" t="s">
        <v>23</v>
      </c>
      <c r="I17" s="5" t="s">
        <v>15</v>
      </c>
      <c r="J17" s="8" t="s">
        <v>16</v>
      </c>
      <c r="K17" s="0" t="n">
        <v>3</v>
      </c>
      <c r="L17" s="5" t="n">
        <v>3</v>
      </c>
      <c r="M17" s="5" t="n">
        <v>2</v>
      </c>
      <c r="N17" s="5" t="n">
        <f aca="false">4-M17</f>
        <v>2</v>
      </c>
      <c r="O17" s="6" t="str">
        <f aca="false">IF(AND(K17=3,L17*N17&gt;=6),"A",IF(AND(K17=3,L17*N17&gt;=3),"B",IF(AND(K17=3,L17*N17&gt;=1),"C","")))</f>
        <v>A</v>
      </c>
      <c r="P17" s="1" t="n">
        <v>1</v>
      </c>
      <c r="Q17" s="5" t="s">
        <v>39</v>
      </c>
      <c r="R17" s="4" t="s">
        <v>40</v>
      </c>
      <c r="S17" s="0" t="n">
        <v>3</v>
      </c>
      <c r="T17" s="5" t="n">
        <v>3</v>
      </c>
      <c r="U17" s="5" t="n">
        <v>3</v>
      </c>
      <c r="V17" s="5" t="n">
        <f aca="false">4-U17</f>
        <v>1</v>
      </c>
      <c r="W17" s="6" t="str">
        <f aca="false">IF(AND(S17=3,T17*V17&gt;=6),"A",IF(AND(S17=3,T17*V17&gt;=3),"B",IF(AND(S17=3,T17*V17&gt;=1),"C","")))</f>
        <v>B</v>
      </c>
      <c r="X17" s="3" t="s">
        <v>41</v>
      </c>
      <c r="Y17" s="5" t="s">
        <v>30</v>
      </c>
      <c r="Z17" s="9" t="s">
        <v>31</v>
      </c>
      <c r="AA17" s="0" t="n">
        <v>3</v>
      </c>
      <c r="AB17" s="5" t="n">
        <v>3</v>
      </c>
      <c r="AC17" s="5" t="n">
        <v>2</v>
      </c>
      <c r="AD17" s="5" t="n">
        <f aca="false">4-AC17</f>
        <v>2</v>
      </c>
      <c r="AE17" s="6" t="str">
        <f aca="false">IF(AND(AA17=3,AB17*AD17&gt;=6),"A",IF(AND(AA17=3,AB17*AD17&gt;=3),"B",IF(AND(AA17=3,AB17*AD17&gt;=1),"C","")))</f>
        <v>A</v>
      </c>
      <c r="AF17" s="10" t="s">
        <v>32</v>
      </c>
      <c r="AI17" s="5" t="n">
        <v>3</v>
      </c>
      <c r="AJ17" s="5" t="n">
        <v>3</v>
      </c>
      <c r="AK17" s="5" t="n">
        <f aca="false">MAX(E17,M17,U17,AC17)</f>
        <v>3</v>
      </c>
      <c r="AL17" s="5" t="n">
        <f aca="false">4-AK17</f>
        <v>1</v>
      </c>
      <c r="AM17" s="6" t="str">
        <f aca="false">IF(AND(AI17=3,AJ17*AL17&gt;=6),"A",IF(AND(AI17=3,AJ17*AL17&gt;=3),"B",IF(AND(AI17=3,AJ17*AL17&gt;=1),"C","")))</f>
        <v>B</v>
      </c>
      <c r="AN17" s="5" t="str">
        <f aca="false">"Scenario-level Threat=3; Step1="&amp;G17&amp;" Step2="&amp;O17&amp;" Step3="&amp;W17&amp;" Step4="&amp;AE17&amp;" ; Overall Threat fixed=3, Max Mitigation="&amp;AK17&amp;" =&gt; Overall="&amp;AM17</f>
        <v>Scenario-level Threat=3; Step1=A Step2=A Step3=B Step4=A ; Overall Threat fixed=3, Max Mitigation=3 =&gt; Overall=B</v>
      </c>
    </row>
    <row r="18" customFormat="false" ht="234.3" hidden="false" customHeight="false" outlineLevel="0" collapsed="false">
      <c r="A18" s="5" t="s">
        <v>12</v>
      </c>
      <c r="B18" s="3" t="s">
        <v>13</v>
      </c>
      <c r="C18" s="0" t="n">
        <v>3</v>
      </c>
      <c r="D18" s="5" t="n">
        <v>3</v>
      </c>
      <c r="E18" s="5" t="n">
        <v>2</v>
      </c>
      <c r="F18" s="5" t="n">
        <f aca="false">4-E18</f>
        <v>2</v>
      </c>
      <c r="G18" s="6" t="str">
        <f aca="false">IF(AND(C18=3,D18*F18&gt;=6),"A",IF(AND(C18=3,D18*F18&gt;=3),"B",IF(AND(C18=3,D18*F18&gt;=1),"C","")))</f>
        <v>A</v>
      </c>
      <c r="H18" s="7" t="s">
        <v>23</v>
      </c>
      <c r="I18" s="5" t="s">
        <v>42</v>
      </c>
      <c r="J18" s="8" t="s">
        <v>43</v>
      </c>
      <c r="K18" s="0" t="n">
        <v>3</v>
      </c>
      <c r="L18" s="5" t="n">
        <v>3</v>
      </c>
      <c r="M18" s="5" t="n">
        <v>3</v>
      </c>
      <c r="N18" s="5" t="n">
        <f aca="false">4-M18</f>
        <v>1</v>
      </c>
      <c r="O18" s="6" t="str">
        <f aca="false">IF(AND(K18=3,L18*N18&gt;=6),"A",IF(AND(K18=3,L18*N18&gt;=3),"B",IF(AND(K18=3,L18*N18&gt;=1),"C","")))</f>
        <v>B</v>
      </c>
      <c r="P18" s="1" t="n">
        <v>1</v>
      </c>
      <c r="Q18" s="5" t="s">
        <v>17</v>
      </c>
      <c r="R18" s="8" t="s">
        <v>18</v>
      </c>
      <c r="S18" s="0" t="n">
        <v>3</v>
      </c>
      <c r="T18" s="5" t="n">
        <v>3</v>
      </c>
      <c r="U18" s="5" t="n">
        <v>3</v>
      </c>
      <c r="V18" s="5" t="n">
        <f aca="false">4-U18</f>
        <v>1</v>
      </c>
      <c r="W18" s="6" t="str">
        <f aca="false">IF(AND(S18=3,T18*V18&gt;=6),"A",IF(AND(S18=3,T18*V18&gt;=3),"B",IF(AND(S18=3,T18*V18&gt;=1),"C","")))</f>
        <v>B</v>
      </c>
      <c r="X18" s="9" t="s">
        <v>19</v>
      </c>
      <c r="Y18" s="5" t="s">
        <v>20</v>
      </c>
      <c r="Z18" s="3" t="s">
        <v>21</v>
      </c>
      <c r="AA18" s="0" t="n">
        <v>3</v>
      </c>
      <c r="AB18" s="5" t="n">
        <v>3</v>
      </c>
      <c r="AC18" s="5" t="n">
        <v>2</v>
      </c>
      <c r="AD18" s="5" t="n">
        <f aca="false">4-AC18</f>
        <v>2</v>
      </c>
      <c r="AE18" s="6" t="str">
        <f aca="false">IF(AND(AA18=3,AB18*AD18&gt;=6),"A",IF(AND(AA18=3,AB18*AD18&gt;=3),"B",IF(AND(AA18=3,AB18*AD18&gt;=1),"C","")))</f>
        <v>A</v>
      </c>
      <c r="AF18" s="4" t="s">
        <v>22</v>
      </c>
      <c r="AI18" s="5" t="n">
        <v>3</v>
      </c>
      <c r="AJ18" s="5" t="n">
        <v>3</v>
      </c>
      <c r="AK18" s="5" t="n">
        <f aca="false">MAX(E18,M18,U18,AC18)</f>
        <v>3</v>
      </c>
      <c r="AL18" s="5" t="n">
        <f aca="false">4-AK18</f>
        <v>1</v>
      </c>
      <c r="AM18" s="6" t="str">
        <f aca="false">IF(AND(AI18=3,AJ18*AL18&gt;=6),"A",IF(AND(AI18=3,AJ18*AL18&gt;=3),"B",IF(AND(AI18=3,AJ18*AL18&gt;=1),"C","")))</f>
        <v>B</v>
      </c>
      <c r="AN18" s="5" t="str">
        <f aca="false">"Scenario-level Threat=3; Step1="&amp;G18&amp;" Step2="&amp;O18&amp;" Step3="&amp;W18&amp;" Step4="&amp;AE18&amp;" ; Overall Threat fixed=3, Max Mitigation="&amp;AK18&amp;" =&gt; Overall="&amp;AM18</f>
        <v>Scenario-level Threat=3; Step1=A Step2=B Step3=B Step4=A ; Overall Threat fixed=3, Max Mitigation=3 =&gt; Overall=B</v>
      </c>
    </row>
    <row r="19" customFormat="false" ht="234.3" hidden="false" customHeight="false" outlineLevel="0" collapsed="false">
      <c r="A19" s="5" t="s">
        <v>12</v>
      </c>
      <c r="B19" s="3" t="s">
        <v>13</v>
      </c>
      <c r="C19" s="0" t="n">
        <v>3</v>
      </c>
      <c r="D19" s="5" t="n">
        <v>3</v>
      </c>
      <c r="E19" s="5" t="n">
        <v>2</v>
      </c>
      <c r="F19" s="5" t="n">
        <f aca="false">4-E19</f>
        <v>2</v>
      </c>
      <c r="G19" s="6" t="str">
        <f aca="false">IF(AND(C19=3,D19*F19&gt;=6),"A",IF(AND(C19=3,D19*F19&gt;=3),"B",IF(AND(C19=3,D19*F19&gt;=1),"C","")))</f>
        <v>A</v>
      </c>
      <c r="H19" s="7" t="s">
        <v>23</v>
      </c>
      <c r="I19" s="5" t="s">
        <v>42</v>
      </c>
      <c r="J19" s="8" t="s">
        <v>43</v>
      </c>
      <c r="K19" s="0" t="n">
        <v>3</v>
      </c>
      <c r="L19" s="5" t="n">
        <v>3</v>
      </c>
      <c r="M19" s="5" t="n">
        <v>3</v>
      </c>
      <c r="N19" s="5" t="n">
        <f aca="false">4-M19</f>
        <v>1</v>
      </c>
      <c r="O19" s="6" t="str">
        <f aca="false">IF(AND(K19=3,L19*N19&gt;=6),"A",IF(AND(K19=3,L19*N19&gt;=3),"B",IF(AND(K19=3,L19*N19&gt;=1),"C","")))</f>
        <v>B</v>
      </c>
      <c r="P19" s="1" t="n">
        <v>1</v>
      </c>
      <c r="Q19" s="5" t="s">
        <v>17</v>
      </c>
      <c r="R19" s="8" t="s">
        <v>18</v>
      </c>
      <c r="S19" s="0" t="n">
        <v>3</v>
      </c>
      <c r="T19" s="5" t="n">
        <v>3</v>
      </c>
      <c r="U19" s="5" t="n">
        <v>3</v>
      </c>
      <c r="V19" s="5" t="n">
        <f aca="false">4-U19</f>
        <v>1</v>
      </c>
      <c r="W19" s="6" t="str">
        <f aca="false">IF(AND(S19=3,T19*V19&gt;=6),"A",IF(AND(S19=3,T19*V19&gt;=3),"B",IF(AND(S19=3,T19*V19&gt;=1),"C","")))</f>
        <v>B</v>
      </c>
      <c r="X19" s="9" t="s">
        <v>19</v>
      </c>
      <c r="Y19" s="5" t="s">
        <v>24</v>
      </c>
      <c r="Z19" s="3" t="s">
        <v>25</v>
      </c>
      <c r="AA19" s="0" t="n">
        <v>3</v>
      </c>
      <c r="AB19" s="5" t="n">
        <v>3</v>
      </c>
      <c r="AC19" s="5" t="n">
        <v>2</v>
      </c>
      <c r="AD19" s="5" t="n">
        <f aca="false">4-AC19</f>
        <v>2</v>
      </c>
      <c r="AE19" s="6" t="str">
        <f aca="false">IF(AND(AA19=3,AB19*AD19&gt;=6),"A",IF(AND(AA19=3,AB19*AD19&gt;=3),"B",IF(AND(AA19=3,AB19*AD19&gt;=1),"C","")))</f>
        <v>A</v>
      </c>
      <c r="AF19" s="4" t="s">
        <v>26</v>
      </c>
      <c r="AI19" s="5" t="n">
        <v>3</v>
      </c>
      <c r="AJ19" s="5" t="n">
        <v>3</v>
      </c>
      <c r="AK19" s="5" t="n">
        <f aca="false">MAX(E19,M19,U19,AC19)</f>
        <v>3</v>
      </c>
      <c r="AL19" s="5" t="n">
        <f aca="false">4-AK19</f>
        <v>1</v>
      </c>
      <c r="AM19" s="6" t="str">
        <f aca="false">IF(AND(AI19=3,AJ19*AL19&gt;=6),"A",IF(AND(AI19=3,AJ19*AL19&gt;=3),"B",IF(AND(AI19=3,AJ19*AL19&gt;=1),"C","")))</f>
        <v>B</v>
      </c>
      <c r="AN19" s="5" t="str">
        <f aca="false">"Scenario-level Threat=3; Step1="&amp;G19&amp;" Step2="&amp;O19&amp;" Step3="&amp;W19&amp;" Step4="&amp;AE19&amp;" ; Overall Threat fixed=3, Max Mitigation="&amp;AK19&amp;" =&gt; Overall="&amp;AM19</f>
        <v>Scenario-level Threat=3; Step1=A Step2=B Step3=B Step4=A ; Overall Threat fixed=3, Max Mitigation=3 =&gt; Overall=B</v>
      </c>
    </row>
    <row r="20" customFormat="false" ht="234.3" hidden="false" customHeight="false" outlineLevel="0" collapsed="false">
      <c r="A20" s="5" t="s">
        <v>12</v>
      </c>
      <c r="B20" s="3" t="s">
        <v>13</v>
      </c>
      <c r="C20" s="0" t="n">
        <v>3</v>
      </c>
      <c r="D20" s="5" t="n">
        <v>3</v>
      </c>
      <c r="E20" s="5" t="n">
        <v>2</v>
      </c>
      <c r="F20" s="5" t="n">
        <f aca="false">4-E20</f>
        <v>2</v>
      </c>
      <c r="G20" s="6" t="str">
        <f aca="false">IF(AND(C20=3,D20*F20&gt;=6),"A",IF(AND(C20=3,D20*F20&gt;=3),"B",IF(AND(C20=3,D20*F20&gt;=1),"C","")))</f>
        <v>A</v>
      </c>
      <c r="H20" s="7" t="s">
        <v>23</v>
      </c>
      <c r="I20" s="5" t="s">
        <v>42</v>
      </c>
      <c r="J20" s="8" t="s">
        <v>43</v>
      </c>
      <c r="K20" s="0" t="n">
        <v>3</v>
      </c>
      <c r="L20" s="5" t="n">
        <v>3</v>
      </c>
      <c r="M20" s="5" t="n">
        <v>3</v>
      </c>
      <c r="N20" s="5" t="n">
        <f aca="false">4-M20</f>
        <v>1</v>
      </c>
      <c r="O20" s="6" t="str">
        <f aca="false">IF(AND(K20=3,L20*N20&gt;=6),"A",IF(AND(K20=3,L20*N20&gt;=3),"B",IF(AND(K20=3,L20*N20&gt;=1),"C","")))</f>
        <v>B</v>
      </c>
      <c r="P20" s="1" t="n">
        <v>1</v>
      </c>
      <c r="Q20" s="5" t="s">
        <v>17</v>
      </c>
      <c r="R20" s="8" t="s">
        <v>18</v>
      </c>
      <c r="S20" s="0" t="n">
        <v>3</v>
      </c>
      <c r="T20" s="5" t="n">
        <v>3</v>
      </c>
      <c r="U20" s="5" t="n">
        <v>3</v>
      </c>
      <c r="V20" s="5" t="n">
        <f aca="false">4-U20</f>
        <v>1</v>
      </c>
      <c r="W20" s="6" t="str">
        <f aca="false">IF(AND(S20=3,T20*V20&gt;=6),"A",IF(AND(S20=3,T20*V20&gt;=3),"B",IF(AND(S20=3,T20*V20&gt;=1),"C","")))</f>
        <v>B</v>
      </c>
      <c r="X20" s="9" t="s">
        <v>19</v>
      </c>
      <c r="Y20" s="5" t="s">
        <v>27</v>
      </c>
      <c r="Z20" s="7" t="s">
        <v>28</v>
      </c>
      <c r="AA20" s="0" t="n">
        <v>3</v>
      </c>
      <c r="AB20" s="5" t="n">
        <v>3</v>
      </c>
      <c r="AC20" s="5" t="n">
        <v>3</v>
      </c>
      <c r="AD20" s="5" t="n">
        <f aca="false">4-AC20</f>
        <v>1</v>
      </c>
      <c r="AE20" s="6" t="str">
        <f aca="false">IF(AND(AA20=3,AB20*AD20&gt;=6),"A",IF(AND(AA20=3,AB20*AD20&gt;=3),"B",IF(AND(AA20=3,AB20*AD20&gt;=1),"C","")))</f>
        <v>B</v>
      </c>
      <c r="AF20" s="10" t="s">
        <v>29</v>
      </c>
      <c r="AI20" s="5" t="n">
        <v>3</v>
      </c>
      <c r="AJ20" s="5" t="n">
        <v>3</v>
      </c>
      <c r="AK20" s="5" t="n">
        <f aca="false">MAX(E20,M20,U20,AC20)</f>
        <v>3</v>
      </c>
      <c r="AL20" s="5" t="n">
        <f aca="false">4-AK20</f>
        <v>1</v>
      </c>
      <c r="AM20" s="6" t="str">
        <f aca="false">IF(AND(AI20=3,AJ20*AL20&gt;=6),"A",IF(AND(AI20=3,AJ20*AL20&gt;=3),"B",IF(AND(AI20=3,AJ20*AL20&gt;=1),"C","")))</f>
        <v>B</v>
      </c>
      <c r="AN20" s="5" t="str">
        <f aca="false">"Scenario-level Threat=3; Step1="&amp;G20&amp;" Step2="&amp;O20&amp;" Step3="&amp;W20&amp;" Step4="&amp;AE20&amp;" ; Overall Threat fixed=3, Max Mitigation="&amp;AK20&amp;" =&gt; Overall="&amp;AM20</f>
        <v>Scenario-level Threat=3; Step1=A Step2=B Step3=B Step4=B ; Overall Threat fixed=3, Max Mitigation=3 =&gt; Overall=B</v>
      </c>
    </row>
    <row r="21" customFormat="false" ht="234.3" hidden="false" customHeight="false" outlineLevel="0" collapsed="false">
      <c r="A21" s="5" t="s">
        <v>12</v>
      </c>
      <c r="B21" s="3" t="s">
        <v>13</v>
      </c>
      <c r="C21" s="0" t="n">
        <v>3</v>
      </c>
      <c r="D21" s="5" t="n">
        <v>3</v>
      </c>
      <c r="E21" s="5" t="n">
        <v>2</v>
      </c>
      <c r="F21" s="5" t="n">
        <f aca="false">4-E21</f>
        <v>2</v>
      </c>
      <c r="G21" s="6" t="str">
        <f aca="false">IF(AND(C21=3,D21*F21&gt;=6),"A",IF(AND(C21=3,D21*F21&gt;=3),"B",IF(AND(C21=3,D21*F21&gt;=1),"C","")))</f>
        <v>A</v>
      </c>
      <c r="H21" s="7" t="s">
        <v>23</v>
      </c>
      <c r="I21" s="5" t="s">
        <v>42</v>
      </c>
      <c r="J21" s="8" t="s">
        <v>43</v>
      </c>
      <c r="K21" s="0" t="n">
        <v>3</v>
      </c>
      <c r="L21" s="5" t="n">
        <v>3</v>
      </c>
      <c r="M21" s="5" t="n">
        <v>3</v>
      </c>
      <c r="N21" s="5" t="n">
        <f aca="false">4-M21</f>
        <v>1</v>
      </c>
      <c r="O21" s="6" t="str">
        <f aca="false">IF(AND(K21=3,L21*N21&gt;=6),"A",IF(AND(K21=3,L21*N21&gt;=3),"B",IF(AND(K21=3,L21*N21&gt;=1),"C","")))</f>
        <v>B</v>
      </c>
      <c r="P21" s="1" t="n">
        <v>1</v>
      </c>
      <c r="Q21" s="5" t="s">
        <v>17</v>
      </c>
      <c r="R21" s="8" t="s">
        <v>18</v>
      </c>
      <c r="S21" s="0" t="n">
        <v>3</v>
      </c>
      <c r="T21" s="5" t="n">
        <v>3</v>
      </c>
      <c r="U21" s="5" t="n">
        <v>3</v>
      </c>
      <c r="V21" s="5" t="n">
        <f aca="false">4-U21</f>
        <v>1</v>
      </c>
      <c r="W21" s="6" t="str">
        <f aca="false">IF(AND(S21=3,T21*V21&gt;=6),"A",IF(AND(S21=3,T21*V21&gt;=3),"B",IF(AND(S21=3,T21*V21&gt;=1),"C","")))</f>
        <v>B</v>
      </c>
      <c r="X21" s="9" t="s">
        <v>19</v>
      </c>
      <c r="Y21" s="5" t="s">
        <v>30</v>
      </c>
      <c r="Z21" s="9" t="s">
        <v>31</v>
      </c>
      <c r="AA21" s="0" t="n">
        <v>3</v>
      </c>
      <c r="AB21" s="5" t="n">
        <v>3</v>
      </c>
      <c r="AC21" s="5" t="n">
        <v>2</v>
      </c>
      <c r="AD21" s="5" t="n">
        <f aca="false">4-AC21</f>
        <v>2</v>
      </c>
      <c r="AE21" s="6" t="str">
        <f aca="false">IF(AND(AA21=3,AB21*AD21&gt;=6),"A",IF(AND(AA21=3,AB21*AD21&gt;=3),"B",IF(AND(AA21=3,AB21*AD21&gt;=1),"C","")))</f>
        <v>A</v>
      </c>
      <c r="AF21" s="10" t="s">
        <v>32</v>
      </c>
      <c r="AI21" s="5" t="n">
        <v>3</v>
      </c>
      <c r="AJ21" s="5" t="n">
        <v>3</v>
      </c>
      <c r="AK21" s="5" t="n">
        <f aca="false">MAX(E21,M21,U21,AC21)</f>
        <v>3</v>
      </c>
      <c r="AL21" s="5" t="n">
        <f aca="false">4-AK21</f>
        <v>1</v>
      </c>
      <c r="AM21" s="6" t="str">
        <f aca="false">IF(AND(AI21=3,AJ21*AL21&gt;=6),"A",IF(AND(AI21=3,AJ21*AL21&gt;=3),"B",IF(AND(AI21=3,AJ21*AL21&gt;=1),"C","")))</f>
        <v>B</v>
      </c>
      <c r="AN21" s="5" t="str">
        <f aca="false">"Scenario-level Threat=3; Step1="&amp;G21&amp;" Step2="&amp;O21&amp;" Step3="&amp;W21&amp;" Step4="&amp;AE21&amp;" ; Overall Threat fixed=3, Max Mitigation="&amp;AK21&amp;" =&gt; Overall="&amp;AM21</f>
        <v>Scenario-level Threat=3; Step1=A Step2=B Step3=B Step4=A ; Overall Threat fixed=3, Max Mitigation=3 =&gt; Overall=B</v>
      </c>
    </row>
    <row r="22" customFormat="false" ht="194" hidden="false" customHeight="false" outlineLevel="0" collapsed="false">
      <c r="A22" s="5" t="s">
        <v>12</v>
      </c>
      <c r="B22" s="3" t="s">
        <v>13</v>
      </c>
      <c r="C22" s="0" t="n">
        <v>3</v>
      </c>
      <c r="D22" s="5" t="n">
        <v>3</v>
      </c>
      <c r="E22" s="5" t="n">
        <v>2</v>
      </c>
      <c r="F22" s="5" t="n">
        <f aca="false">4-E22</f>
        <v>2</v>
      </c>
      <c r="G22" s="6" t="str">
        <f aca="false">IF(AND(C22=3,D22*F22&gt;=6),"A",IF(AND(C22=3,D22*F22&gt;=3),"B",IF(AND(C22=3,D22*F22&gt;=1),"C","")))</f>
        <v>A</v>
      </c>
      <c r="H22" s="7" t="s">
        <v>23</v>
      </c>
      <c r="I22" s="5" t="s">
        <v>42</v>
      </c>
      <c r="J22" s="8" t="s">
        <v>43</v>
      </c>
      <c r="K22" s="0" t="n">
        <v>3</v>
      </c>
      <c r="L22" s="5" t="n">
        <v>3</v>
      </c>
      <c r="M22" s="5" t="n">
        <v>3</v>
      </c>
      <c r="N22" s="5" t="n">
        <f aca="false">4-M22</f>
        <v>1</v>
      </c>
      <c r="O22" s="6" t="str">
        <f aca="false">IF(AND(K22=3,L22*N22&gt;=6),"A",IF(AND(K22=3,L22*N22&gt;=3),"B",IF(AND(K22=3,L22*N22&gt;=1),"C","")))</f>
        <v>B</v>
      </c>
      <c r="P22" s="1" t="n">
        <v>1</v>
      </c>
      <c r="Q22" s="5" t="s">
        <v>33</v>
      </c>
      <c r="R22" s="8" t="s">
        <v>34</v>
      </c>
      <c r="S22" s="0" t="n">
        <v>3</v>
      </c>
      <c r="T22" s="5" t="n">
        <v>3</v>
      </c>
      <c r="U22" s="5" t="n">
        <v>3</v>
      </c>
      <c r="V22" s="5" t="n">
        <f aca="false">4-U22</f>
        <v>1</v>
      </c>
      <c r="W22" s="6" t="str">
        <f aca="false">IF(AND(S22=3,T22*V22&gt;=6),"A",IF(AND(S22=3,T22*V22&gt;=3),"B",IF(AND(S22=3,T22*V22&gt;=1),"C","")))</f>
        <v>B</v>
      </c>
      <c r="X22" s="9" t="s">
        <v>35</v>
      </c>
      <c r="Y22" s="5" t="s">
        <v>20</v>
      </c>
      <c r="Z22" s="3" t="s">
        <v>21</v>
      </c>
      <c r="AA22" s="0" t="n">
        <v>3</v>
      </c>
      <c r="AB22" s="5" t="n">
        <v>3</v>
      </c>
      <c r="AC22" s="5" t="n">
        <v>2</v>
      </c>
      <c r="AD22" s="5" t="n">
        <f aca="false">4-AC22</f>
        <v>2</v>
      </c>
      <c r="AE22" s="6" t="str">
        <f aca="false">IF(AND(AA22=3,AB22*AD22&gt;=6),"A",IF(AND(AA22=3,AB22*AD22&gt;=3),"B",IF(AND(AA22=3,AB22*AD22&gt;=1),"C","")))</f>
        <v>A</v>
      </c>
      <c r="AF22" s="4" t="s">
        <v>22</v>
      </c>
      <c r="AI22" s="5" t="n">
        <v>3</v>
      </c>
      <c r="AJ22" s="5" t="n">
        <v>3</v>
      </c>
      <c r="AK22" s="5" t="n">
        <f aca="false">MAX(E22,M22,U22,AC22)</f>
        <v>3</v>
      </c>
      <c r="AL22" s="5" t="n">
        <f aca="false">4-AK22</f>
        <v>1</v>
      </c>
      <c r="AM22" s="6" t="str">
        <f aca="false">IF(AND(AI22=3,AJ22*AL22&gt;=6),"A",IF(AND(AI22=3,AJ22*AL22&gt;=3),"B",IF(AND(AI22=3,AJ22*AL22&gt;=1),"C","")))</f>
        <v>B</v>
      </c>
      <c r="AN22" s="5" t="str">
        <f aca="false">"Scenario-level Threat=3; Step1="&amp;G22&amp;" Step2="&amp;O22&amp;" Step3="&amp;W22&amp;" Step4="&amp;AE22&amp;" ; Overall Threat fixed=3, Max Mitigation="&amp;AK22&amp;" =&gt; Overall="&amp;AM22</f>
        <v>Scenario-level Threat=3; Step1=A Step2=B Step3=B Step4=A ; Overall Threat fixed=3, Max Mitigation=3 =&gt; Overall=B</v>
      </c>
    </row>
    <row r="23" customFormat="false" ht="194" hidden="false" customHeight="false" outlineLevel="0" collapsed="false">
      <c r="A23" s="5" t="s">
        <v>12</v>
      </c>
      <c r="B23" s="3" t="s">
        <v>13</v>
      </c>
      <c r="C23" s="0" t="n">
        <v>3</v>
      </c>
      <c r="D23" s="5" t="n">
        <v>3</v>
      </c>
      <c r="E23" s="5" t="n">
        <v>2</v>
      </c>
      <c r="F23" s="5" t="n">
        <f aca="false">4-E23</f>
        <v>2</v>
      </c>
      <c r="G23" s="6" t="str">
        <f aca="false">IF(AND(C23=3,D23*F23&gt;=6),"A",IF(AND(C23=3,D23*F23&gt;=3),"B",IF(AND(C23=3,D23*F23&gt;=1),"C","")))</f>
        <v>A</v>
      </c>
      <c r="H23" s="7" t="s">
        <v>23</v>
      </c>
      <c r="I23" s="5" t="s">
        <v>42</v>
      </c>
      <c r="J23" s="8" t="s">
        <v>43</v>
      </c>
      <c r="K23" s="0" t="n">
        <v>3</v>
      </c>
      <c r="L23" s="5" t="n">
        <v>3</v>
      </c>
      <c r="M23" s="5" t="n">
        <v>3</v>
      </c>
      <c r="N23" s="5" t="n">
        <f aca="false">4-M23</f>
        <v>1</v>
      </c>
      <c r="O23" s="6" t="str">
        <f aca="false">IF(AND(K23=3,L23*N23&gt;=6),"A",IF(AND(K23=3,L23*N23&gt;=3),"B",IF(AND(K23=3,L23*N23&gt;=1),"C","")))</f>
        <v>B</v>
      </c>
      <c r="P23" s="1" t="n">
        <v>1</v>
      </c>
      <c r="Q23" s="5" t="s">
        <v>33</v>
      </c>
      <c r="R23" s="8" t="s">
        <v>34</v>
      </c>
      <c r="S23" s="0" t="n">
        <v>3</v>
      </c>
      <c r="T23" s="5" t="n">
        <v>3</v>
      </c>
      <c r="U23" s="5" t="n">
        <v>3</v>
      </c>
      <c r="V23" s="5" t="n">
        <f aca="false">4-U23</f>
        <v>1</v>
      </c>
      <c r="W23" s="6" t="str">
        <f aca="false">IF(AND(S23=3,T23*V23&gt;=6),"A",IF(AND(S23=3,T23*V23&gt;=3),"B",IF(AND(S23=3,T23*V23&gt;=1),"C","")))</f>
        <v>B</v>
      </c>
      <c r="X23" s="9" t="s">
        <v>35</v>
      </c>
      <c r="Y23" s="5" t="s">
        <v>24</v>
      </c>
      <c r="Z23" s="3" t="s">
        <v>25</v>
      </c>
      <c r="AA23" s="0" t="n">
        <v>3</v>
      </c>
      <c r="AB23" s="5" t="n">
        <v>3</v>
      </c>
      <c r="AC23" s="5" t="n">
        <v>2</v>
      </c>
      <c r="AD23" s="5" t="n">
        <f aca="false">4-AC23</f>
        <v>2</v>
      </c>
      <c r="AE23" s="6" t="str">
        <f aca="false">IF(AND(AA23=3,AB23*AD23&gt;=6),"A",IF(AND(AA23=3,AB23*AD23&gt;=3),"B",IF(AND(AA23=3,AB23*AD23&gt;=1),"C","")))</f>
        <v>A</v>
      </c>
      <c r="AF23" s="4" t="s">
        <v>26</v>
      </c>
      <c r="AI23" s="5" t="n">
        <v>3</v>
      </c>
      <c r="AJ23" s="5" t="n">
        <v>3</v>
      </c>
      <c r="AK23" s="5" t="n">
        <f aca="false">MAX(E23,M23,U23,AC23)</f>
        <v>3</v>
      </c>
      <c r="AL23" s="5" t="n">
        <f aca="false">4-AK23</f>
        <v>1</v>
      </c>
      <c r="AM23" s="6" t="str">
        <f aca="false">IF(AND(AI23=3,AJ23*AL23&gt;=6),"A",IF(AND(AI23=3,AJ23*AL23&gt;=3),"B",IF(AND(AI23=3,AJ23*AL23&gt;=1),"C","")))</f>
        <v>B</v>
      </c>
      <c r="AN23" s="5" t="str">
        <f aca="false">"Scenario-level Threat=3; Step1="&amp;G23&amp;" Step2="&amp;O23&amp;" Step3="&amp;W23&amp;" Step4="&amp;AE23&amp;" ; Overall Threat fixed=3, Max Mitigation="&amp;AK23&amp;" =&gt; Overall="&amp;AM23</f>
        <v>Scenario-level Threat=3; Step1=A Step2=B Step3=B Step4=A ; Overall Threat fixed=3, Max Mitigation=3 =&gt; Overall=B</v>
      </c>
    </row>
    <row r="24" customFormat="false" ht="196.25" hidden="false" customHeight="false" outlineLevel="0" collapsed="false">
      <c r="A24" s="5" t="s">
        <v>12</v>
      </c>
      <c r="B24" s="3" t="s">
        <v>13</v>
      </c>
      <c r="C24" s="0" t="n">
        <v>3</v>
      </c>
      <c r="D24" s="5" t="n">
        <v>3</v>
      </c>
      <c r="E24" s="5" t="n">
        <v>2</v>
      </c>
      <c r="F24" s="5" t="n">
        <f aca="false">4-E24</f>
        <v>2</v>
      </c>
      <c r="G24" s="6" t="str">
        <f aca="false">IF(AND(C24=3,D24*F24&gt;=6),"A",IF(AND(C24=3,D24*F24&gt;=3),"B",IF(AND(C24=3,D24*F24&gt;=1),"C","")))</f>
        <v>A</v>
      </c>
      <c r="H24" s="7" t="s">
        <v>23</v>
      </c>
      <c r="I24" s="5" t="s">
        <v>42</v>
      </c>
      <c r="J24" s="8" t="s">
        <v>43</v>
      </c>
      <c r="K24" s="0" t="n">
        <v>3</v>
      </c>
      <c r="L24" s="5" t="n">
        <v>3</v>
      </c>
      <c r="M24" s="5" t="n">
        <v>3</v>
      </c>
      <c r="N24" s="5" t="n">
        <f aca="false">4-M24</f>
        <v>1</v>
      </c>
      <c r="O24" s="6" t="str">
        <f aca="false">IF(AND(K24=3,L24*N24&gt;=6),"A",IF(AND(K24=3,L24*N24&gt;=3),"B",IF(AND(K24=3,L24*N24&gt;=1),"C","")))</f>
        <v>B</v>
      </c>
      <c r="P24" s="1" t="n">
        <v>1</v>
      </c>
      <c r="Q24" s="5" t="s">
        <v>33</v>
      </c>
      <c r="R24" s="8" t="s">
        <v>34</v>
      </c>
      <c r="S24" s="0" t="n">
        <v>3</v>
      </c>
      <c r="T24" s="5" t="n">
        <v>3</v>
      </c>
      <c r="U24" s="5" t="n">
        <v>3</v>
      </c>
      <c r="V24" s="5" t="n">
        <f aca="false">4-U24</f>
        <v>1</v>
      </c>
      <c r="W24" s="6" t="str">
        <f aca="false">IF(AND(S24=3,T24*V24&gt;=6),"A",IF(AND(S24=3,T24*V24&gt;=3),"B",IF(AND(S24=3,T24*V24&gt;=1),"C","")))</f>
        <v>B</v>
      </c>
      <c r="X24" s="9" t="s">
        <v>35</v>
      </c>
      <c r="Y24" s="5" t="s">
        <v>27</v>
      </c>
      <c r="Z24" s="7" t="s">
        <v>28</v>
      </c>
      <c r="AA24" s="0" t="n">
        <v>3</v>
      </c>
      <c r="AB24" s="5" t="n">
        <v>3</v>
      </c>
      <c r="AC24" s="5" t="n">
        <v>3</v>
      </c>
      <c r="AD24" s="5" t="n">
        <f aca="false">4-AC24</f>
        <v>1</v>
      </c>
      <c r="AE24" s="6" t="str">
        <f aca="false">IF(AND(AA24=3,AB24*AD24&gt;=6),"A",IF(AND(AA24=3,AB24*AD24&gt;=3),"B",IF(AND(AA24=3,AB24*AD24&gt;=1),"C","")))</f>
        <v>B</v>
      </c>
      <c r="AF24" s="10" t="s">
        <v>29</v>
      </c>
      <c r="AI24" s="5" t="n">
        <v>3</v>
      </c>
      <c r="AJ24" s="5" t="n">
        <v>3</v>
      </c>
      <c r="AK24" s="5" t="n">
        <f aca="false">MAX(E24,M24,U24,AC24)</f>
        <v>3</v>
      </c>
      <c r="AL24" s="5" t="n">
        <f aca="false">4-AK24</f>
        <v>1</v>
      </c>
      <c r="AM24" s="6" t="str">
        <f aca="false">IF(AND(AI24=3,AJ24*AL24&gt;=6),"A",IF(AND(AI24=3,AJ24*AL24&gt;=3),"B",IF(AND(AI24=3,AJ24*AL24&gt;=1),"C","")))</f>
        <v>B</v>
      </c>
      <c r="AN24" s="5" t="str">
        <f aca="false">"Scenario-level Threat=3; Step1="&amp;G24&amp;" Step2="&amp;O24&amp;" Step3="&amp;W24&amp;" Step4="&amp;AE24&amp;" ; Overall Threat fixed=3, Max Mitigation="&amp;AK24&amp;" =&gt; Overall="&amp;AM24</f>
        <v>Scenario-level Threat=3; Step1=A Step2=B Step3=B Step4=B ; Overall Threat fixed=3, Max Mitigation=3 =&gt; Overall=B</v>
      </c>
    </row>
    <row r="25" customFormat="false" ht="194" hidden="false" customHeight="false" outlineLevel="0" collapsed="false">
      <c r="A25" s="5" t="s">
        <v>12</v>
      </c>
      <c r="B25" s="3" t="s">
        <v>13</v>
      </c>
      <c r="C25" s="0" t="n">
        <v>3</v>
      </c>
      <c r="D25" s="5" t="n">
        <v>3</v>
      </c>
      <c r="E25" s="5" t="n">
        <v>2</v>
      </c>
      <c r="F25" s="5" t="n">
        <f aca="false">4-E25</f>
        <v>2</v>
      </c>
      <c r="G25" s="6" t="str">
        <f aca="false">IF(AND(C25=3,D25*F25&gt;=6),"A",IF(AND(C25=3,D25*F25&gt;=3),"B",IF(AND(C25=3,D25*F25&gt;=1),"C","")))</f>
        <v>A</v>
      </c>
      <c r="H25" s="7" t="s">
        <v>23</v>
      </c>
      <c r="I25" s="5" t="s">
        <v>42</v>
      </c>
      <c r="J25" s="8" t="s">
        <v>43</v>
      </c>
      <c r="K25" s="0" t="n">
        <v>3</v>
      </c>
      <c r="L25" s="5" t="n">
        <v>3</v>
      </c>
      <c r="M25" s="5" t="n">
        <v>3</v>
      </c>
      <c r="N25" s="5" t="n">
        <f aca="false">4-M25</f>
        <v>1</v>
      </c>
      <c r="O25" s="6" t="str">
        <f aca="false">IF(AND(K25=3,L25*N25&gt;=6),"A",IF(AND(K25=3,L25*N25&gt;=3),"B",IF(AND(K25=3,L25*N25&gt;=1),"C","")))</f>
        <v>B</v>
      </c>
      <c r="P25" s="1" t="n">
        <v>1</v>
      </c>
      <c r="Q25" s="5" t="s">
        <v>33</v>
      </c>
      <c r="R25" s="8" t="s">
        <v>34</v>
      </c>
      <c r="S25" s="0" t="n">
        <v>3</v>
      </c>
      <c r="T25" s="5" t="n">
        <v>3</v>
      </c>
      <c r="U25" s="5" t="n">
        <v>3</v>
      </c>
      <c r="V25" s="5" t="n">
        <f aca="false">4-U25</f>
        <v>1</v>
      </c>
      <c r="W25" s="6" t="str">
        <f aca="false">IF(AND(S25=3,T25*V25&gt;=6),"A",IF(AND(S25=3,T25*V25&gt;=3),"B",IF(AND(S25=3,T25*V25&gt;=1),"C","")))</f>
        <v>B</v>
      </c>
      <c r="X25" s="9" t="s">
        <v>35</v>
      </c>
      <c r="Y25" s="5" t="s">
        <v>30</v>
      </c>
      <c r="Z25" s="9" t="s">
        <v>31</v>
      </c>
      <c r="AA25" s="0" t="n">
        <v>3</v>
      </c>
      <c r="AB25" s="5" t="n">
        <v>3</v>
      </c>
      <c r="AC25" s="5" t="n">
        <v>2</v>
      </c>
      <c r="AD25" s="5" t="n">
        <f aca="false">4-AC25</f>
        <v>2</v>
      </c>
      <c r="AE25" s="6" t="str">
        <f aca="false">IF(AND(AA25=3,AB25*AD25&gt;=6),"A",IF(AND(AA25=3,AB25*AD25&gt;=3),"B",IF(AND(AA25=3,AB25*AD25&gt;=1),"C","")))</f>
        <v>A</v>
      </c>
      <c r="AF25" s="10" t="s">
        <v>32</v>
      </c>
      <c r="AI25" s="5" t="n">
        <v>3</v>
      </c>
      <c r="AJ25" s="5" t="n">
        <v>3</v>
      </c>
      <c r="AK25" s="5" t="n">
        <f aca="false">MAX(E25,M25,U25,AC25)</f>
        <v>3</v>
      </c>
      <c r="AL25" s="5" t="n">
        <f aca="false">4-AK25</f>
        <v>1</v>
      </c>
      <c r="AM25" s="6" t="str">
        <f aca="false">IF(AND(AI25=3,AJ25*AL25&gt;=6),"A",IF(AND(AI25=3,AJ25*AL25&gt;=3),"B",IF(AND(AI25=3,AJ25*AL25&gt;=1),"C","")))</f>
        <v>B</v>
      </c>
      <c r="AN25" s="5" t="str">
        <f aca="false">"Scenario-level Threat=3; Step1="&amp;G25&amp;" Step2="&amp;O25&amp;" Step3="&amp;W25&amp;" Step4="&amp;AE25&amp;" ; Overall Threat fixed=3, Max Mitigation="&amp;AK25&amp;" =&gt; Overall="&amp;AM25</f>
        <v>Scenario-level Threat=3; Step1=A Step2=B Step3=B Step4=A ; Overall Threat fixed=3, Max Mitigation=3 =&gt; Overall=B</v>
      </c>
    </row>
    <row r="26" customFormat="false" ht="122.35" hidden="false" customHeight="false" outlineLevel="0" collapsed="false">
      <c r="A26" s="5" t="s">
        <v>12</v>
      </c>
      <c r="B26" s="3" t="s">
        <v>13</v>
      </c>
      <c r="C26" s="0" t="n">
        <v>3</v>
      </c>
      <c r="D26" s="5" t="n">
        <v>3</v>
      </c>
      <c r="E26" s="5" t="n">
        <v>2</v>
      </c>
      <c r="F26" s="5" t="n">
        <f aca="false">4-E26</f>
        <v>2</v>
      </c>
      <c r="G26" s="6" t="str">
        <f aca="false">IF(AND(C26=3,D26*F26&gt;=6),"A",IF(AND(C26=3,D26*F26&gt;=3),"B",IF(AND(C26=3,D26*F26&gt;=1),"C","")))</f>
        <v>A</v>
      </c>
      <c r="H26" s="7" t="s">
        <v>23</v>
      </c>
      <c r="I26" s="5" t="s">
        <v>42</v>
      </c>
      <c r="J26" s="8" t="s">
        <v>43</v>
      </c>
      <c r="K26" s="0" t="n">
        <v>3</v>
      </c>
      <c r="L26" s="5" t="n">
        <v>3</v>
      </c>
      <c r="M26" s="5" t="n">
        <v>3</v>
      </c>
      <c r="N26" s="5" t="n">
        <f aca="false">4-M26</f>
        <v>1</v>
      </c>
      <c r="O26" s="6" t="str">
        <f aca="false">IF(AND(K26=3,L26*N26&gt;=6),"A",IF(AND(K26=3,L26*N26&gt;=3),"B",IF(AND(K26=3,L26*N26&gt;=1),"C","")))</f>
        <v>B</v>
      </c>
      <c r="P26" s="1" t="n">
        <v>1</v>
      </c>
      <c r="Q26" s="5" t="s">
        <v>36</v>
      </c>
      <c r="R26" s="4" t="s">
        <v>37</v>
      </c>
      <c r="S26" s="0" t="n">
        <v>3</v>
      </c>
      <c r="T26" s="5" t="n">
        <v>3</v>
      </c>
      <c r="U26" s="5" t="n">
        <v>3</v>
      </c>
      <c r="V26" s="5" t="n">
        <f aca="false">4-U26</f>
        <v>1</v>
      </c>
      <c r="W26" s="6" t="str">
        <f aca="false">IF(AND(S26=3,T26*V26&gt;=6),"A",IF(AND(S26=3,T26*V26&gt;=3),"B",IF(AND(S26=3,T26*V26&gt;=1),"C","")))</f>
        <v>B</v>
      </c>
      <c r="X26" s="7" t="s">
        <v>38</v>
      </c>
      <c r="Y26" s="5" t="s">
        <v>20</v>
      </c>
      <c r="Z26" s="3" t="s">
        <v>21</v>
      </c>
      <c r="AA26" s="0" t="n">
        <v>3</v>
      </c>
      <c r="AB26" s="5" t="n">
        <v>3</v>
      </c>
      <c r="AC26" s="5" t="n">
        <v>2</v>
      </c>
      <c r="AD26" s="5" t="n">
        <f aca="false">4-AC26</f>
        <v>2</v>
      </c>
      <c r="AE26" s="6" t="str">
        <f aca="false">IF(AND(AA26=3,AB26*AD26&gt;=6),"A",IF(AND(AA26=3,AB26*AD26&gt;=3),"B",IF(AND(AA26=3,AB26*AD26&gt;=1),"C","")))</f>
        <v>A</v>
      </c>
      <c r="AF26" s="4" t="s">
        <v>22</v>
      </c>
      <c r="AI26" s="5" t="n">
        <v>3</v>
      </c>
      <c r="AJ26" s="5" t="n">
        <v>3</v>
      </c>
      <c r="AK26" s="5" t="n">
        <f aca="false">MAX(E26,M26,U26,AC26)</f>
        <v>3</v>
      </c>
      <c r="AL26" s="5" t="n">
        <f aca="false">4-AK26</f>
        <v>1</v>
      </c>
      <c r="AM26" s="6" t="str">
        <f aca="false">IF(AND(AI26=3,AJ26*AL26&gt;=6),"A",IF(AND(AI26=3,AJ26*AL26&gt;=3),"B",IF(AND(AI26=3,AJ26*AL26&gt;=1),"C","")))</f>
        <v>B</v>
      </c>
      <c r="AN26" s="5" t="str">
        <f aca="false">"Scenario-level Threat=3; Step1="&amp;G26&amp;" Step2="&amp;O26&amp;" Step3="&amp;W26&amp;" Step4="&amp;AE26&amp;" ; Overall Threat fixed=3, Max Mitigation="&amp;AK26&amp;" =&gt; Overall="&amp;AM26</f>
        <v>Scenario-level Threat=3; Step1=A Step2=B Step3=B Step4=A ; Overall Threat fixed=3, Max Mitigation=3 =&gt; Overall=B</v>
      </c>
    </row>
    <row r="27" customFormat="false" ht="122.35" hidden="false" customHeight="false" outlineLevel="0" collapsed="false">
      <c r="A27" s="5" t="s">
        <v>12</v>
      </c>
      <c r="B27" s="3" t="s">
        <v>13</v>
      </c>
      <c r="C27" s="0" t="n">
        <v>3</v>
      </c>
      <c r="D27" s="5" t="n">
        <v>3</v>
      </c>
      <c r="E27" s="5" t="n">
        <v>2</v>
      </c>
      <c r="F27" s="5" t="n">
        <f aca="false">4-E27</f>
        <v>2</v>
      </c>
      <c r="G27" s="6" t="str">
        <f aca="false">IF(AND(C27=3,D27*F27&gt;=6),"A",IF(AND(C27=3,D27*F27&gt;=3),"B",IF(AND(C27=3,D27*F27&gt;=1),"C","")))</f>
        <v>A</v>
      </c>
      <c r="H27" s="7" t="s">
        <v>23</v>
      </c>
      <c r="I27" s="5" t="s">
        <v>42</v>
      </c>
      <c r="J27" s="8" t="s">
        <v>43</v>
      </c>
      <c r="K27" s="0" t="n">
        <v>3</v>
      </c>
      <c r="L27" s="5" t="n">
        <v>3</v>
      </c>
      <c r="M27" s="5" t="n">
        <v>3</v>
      </c>
      <c r="N27" s="5" t="n">
        <f aca="false">4-M27</f>
        <v>1</v>
      </c>
      <c r="O27" s="6" t="str">
        <f aca="false">IF(AND(K27=3,L27*N27&gt;=6),"A",IF(AND(K27=3,L27*N27&gt;=3),"B",IF(AND(K27=3,L27*N27&gt;=1),"C","")))</f>
        <v>B</v>
      </c>
      <c r="P27" s="1" t="n">
        <v>1</v>
      </c>
      <c r="Q27" s="5" t="s">
        <v>36</v>
      </c>
      <c r="R27" s="4" t="s">
        <v>37</v>
      </c>
      <c r="S27" s="0" t="n">
        <v>3</v>
      </c>
      <c r="T27" s="5" t="n">
        <v>3</v>
      </c>
      <c r="U27" s="5" t="n">
        <v>3</v>
      </c>
      <c r="V27" s="5" t="n">
        <f aca="false">4-U27</f>
        <v>1</v>
      </c>
      <c r="W27" s="6" t="str">
        <f aca="false">IF(AND(S27=3,T27*V27&gt;=6),"A",IF(AND(S27=3,T27*V27&gt;=3),"B",IF(AND(S27=3,T27*V27&gt;=1),"C","")))</f>
        <v>B</v>
      </c>
      <c r="X27" s="7" t="s">
        <v>38</v>
      </c>
      <c r="Y27" s="5" t="s">
        <v>24</v>
      </c>
      <c r="Z27" s="3" t="s">
        <v>25</v>
      </c>
      <c r="AA27" s="0" t="n">
        <v>3</v>
      </c>
      <c r="AB27" s="5" t="n">
        <v>3</v>
      </c>
      <c r="AC27" s="5" t="n">
        <v>2</v>
      </c>
      <c r="AD27" s="5" t="n">
        <f aca="false">4-AC27</f>
        <v>2</v>
      </c>
      <c r="AE27" s="6" t="str">
        <f aca="false">IF(AND(AA27=3,AB27*AD27&gt;=6),"A",IF(AND(AA27=3,AB27*AD27&gt;=3),"B",IF(AND(AA27=3,AB27*AD27&gt;=1),"C","")))</f>
        <v>A</v>
      </c>
      <c r="AF27" s="4" t="s">
        <v>26</v>
      </c>
      <c r="AI27" s="5" t="n">
        <v>3</v>
      </c>
      <c r="AJ27" s="5" t="n">
        <v>3</v>
      </c>
      <c r="AK27" s="5" t="n">
        <f aca="false">MAX(E27,M27,U27,AC27)</f>
        <v>3</v>
      </c>
      <c r="AL27" s="5" t="n">
        <f aca="false">4-AK27</f>
        <v>1</v>
      </c>
      <c r="AM27" s="6" t="str">
        <f aca="false">IF(AND(AI27=3,AJ27*AL27&gt;=6),"A",IF(AND(AI27=3,AJ27*AL27&gt;=3),"B",IF(AND(AI27=3,AJ27*AL27&gt;=1),"C","")))</f>
        <v>B</v>
      </c>
      <c r="AN27" s="5" t="str">
        <f aca="false">"Scenario-level Threat=3; Step1="&amp;G27&amp;" Step2="&amp;O27&amp;" Step3="&amp;W27&amp;" Step4="&amp;AE27&amp;" ; Overall Threat fixed=3, Max Mitigation="&amp;AK27&amp;" =&gt; Overall="&amp;AM27</f>
        <v>Scenario-level Threat=3; Step1=A Step2=B Step3=B Step4=A ; Overall Threat fixed=3, Max Mitigation=3 =&gt; Overall=B</v>
      </c>
    </row>
    <row r="28" customFormat="false" ht="196.25" hidden="false" customHeight="false" outlineLevel="0" collapsed="false">
      <c r="A28" s="5" t="s">
        <v>12</v>
      </c>
      <c r="B28" s="3" t="s">
        <v>13</v>
      </c>
      <c r="C28" s="0" t="n">
        <v>3</v>
      </c>
      <c r="D28" s="5" t="n">
        <v>3</v>
      </c>
      <c r="E28" s="5" t="n">
        <v>2</v>
      </c>
      <c r="F28" s="5" t="n">
        <f aca="false">4-E28</f>
        <v>2</v>
      </c>
      <c r="G28" s="6" t="str">
        <f aca="false">IF(AND(C28=3,D28*F28&gt;=6),"A",IF(AND(C28=3,D28*F28&gt;=3),"B",IF(AND(C28=3,D28*F28&gt;=1),"C","")))</f>
        <v>A</v>
      </c>
      <c r="H28" s="7" t="s">
        <v>23</v>
      </c>
      <c r="I28" s="5" t="s">
        <v>42</v>
      </c>
      <c r="J28" s="8" t="s">
        <v>43</v>
      </c>
      <c r="K28" s="0" t="n">
        <v>3</v>
      </c>
      <c r="L28" s="5" t="n">
        <v>3</v>
      </c>
      <c r="M28" s="5" t="n">
        <v>3</v>
      </c>
      <c r="N28" s="5" t="n">
        <f aca="false">4-M28</f>
        <v>1</v>
      </c>
      <c r="O28" s="6" t="str">
        <f aca="false">IF(AND(K28=3,L28*N28&gt;=6),"A",IF(AND(K28=3,L28*N28&gt;=3),"B",IF(AND(K28=3,L28*N28&gt;=1),"C","")))</f>
        <v>B</v>
      </c>
      <c r="P28" s="1" t="n">
        <v>1</v>
      </c>
      <c r="Q28" s="5" t="s">
        <v>36</v>
      </c>
      <c r="R28" s="4" t="s">
        <v>37</v>
      </c>
      <c r="S28" s="0" t="n">
        <v>3</v>
      </c>
      <c r="T28" s="5" t="n">
        <v>3</v>
      </c>
      <c r="U28" s="5" t="n">
        <v>3</v>
      </c>
      <c r="V28" s="5" t="n">
        <f aca="false">4-U28</f>
        <v>1</v>
      </c>
      <c r="W28" s="6" t="str">
        <f aca="false">IF(AND(S28=3,T28*V28&gt;=6),"A",IF(AND(S28=3,T28*V28&gt;=3),"B",IF(AND(S28=3,T28*V28&gt;=1),"C","")))</f>
        <v>B</v>
      </c>
      <c r="X28" s="7" t="s">
        <v>38</v>
      </c>
      <c r="Y28" s="5" t="s">
        <v>27</v>
      </c>
      <c r="Z28" s="7" t="s">
        <v>28</v>
      </c>
      <c r="AA28" s="0" t="n">
        <v>3</v>
      </c>
      <c r="AB28" s="5" t="n">
        <v>3</v>
      </c>
      <c r="AC28" s="5" t="n">
        <v>3</v>
      </c>
      <c r="AD28" s="5" t="n">
        <f aca="false">4-AC28</f>
        <v>1</v>
      </c>
      <c r="AE28" s="6" t="str">
        <f aca="false">IF(AND(AA28=3,AB28*AD28&gt;=6),"A",IF(AND(AA28=3,AB28*AD28&gt;=3),"B",IF(AND(AA28=3,AB28*AD28&gt;=1),"C","")))</f>
        <v>B</v>
      </c>
      <c r="AF28" s="10" t="s">
        <v>29</v>
      </c>
      <c r="AI28" s="5" t="n">
        <v>3</v>
      </c>
      <c r="AJ28" s="5" t="n">
        <v>3</v>
      </c>
      <c r="AK28" s="5" t="n">
        <f aca="false">MAX(E28,M28,U28,AC28)</f>
        <v>3</v>
      </c>
      <c r="AL28" s="5" t="n">
        <f aca="false">4-AK28</f>
        <v>1</v>
      </c>
      <c r="AM28" s="6" t="str">
        <f aca="false">IF(AND(AI28=3,AJ28*AL28&gt;=6),"A",IF(AND(AI28=3,AJ28*AL28&gt;=3),"B",IF(AND(AI28=3,AJ28*AL28&gt;=1),"C","")))</f>
        <v>B</v>
      </c>
      <c r="AN28" s="5" t="str">
        <f aca="false">"Scenario-level Threat=3; Step1="&amp;G28&amp;" Step2="&amp;O28&amp;" Step3="&amp;W28&amp;" Step4="&amp;AE28&amp;" ; Overall Threat fixed=3, Max Mitigation="&amp;AK28&amp;" =&gt; Overall="&amp;AM28</f>
        <v>Scenario-level Threat=3; Step1=A Step2=B Step3=B Step4=B ; Overall Threat fixed=3, Max Mitigation=3 =&gt; Overall=B</v>
      </c>
    </row>
    <row r="29" customFormat="false" ht="194" hidden="false" customHeight="false" outlineLevel="0" collapsed="false">
      <c r="A29" s="5" t="s">
        <v>12</v>
      </c>
      <c r="B29" s="3" t="s">
        <v>13</v>
      </c>
      <c r="C29" s="0" t="n">
        <v>3</v>
      </c>
      <c r="D29" s="5" t="n">
        <v>3</v>
      </c>
      <c r="E29" s="5" t="n">
        <v>2</v>
      </c>
      <c r="F29" s="5" t="n">
        <f aca="false">4-E29</f>
        <v>2</v>
      </c>
      <c r="G29" s="6" t="str">
        <f aca="false">IF(AND(C29=3,D29*F29&gt;=6),"A",IF(AND(C29=3,D29*F29&gt;=3),"B",IF(AND(C29=3,D29*F29&gt;=1),"C","")))</f>
        <v>A</v>
      </c>
      <c r="H29" s="7" t="s">
        <v>23</v>
      </c>
      <c r="I29" s="5" t="s">
        <v>42</v>
      </c>
      <c r="J29" s="8" t="s">
        <v>43</v>
      </c>
      <c r="K29" s="0" t="n">
        <v>3</v>
      </c>
      <c r="L29" s="5" t="n">
        <v>3</v>
      </c>
      <c r="M29" s="5" t="n">
        <v>3</v>
      </c>
      <c r="N29" s="5" t="n">
        <f aca="false">4-M29</f>
        <v>1</v>
      </c>
      <c r="O29" s="6" t="str">
        <f aca="false">IF(AND(K29=3,L29*N29&gt;=6),"A",IF(AND(K29=3,L29*N29&gt;=3),"B",IF(AND(K29=3,L29*N29&gt;=1),"C","")))</f>
        <v>B</v>
      </c>
      <c r="P29" s="1" t="n">
        <v>1</v>
      </c>
      <c r="Q29" s="5" t="s">
        <v>36</v>
      </c>
      <c r="R29" s="4" t="s">
        <v>37</v>
      </c>
      <c r="S29" s="0" t="n">
        <v>3</v>
      </c>
      <c r="T29" s="5" t="n">
        <v>3</v>
      </c>
      <c r="U29" s="5" t="n">
        <v>3</v>
      </c>
      <c r="V29" s="5" t="n">
        <f aca="false">4-U29</f>
        <v>1</v>
      </c>
      <c r="W29" s="6" t="str">
        <f aca="false">IF(AND(S29=3,T29*V29&gt;=6),"A",IF(AND(S29=3,T29*V29&gt;=3),"B",IF(AND(S29=3,T29*V29&gt;=1),"C","")))</f>
        <v>B</v>
      </c>
      <c r="X29" s="7" t="s">
        <v>38</v>
      </c>
      <c r="Y29" s="5" t="s">
        <v>30</v>
      </c>
      <c r="Z29" s="9" t="s">
        <v>31</v>
      </c>
      <c r="AA29" s="0" t="n">
        <v>3</v>
      </c>
      <c r="AB29" s="5" t="n">
        <v>3</v>
      </c>
      <c r="AC29" s="5" t="n">
        <v>2</v>
      </c>
      <c r="AD29" s="5" t="n">
        <f aca="false">4-AC29</f>
        <v>2</v>
      </c>
      <c r="AE29" s="6" t="str">
        <f aca="false">IF(AND(AA29=3,AB29*AD29&gt;=6),"A",IF(AND(AA29=3,AB29*AD29&gt;=3),"B",IF(AND(AA29=3,AB29*AD29&gt;=1),"C","")))</f>
        <v>A</v>
      </c>
      <c r="AF29" s="10" t="s">
        <v>32</v>
      </c>
      <c r="AI29" s="5" t="n">
        <v>3</v>
      </c>
      <c r="AJ29" s="5" t="n">
        <v>3</v>
      </c>
      <c r="AK29" s="5" t="n">
        <f aca="false">MAX(E29,M29,U29,AC29)</f>
        <v>3</v>
      </c>
      <c r="AL29" s="5" t="n">
        <f aca="false">4-AK29</f>
        <v>1</v>
      </c>
      <c r="AM29" s="6" t="str">
        <f aca="false">IF(AND(AI29=3,AJ29*AL29&gt;=6),"A",IF(AND(AI29=3,AJ29*AL29&gt;=3),"B",IF(AND(AI29=3,AJ29*AL29&gt;=1),"C","")))</f>
        <v>B</v>
      </c>
      <c r="AN29" s="5" t="str">
        <f aca="false">"Scenario-level Threat=3; Step1="&amp;G29&amp;" Step2="&amp;O29&amp;" Step3="&amp;W29&amp;" Step4="&amp;AE29&amp;" ; Overall Threat fixed=3, Max Mitigation="&amp;AK29&amp;" =&gt; Overall="&amp;AM29</f>
        <v>Scenario-level Threat=3; Step1=A Step2=B Step3=B Step4=A ; Overall Threat fixed=3, Max Mitigation=3 =&gt; Overall=B</v>
      </c>
    </row>
    <row r="30" customFormat="false" ht="122.35" hidden="false" customHeight="false" outlineLevel="0" collapsed="false">
      <c r="A30" s="5" t="s">
        <v>12</v>
      </c>
      <c r="B30" s="3" t="s">
        <v>13</v>
      </c>
      <c r="C30" s="0" t="n">
        <v>3</v>
      </c>
      <c r="D30" s="5" t="n">
        <v>3</v>
      </c>
      <c r="E30" s="5" t="n">
        <v>2</v>
      </c>
      <c r="F30" s="5" t="n">
        <f aca="false">4-E30</f>
        <v>2</v>
      </c>
      <c r="G30" s="6" t="str">
        <f aca="false">IF(AND(C30=3,D30*F30&gt;=6),"A",IF(AND(C30=3,D30*F30&gt;=3),"B",IF(AND(C30=3,D30*F30&gt;=1),"C","")))</f>
        <v>A</v>
      </c>
      <c r="H30" s="7" t="s">
        <v>23</v>
      </c>
      <c r="I30" s="5" t="s">
        <v>42</v>
      </c>
      <c r="J30" s="8" t="s">
        <v>43</v>
      </c>
      <c r="K30" s="0" t="n">
        <v>3</v>
      </c>
      <c r="L30" s="5" t="n">
        <v>3</v>
      </c>
      <c r="M30" s="5" t="n">
        <v>3</v>
      </c>
      <c r="N30" s="5" t="n">
        <f aca="false">4-M30</f>
        <v>1</v>
      </c>
      <c r="O30" s="6" t="str">
        <f aca="false">IF(AND(K30=3,L30*N30&gt;=6),"A",IF(AND(K30=3,L30*N30&gt;=3),"B",IF(AND(K30=3,L30*N30&gt;=1),"C","")))</f>
        <v>B</v>
      </c>
      <c r="P30" s="1" t="n">
        <v>1</v>
      </c>
      <c r="Q30" s="5" t="s">
        <v>39</v>
      </c>
      <c r="R30" s="4" t="s">
        <v>40</v>
      </c>
      <c r="S30" s="0" t="n">
        <v>3</v>
      </c>
      <c r="T30" s="5" t="n">
        <v>3</v>
      </c>
      <c r="U30" s="5" t="n">
        <v>3</v>
      </c>
      <c r="V30" s="5" t="n">
        <f aca="false">4-U30</f>
        <v>1</v>
      </c>
      <c r="W30" s="6" t="str">
        <f aca="false">IF(AND(S30=3,T30*V30&gt;=6),"A",IF(AND(S30=3,T30*V30&gt;=3),"B",IF(AND(S30=3,T30*V30&gt;=1),"C","")))</f>
        <v>B</v>
      </c>
      <c r="X30" s="3" t="s">
        <v>41</v>
      </c>
      <c r="Y30" s="5" t="s">
        <v>20</v>
      </c>
      <c r="Z30" s="3" t="s">
        <v>21</v>
      </c>
      <c r="AA30" s="0" t="n">
        <v>3</v>
      </c>
      <c r="AB30" s="5" t="n">
        <v>3</v>
      </c>
      <c r="AC30" s="5" t="n">
        <v>2</v>
      </c>
      <c r="AD30" s="5" t="n">
        <f aca="false">4-AC30</f>
        <v>2</v>
      </c>
      <c r="AE30" s="6" t="str">
        <f aca="false">IF(AND(AA30=3,AB30*AD30&gt;=6),"A",IF(AND(AA30=3,AB30*AD30&gt;=3),"B",IF(AND(AA30=3,AB30*AD30&gt;=1),"C","")))</f>
        <v>A</v>
      </c>
      <c r="AF30" s="4" t="s">
        <v>22</v>
      </c>
      <c r="AI30" s="5" t="n">
        <v>3</v>
      </c>
      <c r="AJ30" s="5" t="n">
        <v>3</v>
      </c>
      <c r="AK30" s="5" t="n">
        <f aca="false">MAX(E30,M30,U30,AC30)</f>
        <v>3</v>
      </c>
      <c r="AL30" s="5" t="n">
        <f aca="false">4-AK30</f>
        <v>1</v>
      </c>
      <c r="AM30" s="6" t="str">
        <f aca="false">IF(AND(AI30=3,AJ30*AL30&gt;=6),"A",IF(AND(AI30=3,AJ30*AL30&gt;=3),"B",IF(AND(AI30=3,AJ30*AL30&gt;=1),"C","")))</f>
        <v>B</v>
      </c>
      <c r="AN30" s="5" t="str">
        <f aca="false">"Scenario-level Threat=3; Step1="&amp;G30&amp;" Step2="&amp;O30&amp;" Step3="&amp;W30&amp;" Step4="&amp;AE30&amp;" ; Overall Threat fixed=3, Max Mitigation="&amp;AK30&amp;" =&gt; Overall="&amp;AM30</f>
        <v>Scenario-level Threat=3; Step1=A Step2=B Step3=B Step4=A ; Overall Threat fixed=3, Max Mitigation=3 =&gt; Overall=B</v>
      </c>
    </row>
    <row r="31" customFormat="false" ht="122.35" hidden="false" customHeight="false" outlineLevel="0" collapsed="false">
      <c r="A31" s="5" t="s">
        <v>12</v>
      </c>
      <c r="B31" s="3" t="s">
        <v>13</v>
      </c>
      <c r="C31" s="0" t="n">
        <v>3</v>
      </c>
      <c r="D31" s="5" t="n">
        <v>3</v>
      </c>
      <c r="E31" s="5" t="n">
        <v>2</v>
      </c>
      <c r="F31" s="5" t="n">
        <f aca="false">4-E31</f>
        <v>2</v>
      </c>
      <c r="G31" s="6" t="str">
        <f aca="false">IF(AND(C31=3,D31*F31&gt;=6),"A",IF(AND(C31=3,D31*F31&gt;=3),"B",IF(AND(C31=3,D31*F31&gt;=1),"C","")))</f>
        <v>A</v>
      </c>
      <c r="H31" s="7" t="s">
        <v>23</v>
      </c>
      <c r="I31" s="5" t="s">
        <v>42</v>
      </c>
      <c r="J31" s="8" t="s">
        <v>43</v>
      </c>
      <c r="K31" s="0" t="n">
        <v>3</v>
      </c>
      <c r="L31" s="5" t="n">
        <v>3</v>
      </c>
      <c r="M31" s="5" t="n">
        <v>3</v>
      </c>
      <c r="N31" s="5" t="n">
        <f aca="false">4-M31</f>
        <v>1</v>
      </c>
      <c r="O31" s="6" t="str">
        <f aca="false">IF(AND(K31=3,L31*N31&gt;=6),"A",IF(AND(K31=3,L31*N31&gt;=3),"B",IF(AND(K31=3,L31*N31&gt;=1),"C","")))</f>
        <v>B</v>
      </c>
      <c r="P31" s="1" t="n">
        <v>1</v>
      </c>
      <c r="Q31" s="5" t="s">
        <v>39</v>
      </c>
      <c r="R31" s="4" t="s">
        <v>40</v>
      </c>
      <c r="S31" s="0" t="n">
        <v>3</v>
      </c>
      <c r="T31" s="5" t="n">
        <v>3</v>
      </c>
      <c r="U31" s="5" t="n">
        <v>3</v>
      </c>
      <c r="V31" s="5" t="n">
        <f aca="false">4-U31</f>
        <v>1</v>
      </c>
      <c r="W31" s="6" t="str">
        <f aca="false">IF(AND(S31=3,T31*V31&gt;=6),"A",IF(AND(S31=3,T31*V31&gt;=3),"B",IF(AND(S31=3,T31*V31&gt;=1),"C","")))</f>
        <v>B</v>
      </c>
      <c r="X31" s="3" t="s">
        <v>41</v>
      </c>
      <c r="Y31" s="5" t="s">
        <v>24</v>
      </c>
      <c r="Z31" s="3" t="s">
        <v>25</v>
      </c>
      <c r="AA31" s="0" t="n">
        <v>3</v>
      </c>
      <c r="AB31" s="5" t="n">
        <v>3</v>
      </c>
      <c r="AC31" s="5" t="n">
        <v>2</v>
      </c>
      <c r="AD31" s="5" t="n">
        <f aca="false">4-AC31</f>
        <v>2</v>
      </c>
      <c r="AE31" s="6" t="str">
        <f aca="false">IF(AND(AA31=3,AB31*AD31&gt;=6),"A",IF(AND(AA31=3,AB31*AD31&gt;=3),"B",IF(AND(AA31=3,AB31*AD31&gt;=1),"C","")))</f>
        <v>A</v>
      </c>
      <c r="AF31" s="4" t="s">
        <v>26</v>
      </c>
      <c r="AI31" s="5" t="n">
        <v>3</v>
      </c>
      <c r="AJ31" s="5" t="n">
        <v>3</v>
      </c>
      <c r="AK31" s="5" t="n">
        <f aca="false">MAX(E31,M31,U31,AC31)</f>
        <v>3</v>
      </c>
      <c r="AL31" s="5" t="n">
        <f aca="false">4-AK31</f>
        <v>1</v>
      </c>
      <c r="AM31" s="6" t="str">
        <f aca="false">IF(AND(AI31=3,AJ31*AL31&gt;=6),"A",IF(AND(AI31=3,AJ31*AL31&gt;=3),"B",IF(AND(AI31=3,AJ31*AL31&gt;=1),"C","")))</f>
        <v>B</v>
      </c>
      <c r="AN31" s="5" t="str">
        <f aca="false">"Scenario-level Threat=3; Step1="&amp;G31&amp;" Step2="&amp;O31&amp;" Step3="&amp;W31&amp;" Step4="&amp;AE31&amp;" ; Overall Threat fixed=3, Max Mitigation="&amp;AK31&amp;" =&gt; Overall="&amp;AM31</f>
        <v>Scenario-level Threat=3; Step1=A Step2=B Step3=B Step4=A ; Overall Threat fixed=3, Max Mitigation=3 =&gt; Overall=B</v>
      </c>
    </row>
    <row r="32" customFormat="false" ht="196.25" hidden="false" customHeight="false" outlineLevel="0" collapsed="false">
      <c r="A32" s="5" t="s">
        <v>12</v>
      </c>
      <c r="B32" s="3" t="s">
        <v>13</v>
      </c>
      <c r="C32" s="0" t="n">
        <v>3</v>
      </c>
      <c r="D32" s="5" t="n">
        <v>3</v>
      </c>
      <c r="E32" s="5" t="n">
        <v>2</v>
      </c>
      <c r="F32" s="5" t="n">
        <f aca="false">4-E32</f>
        <v>2</v>
      </c>
      <c r="G32" s="6" t="str">
        <f aca="false">IF(AND(C32=3,D32*F32&gt;=6),"A",IF(AND(C32=3,D32*F32&gt;=3),"B",IF(AND(C32=3,D32*F32&gt;=1),"C","")))</f>
        <v>A</v>
      </c>
      <c r="H32" s="7" t="s">
        <v>23</v>
      </c>
      <c r="I32" s="5" t="s">
        <v>42</v>
      </c>
      <c r="J32" s="8" t="s">
        <v>43</v>
      </c>
      <c r="K32" s="0" t="n">
        <v>3</v>
      </c>
      <c r="L32" s="5" t="n">
        <v>3</v>
      </c>
      <c r="M32" s="5" t="n">
        <v>3</v>
      </c>
      <c r="N32" s="5" t="n">
        <f aca="false">4-M32</f>
        <v>1</v>
      </c>
      <c r="O32" s="6" t="str">
        <f aca="false">IF(AND(K32=3,L32*N32&gt;=6),"A",IF(AND(K32=3,L32*N32&gt;=3),"B",IF(AND(K32=3,L32*N32&gt;=1),"C","")))</f>
        <v>B</v>
      </c>
      <c r="P32" s="1" t="n">
        <v>1</v>
      </c>
      <c r="Q32" s="5" t="s">
        <v>39</v>
      </c>
      <c r="R32" s="4" t="s">
        <v>40</v>
      </c>
      <c r="S32" s="0" t="n">
        <v>3</v>
      </c>
      <c r="T32" s="5" t="n">
        <v>3</v>
      </c>
      <c r="U32" s="5" t="n">
        <v>3</v>
      </c>
      <c r="V32" s="5" t="n">
        <f aca="false">4-U32</f>
        <v>1</v>
      </c>
      <c r="W32" s="6" t="str">
        <f aca="false">IF(AND(S32=3,T32*V32&gt;=6),"A",IF(AND(S32=3,T32*V32&gt;=3),"B",IF(AND(S32=3,T32*V32&gt;=1),"C","")))</f>
        <v>B</v>
      </c>
      <c r="X32" s="3" t="s">
        <v>41</v>
      </c>
      <c r="Y32" s="5" t="s">
        <v>27</v>
      </c>
      <c r="Z32" s="7" t="s">
        <v>28</v>
      </c>
      <c r="AA32" s="0" t="n">
        <v>3</v>
      </c>
      <c r="AB32" s="5" t="n">
        <v>3</v>
      </c>
      <c r="AC32" s="5" t="n">
        <v>3</v>
      </c>
      <c r="AD32" s="5" t="n">
        <f aca="false">4-AC32</f>
        <v>1</v>
      </c>
      <c r="AE32" s="6" t="str">
        <f aca="false">IF(AND(AA32=3,AB32*AD32&gt;=6),"A",IF(AND(AA32=3,AB32*AD32&gt;=3),"B",IF(AND(AA32=3,AB32*AD32&gt;=1),"C","")))</f>
        <v>B</v>
      </c>
      <c r="AF32" s="10" t="s">
        <v>29</v>
      </c>
      <c r="AI32" s="5" t="n">
        <v>3</v>
      </c>
      <c r="AJ32" s="5" t="n">
        <v>3</v>
      </c>
      <c r="AK32" s="5" t="n">
        <f aca="false">MAX(E32,M32,U32,AC32)</f>
        <v>3</v>
      </c>
      <c r="AL32" s="5" t="n">
        <f aca="false">4-AK32</f>
        <v>1</v>
      </c>
      <c r="AM32" s="6" t="str">
        <f aca="false">IF(AND(AI32=3,AJ32*AL32&gt;=6),"A",IF(AND(AI32=3,AJ32*AL32&gt;=3),"B",IF(AND(AI32=3,AJ32*AL32&gt;=1),"C","")))</f>
        <v>B</v>
      </c>
      <c r="AN32" s="5" t="str">
        <f aca="false">"Scenario-level Threat=3; Step1="&amp;G32&amp;" Step2="&amp;O32&amp;" Step3="&amp;W32&amp;" Step4="&amp;AE32&amp;" ; Overall Threat fixed=3, Max Mitigation="&amp;AK32&amp;" =&gt; Overall="&amp;AM32</f>
        <v>Scenario-level Threat=3; Step1=A Step2=B Step3=B Step4=B ; Overall Threat fixed=3, Max Mitigation=3 =&gt; Overall=B</v>
      </c>
    </row>
    <row r="33" customFormat="false" ht="194" hidden="false" customHeight="false" outlineLevel="0" collapsed="false">
      <c r="A33" s="5" t="s">
        <v>12</v>
      </c>
      <c r="B33" s="3" t="s">
        <v>13</v>
      </c>
      <c r="C33" s="0" t="n">
        <v>3</v>
      </c>
      <c r="D33" s="5" t="n">
        <v>3</v>
      </c>
      <c r="E33" s="5" t="n">
        <v>2</v>
      </c>
      <c r="F33" s="5" t="n">
        <f aca="false">4-E33</f>
        <v>2</v>
      </c>
      <c r="G33" s="6" t="str">
        <f aca="false">IF(AND(C33=3,D33*F33&gt;=6),"A",IF(AND(C33=3,D33*F33&gt;=3),"B",IF(AND(C33=3,D33*F33&gt;=1),"C","")))</f>
        <v>A</v>
      </c>
      <c r="H33" s="7" t="s">
        <v>23</v>
      </c>
      <c r="I33" s="5" t="s">
        <v>42</v>
      </c>
      <c r="J33" s="8" t="s">
        <v>43</v>
      </c>
      <c r="K33" s="0" t="n">
        <v>3</v>
      </c>
      <c r="L33" s="5" t="n">
        <v>3</v>
      </c>
      <c r="M33" s="5" t="n">
        <v>3</v>
      </c>
      <c r="N33" s="5" t="n">
        <f aca="false">4-M33</f>
        <v>1</v>
      </c>
      <c r="O33" s="6" t="str">
        <f aca="false">IF(AND(K33=3,L33*N33&gt;=6),"A",IF(AND(K33=3,L33*N33&gt;=3),"B",IF(AND(K33=3,L33*N33&gt;=1),"C","")))</f>
        <v>B</v>
      </c>
      <c r="P33" s="1" t="n">
        <v>1</v>
      </c>
      <c r="Q33" s="5" t="s">
        <v>39</v>
      </c>
      <c r="R33" s="4" t="s">
        <v>40</v>
      </c>
      <c r="S33" s="0" t="n">
        <v>3</v>
      </c>
      <c r="T33" s="5" t="n">
        <v>3</v>
      </c>
      <c r="U33" s="5" t="n">
        <v>3</v>
      </c>
      <c r="V33" s="5" t="n">
        <f aca="false">4-U33</f>
        <v>1</v>
      </c>
      <c r="W33" s="6" t="str">
        <f aca="false">IF(AND(S33=3,T33*V33&gt;=6),"A",IF(AND(S33=3,T33*V33&gt;=3),"B",IF(AND(S33=3,T33*V33&gt;=1),"C","")))</f>
        <v>B</v>
      </c>
      <c r="X33" s="3" t="s">
        <v>41</v>
      </c>
      <c r="Y33" s="5" t="s">
        <v>30</v>
      </c>
      <c r="Z33" s="9" t="s">
        <v>31</v>
      </c>
      <c r="AA33" s="0" t="n">
        <v>3</v>
      </c>
      <c r="AB33" s="5" t="n">
        <v>3</v>
      </c>
      <c r="AC33" s="5" t="n">
        <v>2</v>
      </c>
      <c r="AD33" s="5" t="n">
        <f aca="false">4-AC33</f>
        <v>2</v>
      </c>
      <c r="AE33" s="6" t="str">
        <f aca="false">IF(AND(AA33=3,AB33*AD33&gt;=6),"A",IF(AND(AA33=3,AB33*AD33&gt;=3),"B",IF(AND(AA33=3,AB33*AD33&gt;=1),"C","")))</f>
        <v>A</v>
      </c>
      <c r="AF33" s="10" t="s">
        <v>32</v>
      </c>
      <c r="AI33" s="5" t="n">
        <v>3</v>
      </c>
      <c r="AJ33" s="5" t="n">
        <v>3</v>
      </c>
      <c r="AK33" s="5" t="n">
        <f aca="false">MAX(E33,M33,U33,AC33)</f>
        <v>3</v>
      </c>
      <c r="AL33" s="5" t="n">
        <f aca="false">4-AK33</f>
        <v>1</v>
      </c>
      <c r="AM33" s="6" t="str">
        <f aca="false">IF(AND(AI33=3,AJ33*AL33&gt;=6),"A",IF(AND(AI33=3,AJ33*AL33&gt;=3),"B",IF(AND(AI33=3,AJ33*AL33&gt;=1),"C","")))</f>
        <v>B</v>
      </c>
      <c r="AN33" s="5" t="str">
        <f aca="false">"Scenario-level Threat=3; Step1="&amp;G33&amp;" Step2="&amp;O33&amp;" Step3="&amp;W33&amp;" Step4="&amp;AE33&amp;" ; Overall Threat fixed=3, Max Mitigation="&amp;AK33&amp;" =&gt; Overall="&amp;AM33</f>
        <v>Scenario-level Threat=3; Step1=A Step2=B Step3=B Step4=A ; Overall Threat fixed=3, Max Mitigation=3 =&gt; Overall=B</v>
      </c>
    </row>
    <row r="34" customFormat="false" ht="234.3" hidden="false" customHeight="false" outlineLevel="0" collapsed="false">
      <c r="A34" s="5" t="s">
        <v>12</v>
      </c>
      <c r="B34" s="3" t="s">
        <v>13</v>
      </c>
      <c r="C34" s="0" t="n">
        <v>3</v>
      </c>
      <c r="D34" s="5" t="n">
        <v>3</v>
      </c>
      <c r="E34" s="5" t="n">
        <v>2</v>
      </c>
      <c r="F34" s="5" t="n">
        <f aca="false">4-E34</f>
        <v>2</v>
      </c>
      <c r="G34" s="6" t="str">
        <f aca="false">IF(AND(C34=3,D34*F34&gt;=6),"A",IF(AND(C34=3,D34*F34&gt;=3),"B",IF(AND(C34=3,D34*F34&gt;=1),"C","")))</f>
        <v>A</v>
      </c>
      <c r="H34" s="7" t="s">
        <v>23</v>
      </c>
      <c r="I34" s="5" t="s">
        <v>44</v>
      </c>
      <c r="J34" s="4" t="s">
        <v>45</v>
      </c>
      <c r="K34" s="0" t="n">
        <v>3</v>
      </c>
      <c r="L34" s="5" t="n">
        <v>3</v>
      </c>
      <c r="M34" s="5" t="n">
        <v>2</v>
      </c>
      <c r="N34" s="5" t="n">
        <f aca="false">4-M34</f>
        <v>2</v>
      </c>
      <c r="O34" s="6" t="str">
        <f aca="false">IF(AND(K34=3,L34*N34&gt;=6),"A",IF(AND(K34=3,L34*N34&gt;=3),"B",IF(AND(K34=3,L34*N34&gt;=1),"C","")))</f>
        <v>A</v>
      </c>
      <c r="P34" s="1" t="n">
        <v>1</v>
      </c>
      <c r="Q34" s="5" t="s">
        <v>17</v>
      </c>
      <c r="R34" s="8" t="s">
        <v>18</v>
      </c>
      <c r="S34" s="0" t="n">
        <v>3</v>
      </c>
      <c r="T34" s="5" t="n">
        <v>3</v>
      </c>
      <c r="U34" s="5" t="n">
        <v>3</v>
      </c>
      <c r="V34" s="5" t="n">
        <f aca="false">4-U34</f>
        <v>1</v>
      </c>
      <c r="W34" s="6" t="str">
        <f aca="false">IF(AND(S34=3,T34*V34&gt;=6),"A",IF(AND(S34=3,T34*V34&gt;=3),"B",IF(AND(S34=3,T34*V34&gt;=1),"C","")))</f>
        <v>B</v>
      </c>
      <c r="X34" s="9" t="s">
        <v>19</v>
      </c>
      <c r="Y34" s="5" t="s">
        <v>20</v>
      </c>
      <c r="Z34" s="3" t="s">
        <v>21</v>
      </c>
      <c r="AA34" s="0" t="n">
        <v>3</v>
      </c>
      <c r="AB34" s="5" t="n">
        <v>3</v>
      </c>
      <c r="AC34" s="5" t="n">
        <v>2</v>
      </c>
      <c r="AD34" s="5" t="n">
        <f aca="false">4-AC34</f>
        <v>2</v>
      </c>
      <c r="AE34" s="6" t="str">
        <f aca="false">IF(AND(AA34=3,AB34*AD34&gt;=6),"A",IF(AND(AA34=3,AB34*AD34&gt;=3),"B",IF(AND(AA34=3,AB34*AD34&gt;=1),"C","")))</f>
        <v>A</v>
      </c>
      <c r="AF34" s="4" t="s">
        <v>22</v>
      </c>
      <c r="AI34" s="5" t="n">
        <v>3</v>
      </c>
      <c r="AJ34" s="5" t="n">
        <v>3</v>
      </c>
      <c r="AK34" s="5" t="n">
        <f aca="false">MAX(E34,M34,U34,AC34)</f>
        <v>3</v>
      </c>
      <c r="AL34" s="5" t="n">
        <f aca="false">4-AK34</f>
        <v>1</v>
      </c>
      <c r="AM34" s="6" t="str">
        <f aca="false">IF(AND(AI34=3,AJ34*AL34&gt;=6),"A",IF(AND(AI34=3,AJ34*AL34&gt;=3),"B",IF(AND(AI34=3,AJ34*AL34&gt;=1),"C","")))</f>
        <v>B</v>
      </c>
      <c r="AN34" s="5" t="str">
        <f aca="false">"Scenario-level Threat=3; Step1="&amp;G34&amp;" Step2="&amp;O34&amp;" Step3="&amp;W34&amp;" Step4="&amp;AE34&amp;" ; Overall Threat fixed=3, Max Mitigation="&amp;AK34&amp;" =&gt; Overall="&amp;AM34</f>
        <v>Scenario-level Threat=3; Step1=A Step2=A Step3=B Step4=A ; Overall Threat fixed=3, Max Mitigation=3 =&gt; Overall=B</v>
      </c>
    </row>
    <row r="35" customFormat="false" ht="234.3" hidden="false" customHeight="false" outlineLevel="0" collapsed="false">
      <c r="A35" s="5" t="s">
        <v>12</v>
      </c>
      <c r="B35" s="3" t="s">
        <v>13</v>
      </c>
      <c r="C35" s="0" t="n">
        <v>3</v>
      </c>
      <c r="D35" s="5" t="n">
        <v>3</v>
      </c>
      <c r="E35" s="5" t="n">
        <v>2</v>
      </c>
      <c r="F35" s="5" t="n">
        <f aca="false">4-E35</f>
        <v>2</v>
      </c>
      <c r="G35" s="6" t="str">
        <f aca="false">IF(AND(C35=3,D35*F35&gt;=6),"A",IF(AND(C35=3,D35*F35&gt;=3),"B",IF(AND(C35=3,D35*F35&gt;=1),"C","")))</f>
        <v>A</v>
      </c>
      <c r="H35" s="7" t="s">
        <v>23</v>
      </c>
      <c r="I35" s="5" t="s">
        <v>44</v>
      </c>
      <c r="J35" s="4" t="s">
        <v>45</v>
      </c>
      <c r="K35" s="0" t="n">
        <v>3</v>
      </c>
      <c r="L35" s="5" t="n">
        <v>3</v>
      </c>
      <c r="M35" s="5" t="n">
        <v>2</v>
      </c>
      <c r="N35" s="5" t="n">
        <f aca="false">4-M35</f>
        <v>2</v>
      </c>
      <c r="O35" s="6" t="str">
        <f aca="false">IF(AND(K35=3,L35*N35&gt;=6),"A",IF(AND(K35=3,L35*N35&gt;=3),"B",IF(AND(K35=3,L35*N35&gt;=1),"C","")))</f>
        <v>A</v>
      </c>
      <c r="P35" s="1" t="n">
        <v>1</v>
      </c>
      <c r="Q35" s="5" t="s">
        <v>17</v>
      </c>
      <c r="R35" s="8" t="s">
        <v>18</v>
      </c>
      <c r="S35" s="0" t="n">
        <v>3</v>
      </c>
      <c r="T35" s="5" t="n">
        <v>3</v>
      </c>
      <c r="U35" s="5" t="n">
        <v>3</v>
      </c>
      <c r="V35" s="5" t="n">
        <f aca="false">4-U35</f>
        <v>1</v>
      </c>
      <c r="W35" s="6" t="str">
        <f aca="false">IF(AND(S35=3,T35*V35&gt;=6),"A",IF(AND(S35=3,T35*V35&gt;=3),"B",IF(AND(S35=3,T35*V35&gt;=1),"C","")))</f>
        <v>B</v>
      </c>
      <c r="X35" s="9" t="s">
        <v>19</v>
      </c>
      <c r="Y35" s="5" t="s">
        <v>24</v>
      </c>
      <c r="Z35" s="3" t="s">
        <v>25</v>
      </c>
      <c r="AA35" s="0" t="n">
        <v>3</v>
      </c>
      <c r="AB35" s="5" t="n">
        <v>3</v>
      </c>
      <c r="AC35" s="5" t="n">
        <v>2</v>
      </c>
      <c r="AD35" s="5" t="n">
        <f aca="false">4-AC35</f>
        <v>2</v>
      </c>
      <c r="AE35" s="6" t="str">
        <f aca="false">IF(AND(AA35=3,AB35*AD35&gt;=6),"A",IF(AND(AA35=3,AB35*AD35&gt;=3),"B",IF(AND(AA35=3,AB35*AD35&gt;=1),"C","")))</f>
        <v>A</v>
      </c>
      <c r="AF35" s="4" t="s">
        <v>26</v>
      </c>
      <c r="AI35" s="5" t="n">
        <v>3</v>
      </c>
      <c r="AJ35" s="5" t="n">
        <v>3</v>
      </c>
      <c r="AK35" s="5" t="n">
        <f aca="false">MAX(E35,M35,U35,AC35)</f>
        <v>3</v>
      </c>
      <c r="AL35" s="5" t="n">
        <f aca="false">4-AK35</f>
        <v>1</v>
      </c>
      <c r="AM35" s="6" t="str">
        <f aca="false">IF(AND(AI35=3,AJ35*AL35&gt;=6),"A",IF(AND(AI35=3,AJ35*AL35&gt;=3),"B",IF(AND(AI35=3,AJ35*AL35&gt;=1),"C","")))</f>
        <v>B</v>
      </c>
      <c r="AN35" s="5" t="str">
        <f aca="false">"Scenario-level Threat=3; Step1="&amp;G35&amp;" Step2="&amp;O35&amp;" Step3="&amp;W35&amp;" Step4="&amp;AE35&amp;" ; Overall Threat fixed=3, Max Mitigation="&amp;AK35&amp;" =&gt; Overall="&amp;AM35</f>
        <v>Scenario-level Threat=3; Step1=A Step2=A Step3=B Step4=A ; Overall Threat fixed=3, Max Mitigation=3 =&gt; Overall=B</v>
      </c>
    </row>
    <row r="36" customFormat="false" ht="234.3" hidden="false" customHeight="false" outlineLevel="0" collapsed="false">
      <c r="A36" s="5" t="s">
        <v>12</v>
      </c>
      <c r="B36" s="3" t="s">
        <v>13</v>
      </c>
      <c r="C36" s="0" t="n">
        <v>3</v>
      </c>
      <c r="D36" s="5" t="n">
        <v>3</v>
      </c>
      <c r="E36" s="5" t="n">
        <v>2</v>
      </c>
      <c r="F36" s="5" t="n">
        <f aca="false">4-E36</f>
        <v>2</v>
      </c>
      <c r="G36" s="6" t="str">
        <f aca="false">IF(AND(C36=3,D36*F36&gt;=6),"A",IF(AND(C36=3,D36*F36&gt;=3),"B",IF(AND(C36=3,D36*F36&gt;=1),"C","")))</f>
        <v>A</v>
      </c>
      <c r="H36" s="7" t="s">
        <v>23</v>
      </c>
      <c r="I36" s="5" t="s">
        <v>44</v>
      </c>
      <c r="J36" s="4" t="s">
        <v>45</v>
      </c>
      <c r="K36" s="0" t="n">
        <v>3</v>
      </c>
      <c r="L36" s="5" t="n">
        <v>3</v>
      </c>
      <c r="M36" s="5" t="n">
        <v>2</v>
      </c>
      <c r="N36" s="5" t="n">
        <f aca="false">4-M36</f>
        <v>2</v>
      </c>
      <c r="O36" s="6" t="str">
        <f aca="false">IF(AND(K36=3,L36*N36&gt;=6),"A",IF(AND(K36=3,L36*N36&gt;=3),"B",IF(AND(K36=3,L36*N36&gt;=1),"C","")))</f>
        <v>A</v>
      </c>
      <c r="P36" s="1" t="n">
        <v>1</v>
      </c>
      <c r="Q36" s="5" t="s">
        <v>17</v>
      </c>
      <c r="R36" s="8" t="s">
        <v>18</v>
      </c>
      <c r="S36" s="0" t="n">
        <v>3</v>
      </c>
      <c r="T36" s="5" t="n">
        <v>3</v>
      </c>
      <c r="U36" s="5" t="n">
        <v>3</v>
      </c>
      <c r="V36" s="5" t="n">
        <f aca="false">4-U36</f>
        <v>1</v>
      </c>
      <c r="W36" s="6" t="str">
        <f aca="false">IF(AND(S36=3,T36*V36&gt;=6),"A",IF(AND(S36=3,T36*V36&gt;=3),"B",IF(AND(S36=3,T36*V36&gt;=1),"C","")))</f>
        <v>B</v>
      </c>
      <c r="X36" s="9" t="s">
        <v>19</v>
      </c>
      <c r="Y36" s="5" t="s">
        <v>27</v>
      </c>
      <c r="Z36" s="7" t="s">
        <v>28</v>
      </c>
      <c r="AA36" s="0" t="n">
        <v>3</v>
      </c>
      <c r="AB36" s="5" t="n">
        <v>3</v>
      </c>
      <c r="AC36" s="5" t="n">
        <v>3</v>
      </c>
      <c r="AD36" s="5" t="n">
        <f aca="false">4-AC36</f>
        <v>1</v>
      </c>
      <c r="AE36" s="6" t="str">
        <f aca="false">IF(AND(AA36=3,AB36*AD36&gt;=6),"A",IF(AND(AA36=3,AB36*AD36&gt;=3),"B",IF(AND(AA36=3,AB36*AD36&gt;=1),"C","")))</f>
        <v>B</v>
      </c>
      <c r="AF36" s="10" t="s">
        <v>29</v>
      </c>
      <c r="AI36" s="5" t="n">
        <v>3</v>
      </c>
      <c r="AJ36" s="5" t="n">
        <v>3</v>
      </c>
      <c r="AK36" s="5" t="n">
        <f aca="false">MAX(E36,M36,U36,AC36)</f>
        <v>3</v>
      </c>
      <c r="AL36" s="5" t="n">
        <f aca="false">4-AK36</f>
        <v>1</v>
      </c>
      <c r="AM36" s="6" t="str">
        <f aca="false">IF(AND(AI36=3,AJ36*AL36&gt;=6),"A",IF(AND(AI36=3,AJ36*AL36&gt;=3),"B",IF(AND(AI36=3,AJ36*AL36&gt;=1),"C","")))</f>
        <v>B</v>
      </c>
      <c r="AN36" s="5" t="str">
        <f aca="false">"Scenario-level Threat=3; Step1="&amp;G36&amp;" Step2="&amp;O36&amp;" Step3="&amp;W36&amp;" Step4="&amp;AE36&amp;" ; Overall Threat fixed=3, Max Mitigation="&amp;AK36&amp;" =&gt; Overall="&amp;AM36</f>
        <v>Scenario-level Threat=3; Step1=A Step2=A Step3=B Step4=B ; Overall Threat fixed=3, Max Mitigation=3 =&gt; Overall=B</v>
      </c>
    </row>
    <row r="37" customFormat="false" ht="234.3" hidden="false" customHeight="false" outlineLevel="0" collapsed="false">
      <c r="A37" s="5" t="s">
        <v>12</v>
      </c>
      <c r="B37" s="3" t="s">
        <v>13</v>
      </c>
      <c r="C37" s="0" t="n">
        <v>3</v>
      </c>
      <c r="D37" s="5" t="n">
        <v>3</v>
      </c>
      <c r="E37" s="5" t="n">
        <v>2</v>
      </c>
      <c r="F37" s="5" t="n">
        <f aca="false">4-E37</f>
        <v>2</v>
      </c>
      <c r="G37" s="6" t="str">
        <f aca="false">IF(AND(C37=3,D37*F37&gt;=6),"A",IF(AND(C37=3,D37*F37&gt;=3),"B",IF(AND(C37=3,D37*F37&gt;=1),"C","")))</f>
        <v>A</v>
      </c>
      <c r="H37" s="7" t="s">
        <v>23</v>
      </c>
      <c r="I37" s="5" t="s">
        <v>44</v>
      </c>
      <c r="J37" s="4" t="s">
        <v>45</v>
      </c>
      <c r="K37" s="0" t="n">
        <v>3</v>
      </c>
      <c r="L37" s="5" t="n">
        <v>3</v>
      </c>
      <c r="M37" s="5" t="n">
        <v>2</v>
      </c>
      <c r="N37" s="5" t="n">
        <f aca="false">4-M37</f>
        <v>2</v>
      </c>
      <c r="O37" s="6" t="str">
        <f aca="false">IF(AND(K37=3,L37*N37&gt;=6),"A",IF(AND(K37=3,L37*N37&gt;=3),"B",IF(AND(K37=3,L37*N37&gt;=1),"C","")))</f>
        <v>A</v>
      </c>
      <c r="P37" s="1" t="n">
        <v>1</v>
      </c>
      <c r="Q37" s="5" t="s">
        <v>17</v>
      </c>
      <c r="R37" s="8" t="s">
        <v>18</v>
      </c>
      <c r="S37" s="0" t="n">
        <v>3</v>
      </c>
      <c r="T37" s="5" t="n">
        <v>3</v>
      </c>
      <c r="U37" s="5" t="n">
        <v>3</v>
      </c>
      <c r="V37" s="5" t="n">
        <f aca="false">4-U37</f>
        <v>1</v>
      </c>
      <c r="W37" s="6" t="str">
        <f aca="false">IF(AND(S37=3,T37*V37&gt;=6),"A",IF(AND(S37=3,T37*V37&gt;=3),"B",IF(AND(S37=3,T37*V37&gt;=1),"C","")))</f>
        <v>B</v>
      </c>
      <c r="X37" s="9" t="s">
        <v>19</v>
      </c>
      <c r="Y37" s="5" t="s">
        <v>30</v>
      </c>
      <c r="Z37" s="9" t="s">
        <v>31</v>
      </c>
      <c r="AA37" s="0" t="n">
        <v>3</v>
      </c>
      <c r="AB37" s="5" t="n">
        <v>3</v>
      </c>
      <c r="AC37" s="5" t="n">
        <v>2</v>
      </c>
      <c r="AD37" s="5" t="n">
        <f aca="false">4-AC37</f>
        <v>2</v>
      </c>
      <c r="AE37" s="6" t="str">
        <f aca="false">IF(AND(AA37=3,AB37*AD37&gt;=6),"A",IF(AND(AA37=3,AB37*AD37&gt;=3),"B",IF(AND(AA37=3,AB37*AD37&gt;=1),"C","")))</f>
        <v>A</v>
      </c>
      <c r="AF37" s="10" t="s">
        <v>32</v>
      </c>
      <c r="AI37" s="5" t="n">
        <v>3</v>
      </c>
      <c r="AJ37" s="5" t="n">
        <v>3</v>
      </c>
      <c r="AK37" s="5" t="n">
        <f aca="false">MAX(E37,M37,U37,AC37)</f>
        <v>3</v>
      </c>
      <c r="AL37" s="5" t="n">
        <f aca="false">4-AK37</f>
        <v>1</v>
      </c>
      <c r="AM37" s="6" t="str">
        <f aca="false">IF(AND(AI37=3,AJ37*AL37&gt;=6),"A",IF(AND(AI37=3,AJ37*AL37&gt;=3),"B",IF(AND(AI37=3,AJ37*AL37&gt;=1),"C","")))</f>
        <v>B</v>
      </c>
      <c r="AN37" s="5" t="str">
        <f aca="false">"Scenario-level Threat=3; Step1="&amp;G37&amp;" Step2="&amp;O37&amp;" Step3="&amp;W37&amp;" Step4="&amp;AE37&amp;" ; Overall Threat fixed=3, Max Mitigation="&amp;AK37&amp;" =&gt; Overall="&amp;AM37</f>
        <v>Scenario-level Threat=3; Step1=A Step2=A Step3=B Step4=A ; Overall Threat fixed=3, Max Mitigation=3 =&gt; Overall=B</v>
      </c>
    </row>
    <row r="38" customFormat="false" ht="194" hidden="false" customHeight="false" outlineLevel="0" collapsed="false">
      <c r="A38" s="5" t="s">
        <v>12</v>
      </c>
      <c r="B38" s="3" t="s">
        <v>13</v>
      </c>
      <c r="C38" s="0" t="n">
        <v>3</v>
      </c>
      <c r="D38" s="5" t="n">
        <v>3</v>
      </c>
      <c r="E38" s="5" t="n">
        <v>2</v>
      </c>
      <c r="F38" s="5" t="n">
        <f aca="false">4-E38</f>
        <v>2</v>
      </c>
      <c r="G38" s="6" t="str">
        <f aca="false">IF(AND(C38=3,D38*F38&gt;=6),"A",IF(AND(C38=3,D38*F38&gt;=3),"B",IF(AND(C38=3,D38*F38&gt;=1),"C","")))</f>
        <v>A</v>
      </c>
      <c r="H38" s="7" t="s">
        <v>23</v>
      </c>
      <c r="I38" s="5" t="s">
        <v>44</v>
      </c>
      <c r="J38" s="4" t="s">
        <v>45</v>
      </c>
      <c r="K38" s="0" t="n">
        <v>3</v>
      </c>
      <c r="L38" s="5" t="n">
        <v>3</v>
      </c>
      <c r="M38" s="5" t="n">
        <v>2</v>
      </c>
      <c r="N38" s="5" t="n">
        <f aca="false">4-M38</f>
        <v>2</v>
      </c>
      <c r="O38" s="6" t="str">
        <f aca="false">IF(AND(K38=3,L38*N38&gt;=6),"A",IF(AND(K38=3,L38*N38&gt;=3),"B",IF(AND(K38=3,L38*N38&gt;=1),"C","")))</f>
        <v>A</v>
      </c>
      <c r="P38" s="1" t="n">
        <v>1</v>
      </c>
      <c r="Q38" s="5" t="s">
        <v>33</v>
      </c>
      <c r="R38" s="8" t="s">
        <v>34</v>
      </c>
      <c r="S38" s="0" t="n">
        <v>3</v>
      </c>
      <c r="T38" s="5" t="n">
        <v>3</v>
      </c>
      <c r="U38" s="5" t="n">
        <v>3</v>
      </c>
      <c r="V38" s="5" t="n">
        <f aca="false">4-U38</f>
        <v>1</v>
      </c>
      <c r="W38" s="6" t="str">
        <f aca="false">IF(AND(S38=3,T38*V38&gt;=6),"A",IF(AND(S38=3,T38*V38&gt;=3),"B",IF(AND(S38=3,T38*V38&gt;=1),"C","")))</f>
        <v>B</v>
      </c>
      <c r="X38" s="9" t="s">
        <v>35</v>
      </c>
      <c r="Y38" s="5" t="s">
        <v>20</v>
      </c>
      <c r="Z38" s="3" t="s">
        <v>21</v>
      </c>
      <c r="AA38" s="0" t="n">
        <v>3</v>
      </c>
      <c r="AB38" s="5" t="n">
        <v>3</v>
      </c>
      <c r="AC38" s="5" t="n">
        <v>2</v>
      </c>
      <c r="AD38" s="5" t="n">
        <f aca="false">4-AC38</f>
        <v>2</v>
      </c>
      <c r="AE38" s="6" t="str">
        <f aca="false">IF(AND(AA38=3,AB38*AD38&gt;=6),"A",IF(AND(AA38=3,AB38*AD38&gt;=3),"B",IF(AND(AA38=3,AB38*AD38&gt;=1),"C","")))</f>
        <v>A</v>
      </c>
      <c r="AF38" s="4" t="s">
        <v>22</v>
      </c>
      <c r="AI38" s="5" t="n">
        <v>3</v>
      </c>
      <c r="AJ38" s="5" t="n">
        <v>3</v>
      </c>
      <c r="AK38" s="5" t="n">
        <f aca="false">MAX(E38,M38,U38,AC38)</f>
        <v>3</v>
      </c>
      <c r="AL38" s="5" t="n">
        <f aca="false">4-AK38</f>
        <v>1</v>
      </c>
      <c r="AM38" s="6" t="str">
        <f aca="false">IF(AND(AI38=3,AJ38*AL38&gt;=6),"A",IF(AND(AI38=3,AJ38*AL38&gt;=3),"B",IF(AND(AI38=3,AJ38*AL38&gt;=1),"C","")))</f>
        <v>B</v>
      </c>
      <c r="AN38" s="5" t="str">
        <f aca="false">"Scenario-level Threat=3; Step1="&amp;G38&amp;" Step2="&amp;O38&amp;" Step3="&amp;W38&amp;" Step4="&amp;AE38&amp;" ; Overall Threat fixed=3, Max Mitigation="&amp;AK38&amp;" =&gt; Overall="&amp;AM38</f>
        <v>Scenario-level Threat=3; Step1=A Step2=A Step3=B Step4=A ; Overall Threat fixed=3, Max Mitigation=3 =&gt; Overall=B</v>
      </c>
    </row>
    <row r="39" customFormat="false" ht="194" hidden="false" customHeight="false" outlineLevel="0" collapsed="false">
      <c r="A39" s="5" t="s">
        <v>12</v>
      </c>
      <c r="B39" s="3" t="s">
        <v>13</v>
      </c>
      <c r="C39" s="0" t="n">
        <v>3</v>
      </c>
      <c r="D39" s="5" t="n">
        <v>3</v>
      </c>
      <c r="E39" s="5" t="n">
        <v>2</v>
      </c>
      <c r="F39" s="5" t="n">
        <f aca="false">4-E39</f>
        <v>2</v>
      </c>
      <c r="G39" s="6" t="str">
        <f aca="false">IF(AND(C39=3,D39*F39&gt;=6),"A",IF(AND(C39=3,D39*F39&gt;=3),"B",IF(AND(C39=3,D39*F39&gt;=1),"C","")))</f>
        <v>A</v>
      </c>
      <c r="H39" s="7" t="s">
        <v>23</v>
      </c>
      <c r="I39" s="5" t="s">
        <v>44</v>
      </c>
      <c r="J39" s="4" t="s">
        <v>45</v>
      </c>
      <c r="K39" s="0" t="n">
        <v>3</v>
      </c>
      <c r="L39" s="5" t="n">
        <v>3</v>
      </c>
      <c r="M39" s="5" t="n">
        <v>2</v>
      </c>
      <c r="N39" s="5" t="n">
        <f aca="false">4-M39</f>
        <v>2</v>
      </c>
      <c r="O39" s="6" t="str">
        <f aca="false">IF(AND(K39=3,L39*N39&gt;=6),"A",IF(AND(K39=3,L39*N39&gt;=3),"B",IF(AND(K39=3,L39*N39&gt;=1),"C","")))</f>
        <v>A</v>
      </c>
      <c r="P39" s="1" t="n">
        <v>1</v>
      </c>
      <c r="Q39" s="5" t="s">
        <v>33</v>
      </c>
      <c r="R39" s="8" t="s">
        <v>34</v>
      </c>
      <c r="S39" s="0" t="n">
        <v>3</v>
      </c>
      <c r="T39" s="5" t="n">
        <v>3</v>
      </c>
      <c r="U39" s="5" t="n">
        <v>3</v>
      </c>
      <c r="V39" s="5" t="n">
        <f aca="false">4-U39</f>
        <v>1</v>
      </c>
      <c r="W39" s="6" t="str">
        <f aca="false">IF(AND(S39=3,T39*V39&gt;=6),"A",IF(AND(S39=3,T39*V39&gt;=3),"B",IF(AND(S39=3,T39*V39&gt;=1),"C","")))</f>
        <v>B</v>
      </c>
      <c r="X39" s="9" t="s">
        <v>35</v>
      </c>
      <c r="Y39" s="5" t="s">
        <v>24</v>
      </c>
      <c r="Z39" s="3" t="s">
        <v>25</v>
      </c>
      <c r="AA39" s="0" t="n">
        <v>3</v>
      </c>
      <c r="AB39" s="5" t="n">
        <v>3</v>
      </c>
      <c r="AC39" s="5" t="n">
        <v>2</v>
      </c>
      <c r="AD39" s="5" t="n">
        <f aca="false">4-AC39</f>
        <v>2</v>
      </c>
      <c r="AE39" s="6" t="str">
        <f aca="false">IF(AND(AA39=3,AB39*AD39&gt;=6),"A",IF(AND(AA39=3,AB39*AD39&gt;=3),"B",IF(AND(AA39=3,AB39*AD39&gt;=1),"C","")))</f>
        <v>A</v>
      </c>
      <c r="AF39" s="4" t="s">
        <v>26</v>
      </c>
      <c r="AI39" s="5" t="n">
        <v>3</v>
      </c>
      <c r="AJ39" s="5" t="n">
        <v>3</v>
      </c>
      <c r="AK39" s="5" t="n">
        <f aca="false">MAX(E39,M39,U39,AC39)</f>
        <v>3</v>
      </c>
      <c r="AL39" s="5" t="n">
        <f aca="false">4-AK39</f>
        <v>1</v>
      </c>
      <c r="AM39" s="6" t="str">
        <f aca="false">IF(AND(AI39=3,AJ39*AL39&gt;=6),"A",IF(AND(AI39=3,AJ39*AL39&gt;=3),"B",IF(AND(AI39=3,AJ39*AL39&gt;=1),"C","")))</f>
        <v>B</v>
      </c>
      <c r="AN39" s="5" t="str">
        <f aca="false">"Scenario-level Threat=3; Step1="&amp;G39&amp;" Step2="&amp;O39&amp;" Step3="&amp;W39&amp;" Step4="&amp;AE39&amp;" ; Overall Threat fixed=3, Max Mitigation="&amp;AK39&amp;" =&gt; Overall="&amp;AM39</f>
        <v>Scenario-level Threat=3; Step1=A Step2=A Step3=B Step4=A ; Overall Threat fixed=3, Max Mitigation=3 =&gt; Overall=B</v>
      </c>
    </row>
    <row r="40" customFormat="false" ht="196.25" hidden="false" customHeight="false" outlineLevel="0" collapsed="false">
      <c r="A40" s="5" t="s">
        <v>12</v>
      </c>
      <c r="B40" s="3" t="s">
        <v>13</v>
      </c>
      <c r="C40" s="0" t="n">
        <v>3</v>
      </c>
      <c r="D40" s="5" t="n">
        <v>3</v>
      </c>
      <c r="E40" s="5" t="n">
        <v>2</v>
      </c>
      <c r="F40" s="5" t="n">
        <f aca="false">4-E40</f>
        <v>2</v>
      </c>
      <c r="G40" s="6" t="str">
        <f aca="false">IF(AND(C40=3,D40*F40&gt;=6),"A",IF(AND(C40=3,D40*F40&gt;=3),"B",IF(AND(C40=3,D40*F40&gt;=1),"C","")))</f>
        <v>A</v>
      </c>
      <c r="H40" s="7" t="s">
        <v>23</v>
      </c>
      <c r="I40" s="5" t="s">
        <v>44</v>
      </c>
      <c r="J40" s="4" t="s">
        <v>45</v>
      </c>
      <c r="K40" s="0" t="n">
        <v>3</v>
      </c>
      <c r="L40" s="5" t="n">
        <v>3</v>
      </c>
      <c r="M40" s="5" t="n">
        <v>2</v>
      </c>
      <c r="N40" s="5" t="n">
        <f aca="false">4-M40</f>
        <v>2</v>
      </c>
      <c r="O40" s="6" t="str">
        <f aca="false">IF(AND(K40=3,L40*N40&gt;=6),"A",IF(AND(K40=3,L40*N40&gt;=3),"B",IF(AND(K40=3,L40*N40&gt;=1),"C","")))</f>
        <v>A</v>
      </c>
      <c r="P40" s="1" t="n">
        <v>1</v>
      </c>
      <c r="Q40" s="5" t="s">
        <v>33</v>
      </c>
      <c r="R40" s="8" t="s">
        <v>34</v>
      </c>
      <c r="S40" s="0" t="n">
        <v>3</v>
      </c>
      <c r="T40" s="5" t="n">
        <v>3</v>
      </c>
      <c r="U40" s="5" t="n">
        <v>3</v>
      </c>
      <c r="V40" s="5" t="n">
        <f aca="false">4-U40</f>
        <v>1</v>
      </c>
      <c r="W40" s="6" t="str">
        <f aca="false">IF(AND(S40=3,T40*V40&gt;=6),"A",IF(AND(S40=3,T40*V40&gt;=3),"B",IF(AND(S40=3,T40*V40&gt;=1),"C","")))</f>
        <v>B</v>
      </c>
      <c r="X40" s="9" t="s">
        <v>35</v>
      </c>
      <c r="Y40" s="5" t="s">
        <v>27</v>
      </c>
      <c r="Z40" s="7" t="s">
        <v>28</v>
      </c>
      <c r="AA40" s="0" t="n">
        <v>3</v>
      </c>
      <c r="AB40" s="5" t="n">
        <v>3</v>
      </c>
      <c r="AC40" s="5" t="n">
        <v>3</v>
      </c>
      <c r="AD40" s="5" t="n">
        <f aca="false">4-AC40</f>
        <v>1</v>
      </c>
      <c r="AE40" s="6" t="str">
        <f aca="false">IF(AND(AA40=3,AB40*AD40&gt;=6),"A",IF(AND(AA40=3,AB40*AD40&gt;=3),"B",IF(AND(AA40=3,AB40*AD40&gt;=1),"C","")))</f>
        <v>B</v>
      </c>
      <c r="AF40" s="10" t="s">
        <v>29</v>
      </c>
      <c r="AI40" s="5" t="n">
        <v>3</v>
      </c>
      <c r="AJ40" s="5" t="n">
        <v>3</v>
      </c>
      <c r="AK40" s="5" t="n">
        <f aca="false">MAX(E40,M40,U40,AC40)</f>
        <v>3</v>
      </c>
      <c r="AL40" s="5" t="n">
        <f aca="false">4-AK40</f>
        <v>1</v>
      </c>
      <c r="AM40" s="6" t="str">
        <f aca="false">IF(AND(AI40=3,AJ40*AL40&gt;=6),"A",IF(AND(AI40=3,AJ40*AL40&gt;=3),"B",IF(AND(AI40=3,AJ40*AL40&gt;=1),"C","")))</f>
        <v>B</v>
      </c>
      <c r="AN40" s="5" t="str">
        <f aca="false">"Scenario-level Threat=3; Step1="&amp;G40&amp;" Step2="&amp;O40&amp;" Step3="&amp;W40&amp;" Step4="&amp;AE40&amp;" ; Overall Threat fixed=3, Max Mitigation="&amp;AK40&amp;" =&gt; Overall="&amp;AM40</f>
        <v>Scenario-level Threat=3; Step1=A Step2=A Step3=B Step4=B ; Overall Threat fixed=3, Max Mitigation=3 =&gt; Overall=B</v>
      </c>
    </row>
    <row r="41" customFormat="false" ht="194" hidden="false" customHeight="false" outlineLevel="0" collapsed="false">
      <c r="A41" s="5" t="s">
        <v>12</v>
      </c>
      <c r="B41" s="3" t="s">
        <v>13</v>
      </c>
      <c r="C41" s="0" t="n">
        <v>3</v>
      </c>
      <c r="D41" s="5" t="n">
        <v>3</v>
      </c>
      <c r="E41" s="5" t="n">
        <v>2</v>
      </c>
      <c r="F41" s="5" t="n">
        <f aca="false">4-E41</f>
        <v>2</v>
      </c>
      <c r="G41" s="6" t="str">
        <f aca="false">IF(AND(C41=3,D41*F41&gt;=6),"A",IF(AND(C41=3,D41*F41&gt;=3),"B",IF(AND(C41=3,D41*F41&gt;=1),"C","")))</f>
        <v>A</v>
      </c>
      <c r="H41" s="7" t="s">
        <v>23</v>
      </c>
      <c r="I41" s="5" t="s">
        <v>44</v>
      </c>
      <c r="J41" s="4" t="s">
        <v>45</v>
      </c>
      <c r="K41" s="0" t="n">
        <v>3</v>
      </c>
      <c r="L41" s="5" t="n">
        <v>3</v>
      </c>
      <c r="M41" s="5" t="n">
        <v>2</v>
      </c>
      <c r="N41" s="5" t="n">
        <f aca="false">4-M41</f>
        <v>2</v>
      </c>
      <c r="O41" s="6" t="str">
        <f aca="false">IF(AND(K41=3,L41*N41&gt;=6),"A",IF(AND(K41=3,L41*N41&gt;=3),"B",IF(AND(K41=3,L41*N41&gt;=1),"C","")))</f>
        <v>A</v>
      </c>
      <c r="P41" s="1" t="n">
        <v>1</v>
      </c>
      <c r="Q41" s="5" t="s">
        <v>33</v>
      </c>
      <c r="R41" s="8" t="s">
        <v>34</v>
      </c>
      <c r="S41" s="0" t="n">
        <v>3</v>
      </c>
      <c r="T41" s="5" t="n">
        <v>3</v>
      </c>
      <c r="U41" s="5" t="n">
        <v>3</v>
      </c>
      <c r="V41" s="5" t="n">
        <f aca="false">4-U41</f>
        <v>1</v>
      </c>
      <c r="W41" s="6" t="str">
        <f aca="false">IF(AND(S41=3,T41*V41&gt;=6),"A",IF(AND(S41=3,T41*V41&gt;=3),"B",IF(AND(S41=3,T41*V41&gt;=1),"C","")))</f>
        <v>B</v>
      </c>
      <c r="X41" s="9" t="s">
        <v>35</v>
      </c>
      <c r="Y41" s="5" t="s">
        <v>30</v>
      </c>
      <c r="Z41" s="9" t="s">
        <v>31</v>
      </c>
      <c r="AA41" s="0" t="n">
        <v>3</v>
      </c>
      <c r="AB41" s="5" t="n">
        <v>3</v>
      </c>
      <c r="AC41" s="5" t="n">
        <v>2</v>
      </c>
      <c r="AD41" s="5" t="n">
        <f aca="false">4-AC41</f>
        <v>2</v>
      </c>
      <c r="AE41" s="6" t="str">
        <f aca="false">IF(AND(AA41=3,AB41*AD41&gt;=6),"A",IF(AND(AA41=3,AB41*AD41&gt;=3),"B",IF(AND(AA41=3,AB41*AD41&gt;=1),"C","")))</f>
        <v>A</v>
      </c>
      <c r="AF41" s="10" t="s">
        <v>32</v>
      </c>
      <c r="AI41" s="5" t="n">
        <v>3</v>
      </c>
      <c r="AJ41" s="5" t="n">
        <v>3</v>
      </c>
      <c r="AK41" s="5" t="n">
        <f aca="false">MAX(E41,M41,U41,AC41)</f>
        <v>3</v>
      </c>
      <c r="AL41" s="5" t="n">
        <f aca="false">4-AK41</f>
        <v>1</v>
      </c>
      <c r="AM41" s="6" t="str">
        <f aca="false">IF(AND(AI41=3,AJ41*AL41&gt;=6),"A",IF(AND(AI41=3,AJ41*AL41&gt;=3),"B",IF(AND(AI41=3,AJ41*AL41&gt;=1),"C","")))</f>
        <v>B</v>
      </c>
      <c r="AN41" s="5" t="str">
        <f aca="false">"Scenario-level Threat=3; Step1="&amp;G41&amp;" Step2="&amp;O41&amp;" Step3="&amp;W41&amp;" Step4="&amp;AE41&amp;" ; Overall Threat fixed=3, Max Mitigation="&amp;AK41&amp;" =&gt; Overall="&amp;AM41</f>
        <v>Scenario-level Threat=3; Step1=A Step2=A Step3=B Step4=A ; Overall Threat fixed=3, Max Mitigation=3 =&gt; Overall=B</v>
      </c>
    </row>
    <row r="42" customFormat="false" ht="122.35" hidden="false" customHeight="false" outlineLevel="0" collapsed="false">
      <c r="A42" s="5" t="s">
        <v>12</v>
      </c>
      <c r="B42" s="3" t="s">
        <v>13</v>
      </c>
      <c r="C42" s="0" t="n">
        <v>3</v>
      </c>
      <c r="D42" s="5" t="n">
        <v>3</v>
      </c>
      <c r="E42" s="5" t="n">
        <v>2</v>
      </c>
      <c r="F42" s="5" t="n">
        <f aca="false">4-E42</f>
        <v>2</v>
      </c>
      <c r="G42" s="6" t="str">
        <f aca="false">IF(AND(C42=3,D42*F42&gt;=6),"A",IF(AND(C42=3,D42*F42&gt;=3),"B",IF(AND(C42=3,D42*F42&gt;=1),"C","")))</f>
        <v>A</v>
      </c>
      <c r="H42" s="7" t="s">
        <v>23</v>
      </c>
      <c r="I42" s="5" t="s">
        <v>44</v>
      </c>
      <c r="J42" s="4" t="s">
        <v>45</v>
      </c>
      <c r="K42" s="0" t="n">
        <v>3</v>
      </c>
      <c r="L42" s="5" t="n">
        <v>3</v>
      </c>
      <c r="M42" s="5" t="n">
        <v>2</v>
      </c>
      <c r="N42" s="5" t="n">
        <f aca="false">4-M42</f>
        <v>2</v>
      </c>
      <c r="O42" s="6" t="str">
        <f aca="false">IF(AND(K42=3,L42*N42&gt;=6),"A",IF(AND(K42=3,L42*N42&gt;=3),"B",IF(AND(K42=3,L42*N42&gt;=1),"C","")))</f>
        <v>A</v>
      </c>
      <c r="P42" s="1" t="n">
        <v>1</v>
      </c>
      <c r="Q42" s="5" t="s">
        <v>36</v>
      </c>
      <c r="R42" s="4" t="s">
        <v>37</v>
      </c>
      <c r="S42" s="0" t="n">
        <v>3</v>
      </c>
      <c r="T42" s="5" t="n">
        <v>3</v>
      </c>
      <c r="U42" s="5" t="n">
        <v>3</v>
      </c>
      <c r="V42" s="5" t="n">
        <f aca="false">4-U42</f>
        <v>1</v>
      </c>
      <c r="W42" s="6" t="str">
        <f aca="false">IF(AND(S42=3,T42*V42&gt;=6),"A",IF(AND(S42=3,T42*V42&gt;=3),"B",IF(AND(S42=3,T42*V42&gt;=1),"C","")))</f>
        <v>B</v>
      </c>
      <c r="X42" s="7" t="s">
        <v>38</v>
      </c>
      <c r="Y42" s="5" t="s">
        <v>20</v>
      </c>
      <c r="Z42" s="3" t="s">
        <v>21</v>
      </c>
      <c r="AA42" s="0" t="n">
        <v>3</v>
      </c>
      <c r="AB42" s="5" t="n">
        <v>3</v>
      </c>
      <c r="AC42" s="5" t="n">
        <v>2</v>
      </c>
      <c r="AD42" s="5" t="n">
        <f aca="false">4-AC42</f>
        <v>2</v>
      </c>
      <c r="AE42" s="6" t="str">
        <f aca="false">IF(AND(AA42=3,AB42*AD42&gt;=6),"A",IF(AND(AA42=3,AB42*AD42&gt;=3),"B",IF(AND(AA42=3,AB42*AD42&gt;=1),"C","")))</f>
        <v>A</v>
      </c>
      <c r="AF42" s="4" t="s">
        <v>22</v>
      </c>
      <c r="AI42" s="5" t="n">
        <v>3</v>
      </c>
      <c r="AJ42" s="5" t="n">
        <v>3</v>
      </c>
      <c r="AK42" s="5" t="n">
        <f aca="false">MAX(E42,M42,U42,AC42)</f>
        <v>3</v>
      </c>
      <c r="AL42" s="5" t="n">
        <f aca="false">4-AK42</f>
        <v>1</v>
      </c>
      <c r="AM42" s="6" t="str">
        <f aca="false">IF(AND(AI42=3,AJ42*AL42&gt;=6),"A",IF(AND(AI42=3,AJ42*AL42&gt;=3),"B",IF(AND(AI42=3,AJ42*AL42&gt;=1),"C","")))</f>
        <v>B</v>
      </c>
      <c r="AN42" s="5" t="str">
        <f aca="false">"Scenario-level Threat=3; Step1="&amp;G42&amp;" Step2="&amp;O42&amp;" Step3="&amp;W42&amp;" Step4="&amp;AE42&amp;" ; Overall Threat fixed=3, Max Mitigation="&amp;AK42&amp;" =&gt; Overall="&amp;AM42</f>
        <v>Scenario-level Threat=3; Step1=A Step2=A Step3=B Step4=A ; Overall Threat fixed=3, Max Mitigation=3 =&gt; Overall=B</v>
      </c>
    </row>
    <row r="43" customFormat="false" ht="122.35" hidden="false" customHeight="false" outlineLevel="0" collapsed="false">
      <c r="A43" s="5" t="s">
        <v>12</v>
      </c>
      <c r="B43" s="3" t="s">
        <v>13</v>
      </c>
      <c r="C43" s="0" t="n">
        <v>3</v>
      </c>
      <c r="D43" s="5" t="n">
        <v>3</v>
      </c>
      <c r="E43" s="5" t="n">
        <v>2</v>
      </c>
      <c r="F43" s="5" t="n">
        <f aca="false">4-E43</f>
        <v>2</v>
      </c>
      <c r="G43" s="6" t="str">
        <f aca="false">IF(AND(C43=3,D43*F43&gt;=6),"A",IF(AND(C43=3,D43*F43&gt;=3),"B",IF(AND(C43=3,D43*F43&gt;=1),"C","")))</f>
        <v>A</v>
      </c>
      <c r="H43" s="7" t="s">
        <v>23</v>
      </c>
      <c r="I43" s="5" t="s">
        <v>44</v>
      </c>
      <c r="J43" s="4" t="s">
        <v>45</v>
      </c>
      <c r="K43" s="0" t="n">
        <v>3</v>
      </c>
      <c r="L43" s="5" t="n">
        <v>3</v>
      </c>
      <c r="M43" s="5" t="n">
        <v>2</v>
      </c>
      <c r="N43" s="5" t="n">
        <f aca="false">4-M43</f>
        <v>2</v>
      </c>
      <c r="O43" s="6" t="str">
        <f aca="false">IF(AND(K43=3,L43*N43&gt;=6),"A",IF(AND(K43=3,L43*N43&gt;=3),"B",IF(AND(K43=3,L43*N43&gt;=1),"C","")))</f>
        <v>A</v>
      </c>
      <c r="P43" s="1" t="n">
        <v>1</v>
      </c>
      <c r="Q43" s="5" t="s">
        <v>36</v>
      </c>
      <c r="R43" s="4" t="s">
        <v>37</v>
      </c>
      <c r="S43" s="0" t="n">
        <v>3</v>
      </c>
      <c r="T43" s="5" t="n">
        <v>3</v>
      </c>
      <c r="U43" s="5" t="n">
        <v>3</v>
      </c>
      <c r="V43" s="5" t="n">
        <f aca="false">4-U43</f>
        <v>1</v>
      </c>
      <c r="W43" s="6" t="str">
        <f aca="false">IF(AND(S43=3,T43*V43&gt;=6),"A",IF(AND(S43=3,T43*V43&gt;=3),"B",IF(AND(S43=3,T43*V43&gt;=1),"C","")))</f>
        <v>B</v>
      </c>
      <c r="X43" s="7" t="s">
        <v>38</v>
      </c>
      <c r="Y43" s="5" t="s">
        <v>24</v>
      </c>
      <c r="Z43" s="3" t="s">
        <v>25</v>
      </c>
      <c r="AA43" s="0" t="n">
        <v>3</v>
      </c>
      <c r="AB43" s="5" t="n">
        <v>3</v>
      </c>
      <c r="AC43" s="5" t="n">
        <v>2</v>
      </c>
      <c r="AD43" s="5" t="n">
        <f aca="false">4-AC43</f>
        <v>2</v>
      </c>
      <c r="AE43" s="6" t="str">
        <f aca="false">IF(AND(AA43=3,AB43*AD43&gt;=6),"A",IF(AND(AA43=3,AB43*AD43&gt;=3),"B",IF(AND(AA43=3,AB43*AD43&gt;=1),"C","")))</f>
        <v>A</v>
      </c>
      <c r="AF43" s="4" t="s">
        <v>26</v>
      </c>
      <c r="AI43" s="5" t="n">
        <v>3</v>
      </c>
      <c r="AJ43" s="5" t="n">
        <v>3</v>
      </c>
      <c r="AK43" s="5" t="n">
        <f aca="false">MAX(E43,M43,U43,AC43)</f>
        <v>3</v>
      </c>
      <c r="AL43" s="5" t="n">
        <f aca="false">4-AK43</f>
        <v>1</v>
      </c>
      <c r="AM43" s="6" t="str">
        <f aca="false">IF(AND(AI43=3,AJ43*AL43&gt;=6),"A",IF(AND(AI43=3,AJ43*AL43&gt;=3),"B",IF(AND(AI43=3,AJ43*AL43&gt;=1),"C","")))</f>
        <v>B</v>
      </c>
      <c r="AN43" s="5" t="str">
        <f aca="false">"Scenario-level Threat=3; Step1="&amp;G43&amp;" Step2="&amp;O43&amp;" Step3="&amp;W43&amp;" Step4="&amp;AE43&amp;" ; Overall Threat fixed=3, Max Mitigation="&amp;AK43&amp;" =&gt; Overall="&amp;AM43</f>
        <v>Scenario-level Threat=3; Step1=A Step2=A Step3=B Step4=A ; Overall Threat fixed=3, Max Mitigation=3 =&gt; Overall=B</v>
      </c>
    </row>
    <row r="44" customFormat="false" ht="196.25" hidden="false" customHeight="false" outlineLevel="0" collapsed="false">
      <c r="A44" s="5" t="s">
        <v>12</v>
      </c>
      <c r="B44" s="3" t="s">
        <v>13</v>
      </c>
      <c r="C44" s="0" t="n">
        <v>3</v>
      </c>
      <c r="D44" s="5" t="n">
        <v>3</v>
      </c>
      <c r="E44" s="5" t="n">
        <v>2</v>
      </c>
      <c r="F44" s="5" t="n">
        <f aca="false">4-E44</f>
        <v>2</v>
      </c>
      <c r="G44" s="6" t="str">
        <f aca="false">IF(AND(C44=3,D44*F44&gt;=6),"A",IF(AND(C44=3,D44*F44&gt;=3),"B",IF(AND(C44=3,D44*F44&gt;=1),"C","")))</f>
        <v>A</v>
      </c>
      <c r="H44" s="7" t="s">
        <v>23</v>
      </c>
      <c r="I44" s="5" t="s">
        <v>44</v>
      </c>
      <c r="J44" s="4" t="s">
        <v>45</v>
      </c>
      <c r="K44" s="0" t="n">
        <v>3</v>
      </c>
      <c r="L44" s="5" t="n">
        <v>3</v>
      </c>
      <c r="M44" s="5" t="n">
        <v>2</v>
      </c>
      <c r="N44" s="5" t="n">
        <f aca="false">4-M44</f>
        <v>2</v>
      </c>
      <c r="O44" s="6" t="str">
        <f aca="false">IF(AND(K44=3,L44*N44&gt;=6),"A",IF(AND(K44=3,L44*N44&gt;=3),"B",IF(AND(K44=3,L44*N44&gt;=1),"C","")))</f>
        <v>A</v>
      </c>
      <c r="P44" s="1" t="n">
        <v>1</v>
      </c>
      <c r="Q44" s="5" t="s">
        <v>36</v>
      </c>
      <c r="R44" s="4" t="s">
        <v>37</v>
      </c>
      <c r="S44" s="0" t="n">
        <v>3</v>
      </c>
      <c r="T44" s="5" t="n">
        <v>3</v>
      </c>
      <c r="U44" s="5" t="n">
        <v>3</v>
      </c>
      <c r="V44" s="5" t="n">
        <f aca="false">4-U44</f>
        <v>1</v>
      </c>
      <c r="W44" s="6" t="str">
        <f aca="false">IF(AND(S44=3,T44*V44&gt;=6),"A",IF(AND(S44=3,T44*V44&gt;=3),"B",IF(AND(S44=3,T44*V44&gt;=1),"C","")))</f>
        <v>B</v>
      </c>
      <c r="X44" s="7" t="s">
        <v>38</v>
      </c>
      <c r="Y44" s="5" t="s">
        <v>27</v>
      </c>
      <c r="Z44" s="7" t="s">
        <v>28</v>
      </c>
      <c r="AA44" s="0" t="n">
        <v>3</v>
      </c>
      <c r="AB44" s="5" t="n">
        <v>3</v>
      </c>
      <c r="AC44" s="5" t="n">
        <v>3</v>
      </c>
      <c r="AD44" s="5" t="n">
        <f aca="false">4-AC44</f>
        <v>1</v>
      </c>
      <c r="AE44" s="6" t="str">
        <f aca="false">IF(AND(AA44=3,AB44*AD44&gt;=6),"A",IF(AND(AA44=3,AB44*AD44&gt;=3),"B",IF(AND(AA44=3,AB44*AD44&gt;=1),"C","")))</f>
        <v>B</v>
      </c>
      <c r="AF44" s="10" t="s">
        <v>29</v>
      </c>
      <c r="AI44" s="5" t="n">
        <v>3</v>
      </c>
      <c r="AJ44" s="5" t="n">
        <v>3</v>
      </c>
      <c r="AK44" s="5" t="n">
        <f aca="false">MAX(E44,M44,U44,AC44)</f>
        <v>3</v>
      </c>
      <c r="AL44" s="5" t="n">
        <f aca="false">4-AK44</f>
        <v>1</v>
      </c>
      <c r="AM44" s="6" t="str">
        <f aca="false">IF(AND(AI44=3,AJ44*AL44&gt;=6),"A",IF(AND(AI44=3,AJ44*AL44&gt;=3),"B",IF(AND(AI44=3,AJ44*AL44&gt;=1),"C","")))</f>
        <v>B</v>
      </c>
      <c r="AN44" s="5" t="str">
        <f aca="false">"Scenario-level Threat=3; Step1="&amp;G44&amp;" Step2="&amp;O44&amp;" Step3="&amp;W44&amp;" Step4="&amp;AE44&amp;" ; Overall Threat fixed=3, Max Mitigation="&amp;AK44&amp;" =&gt; Overall="&amp;AM44</f>
        <v>Scenario-level Threat=3; Step1=A Step2=A Step3=B Step4=B ; Overall Threat fixed=3, Max Mitigation=3 =&gt; Overall=B</v>
      </c>
    </row>
    <row r="45" customFormat="false" ht="194" hidden="false" customHeight="false" outlineLevel="0" collapsed="false">
      <c r="A45" s="5" t="s">
        <v>12</v>
      </c>
      <c r="B45" s="3" t="s">
        <v>13</v>
      </c>
      <c r="C45" s="0" t="n">
        <v>3</v>
      </c>
      <c r="D45" s="5" t="n">
        <v>3</v>
      </c>
      <c r="E45" s="5" t="n">
        <v>2</v>
      </c>
      <c r="F45" s="5" t="n">
        <f aca="false">4-E45</f>
        <v>2</v>
      </c>
      <c r="G45" s="6" t="str">
        <f aca="false">IF(AND(C45=3,D45*F45&gt;=6),"A",IF(AND(C45=3,D45*F45&gt;=3),"B",IF(AND(C45=3,D45*F45&gt;=1),"C","")))</f>
        <v>A</v>
      </c>
      <c r="H45" s="7" t="s">
        <v>23</v>
      </c>
      <c r="I45" s="5" t="s">
        <v>44</v>
      </c>
      <c r="J45" s="4" t="s">
        <v>45</v>
      </c>
      <c r="K45" s="0" t="n">
        <v>3</v>
      </c>
      <c r="L45" s="5" t="n">
        <v>3</v>
      </c>
      <c r="M45" s="5" t="n">
        <v>2</v>
      </c>
      <c r="N45" s="5" t="n">
        <f aca="false">4-M45</f>
        <v>2</v>
      </c>
      <c r="O45" s="6" t="str">
        <f aca="false">IF(AND(K45=3,L45*N45&gt;=6),"A",IF(AND(K45=3,L45*N45&gt;=3),"B",IF(AND(K45=3,L45*N45&gt;=1),"C","")))</f>
        <v>A</v>
      </c>
      <c r="P45" s="1" t="n">
        <v>1</v>
      </c>
      <c r="Q45" s="5" t="s">
        <v>36</v>
      </c>
      <c r="R45" s="4" t="s">
        <v>37</v>
      </c>
      <c r="S45" s="0" t="n">
        <v>3</v>
      </c>
      <c r="T45" s="5" t="n">
        <v>3</v>
      </c>
      <c r="U45" s="5" t="n">
        <v>3</v>
      </c>
      <c r="V45" s="5" t="n">
        <f aca="false">4-U45</f>
        <v>1</v>
      </c>
      <c r="W45" s="6" t="str">
        <f aca="false">IF(AND(S45=3,T45*V45&gt;=6),"A",IF(AND(S45=3,T45*V45&gt;=3),"B",IF(AND(S45=3,T45*V45&gt;=1),"C","")))</f>
        <v>B</v>
      </c>
      <c r="X45" s="7" t="s">
        <v>38</v>
      </c>
      <c r="Y45" s="5" t="s">
        <v>30</v>
      </c>
      <c r="Z45" s="9" t="s">
        <v>31</v>
      </c>
      <c r="AA45" s="0" t="n">
        <v>3</v>
      </c>
      <c r="AB45" s="5" t="n">
        <v>3</v>
      </c>
      <c r="AC45" s="5" t="n">
        <v>2</v>
      </c>
      <c r="AD45" s="5" t="n">
        <f aca="false">4-AC45</f>
        <v>2</v>
      </c>
      <c r="AE45" s="6" t="str">
        <f aca="false">IF(AND(AA45=3,AB45*AD45&gt;=6),"A",IF(AND(AA45=3,AB45*AD45&gt;=3),"B",IF(AND(AA45=3,AB45*AD45&gt;=1),"C","")))</f>
        <v>A</v>
      </c>
      <c r="AF45" s="10" t="s">
        <v>32</v>
      </c>
      <c r="AI45" s="5" t="n">
        <v>3</v>
      </c>
      <c r="AJ45" s="5" t="n">
        <v>3</v>
      </c>
      <c r="AK45" s="5" t="n">
        <f aca="false">MAX(E45,M45,U45,AC45)</f>
        <v>3</v>
      </c>
      <c r="AL45" s="5" t="n">
        <f aca="false">4-AK45</f>
        <v>1</v>
      </c>
      <c r="AM45" s="6" t="str">
        <f aca="false">IF(AND(AI45=3,AJ45*AL45&gt;=6),"A",IF(AND(AI45=3,AJ45*AL45&gt;=3),"B",IF(AND(AI45=3,AJ45*AL45&gt;=1),"C","")))</f>
        <v>B</v>
      </c>
      <c r="AN45" s="5" t="str">
        <f aca="false">"Scenario-level Threat=3; Step1="&amp;G45&amp;" Step2="&amp;O45&amp;" Step3="&amp;W45&amp;" Step4="&amp;AE45&amp;" ; Overall Threat fixed=3, Max Mitigation="&amp;AK45&amp;" =&gt; Overall="&amp;AM45</f>
        <v>Scenario-level Threat=3; Step1=A Step2=A Step3=B Step4=A ; Overall Threat fixed=3, Max Mitigation=3 =&gt; Overall=B</v>
      </c>
    </row>
    <row r="46" customFormat="false" ht="122.35" hidden="false" customHeight="false" outlineLevel="0" collapsed="false">
      <c r="A46" s="5" t="s">
        <v>12</v>
      </c>
      <c r="B46" s="3" t="s">
        <v>13</v>
      </c>
      <c r="C46" s="0" t="n">
        <v>3</v>
      </c>
      <c r="D46" s="5" t="n">
        <v>3</v>
      </c>
      <c r="E46" s="5" t="n">
        <v>2</v>
      </c>
      <c r="F46" s="5" t="n">
        <f aca="false">4-E46</f>
        <v>2</v>
      </c>
      <c r="G46" s="6" t="str">
        <f aca="false">IF(AND(C46=3,D46*F46&gt;=6),"A",IF(AND(C46=3,D46*F46&gt;=3),"B",IF(AND(C46=3,D46*F46&gt;=1),"C","")))</f>
        <v>A</v>
      </c>
      <c r="H46" s="7" t="s">
        <v>23</v>
      </c>
      <c r="I46" s="5" t="s">
        <v>44</v>
      </c>
      <c r="J46" s="4" t="s">
        <v>45</v>
      </c>
      <c r="K46" s="0" t="n">
        <v>3</v>
      </c>
      <c r="L46" s="5" t="n">
        <v>3</v>
      </c>
      <c r="M46" s="5" t="n">
        <v>2</v>
      </c>
      <c r="N46" s="5" t="n">
        <f aca="false">4-M46</f>
        <v>2</v>
      </c>
      <c r="O46" s="6" t="str">
        <f aca="false">IF(AND(K46=3,L46*N46&gt;=6),"A",IF(AND(K46=3,L46*N46&gt;=3),"B",IF(AND(K46=3,L46*N46&gt;=1),"C","")))</f>
        <v>A</v>
      </c>
      <c r="P46" s="1" t="n">
        <v>1</v>
      </c>
      <c r="Q46" s="5" t="s">
        <v>39</v>
      </c>
      <c r="R46" s="4" t="s">
        <v>40</v>
      </c>
      <c r="S46" s="0" t="n">
        <v>3</v>
      </c>
      <c r="T46" s="5" t="n">
        <v>3</v>
      </c>
      <c r="U46" s="5" t="n">
        <v>3</v>
      </c>
      <c r="V46" s="5" t="n">
        <f aca="false">4-U46</f>
        <v>1</v>
      </c>
      <c r="W46" s="6" t="str">
        <f aca="false">IF(AND(S46=3,T46*V46&gt;=6),"A",IF(AND(S46=3,T46*V46&gt;=3),"B",IF(AND(S46=3,T46*V46&gt;=1),"C","")))</f>
        <v>B</v>
      </c>
      <c r="X46" s="3" t="s">
        <v>41</v>
      </c>
      <c r="Y46" s="5" t="s">
        <v>20</v>
      </c>
      <c r="Z46" s="3" t="s">
        <v>21</v>
      </c>
      <c r="AA46" s="0" t="n">
        <v>3</v>
      </c>
      <c r="AB46" s="5" t="n">
        <v>3</v>
      </c>
      <c r="AC46" s="5" t="n">
        <v>2</v>
      </c>
      <c r="AD46" s="5" t="n">
        <f aca="false">4-AC46</f>
        <v>2</v>
      </c>
      <c r="AE46" s="6" t="str">
        <f aca="false">IF(AND(AA46=3,AB46*AD46&gt;=6),"A",IF(AND(AA46=3,AB46*AD46&gt;=3),"B",IF(AND(AA46=3,AB46*AD46&gt;=1),"C","")))</f>
        <v>A</v>
      </c>
      <c r="AF46" s="4" t="s">
        <v>22</v>
      </c>
      <c r="AI46" s="5" t="n">
        <v>3</v>
      </c>
      <c r="AJ46" s="5" t="n">
        <v>3</v>
      </c>
      <c r="AK46" s="5" t="n">
        <f aca="false">MAX(E46,M46,U46,AC46)</f>
        <v>3</v>
      </c>
      <c r="AL46" s="5" t="n">
        <f aca="false">4-AK46</f>
        <v>1</v>
      </c>
      <c r="AM46" s="6" t="str">
        <f aca="false">IF(AND(AI46=3,AJ46*AL46&gt;=6),"A",IF(AND(AI46=3,AJ46*AL46&gt;=3),"B",IF(AND(AI46=3,AJ46*AL46&gt;=1),"C","")))</f>
        <v>B</v>
      </c>
      <c r="AN46" s="5" t="str">
        <f aca="false">"Scenario-level Threat=3; Step1="&amp;G46&amp;" Step2="&amp;O46&amp;" Step3="&amp;W46&amp;" Step4="&amp;AE46&amp;" ; Overall Threat fixed=3, Max Mitigation="&amp;AK46&amp;" =&gt; Overall="&amp;AM46</f>
        <v>Scenario-level Threat=3; Step1=A Step2=A Step3=B Step4=A ; Overall Threat fixed=3, Max Mitigation=3 =&gt; Overall=B</v>
      </c>
    </row>
    <row r="47" customFormat="false" ht="122.35" hidden="false" customHeight="false" outlineLevel="0" collapsed="false">
      <c r="A47" s="5" t="s">
        <v>12</v>
      </c>
      <c r="B47" s="3" t="s">
        <v>13</v>
      </c>
      <c r="C47" s="0" t="n">
        <v>3</v>
      </c>
      <c r="D47" s="5" t="n">
        <v>3</v>
      </c>
      <c r="E47" s="5" t="n">
        <v>2</v>
      </c>
      <c r="F47" s="5" t="n">
        <f aca="false">4-E47</f>
        <v>2</v>
      </c>
      <c r="G47" s="6" t="str">
        <f aca="false">IF(AND(C47=3,D47*F47&gt;=6),"A",IF(AND(C47=3,D47*F47&gt;=3),"B",IF(AND(C47=3,D47*F47&gt;=1),"C","")))</f>
        <v>A</v>
      </c>
      <c r="H47" s="7" t="s">
        <v>23</v>
      </c>
      <c r="I47" s="5" t="s">
        <v>44</v>
      </c>
      <c r="J47" s="4" t="s">
        <v>45</v>
      </c>
      <c r="K47" s="0" t="n">
        <v>3</v>
      </c>
      <c r="L47" s="5" t="n">
        <v>3</v>
      </c>
      <c r="M47" s="5" t="n">
        <v>2</v>
      </c>
      <c r="N47" s="5" t="n">
        <f aca="false">4-M47</f>
        <v>2</v>
      </c>
      <c r="O47" s="6" t="str">
        <f aca="false">IF(AND(K47=3,L47*N47&gt;=6),"A",IF(AND(K47=3,L47*N47&gt;=3),"B",IF(AND(K47=3,L47*N47&gt;=1),"C","")))</f>
        <v>A</v>
      </c>
      <c r="P47" s="1" t="n">
        <v>1</v>
      </c>
      <c r="Q47" s="5" t="s">
        <v>39</v>
      </c>
      <c r="R47" s="4" t="s">
        <v>40</v>
      </c>
      <c r="S47" s="0" t="n">
        <v>3</v>
      </c>
      <c r="T47" s="5" t="n">
        <v>3</v>
      </c>
      <c r="U47" s="5" t="n">
        <v>3</v>
      </c>
      <c r="V47" s="5" t="n">
        <f aca="false">4-U47</f>
        <v>1</v>
      </c>
      <c r="W47" s="6" t="str">
        <f aca="false">IF(AND(S47=3,T47*V47&gt;=6),"A",IF(AND(S47=3,T47*V47&gt;=3),"B",IF(AND(S47=3,T47*V47&gt;=1),"C","")))</f>
        <v>B</v>
      </c>
      <c r="X47" s="3" t="s">
        <v>41</v>
      </c>
      <c r="Y47" s="5" t="s">
        <v>24</v>
      </c>
      <c r="Z47" s="3" t="s">
        <v>25</v>
      </c>
      <c r="AA47" s="0" t="n">
        <v>3</v>
      </c>
      <c r="AB47" s="5" t="n">
        <v>3</v>
      </c>
      <c r="AC47" s="5" t="n">
        <v>2</v>
      </c>
      <c r="AD47" s="5" t="n">
        <f aca="false">4-AC47</f>
        <v>2</v>
      </c>
      <c r="AE47" s="6" t="str">
        <f aca="false">IF(AND(AA47=3,AB47*AD47&gt;=6),"A",IF(AND(AA47=3,AB47*AD47&gt;=3),"B",IF(AND(AA47=3,AB47*AD47&gt;=1),"C","")))</f>
        <v>A</v>
      </c>
      <c r="AF47" s="4" t="s">
        <v>26</v>
      </c>
      <c r="AI47" s="5" t="n">
        <v>3</v>
      </c>
      <c r="AJ47" s="5" t="n">
        <v>3</v>
      </c>
      <c r="AK47" s="5" t="n">
        <f aca="false">MAX(E47,M47,U47,AC47)</f>
        <v>3</v>
      </c>
      <c r="AL47" s="5" t="n">
        <f aca="false">4-AK47</f>
        <v>1</v>
      </c>
      <c r="AM47" s="6" t="str">
        <f aca="false">IF(AND(AI47=3,AJ47*AL47&gt;=6),"A",IF(AND(AI47=3,AJ47*AL47&gt;=3),"B",IF(AND(AI47=3,AJ47*AL47&gt;=1),"C","")))</f>
        <v>B</v>
      </c>
      <c r="AN47" s="5" t="str">
        <f aca="false">"Scenario-level Threat=3; Step1="&amp;G47&amp;" Step2="&amp;O47&amp;" Step3="&amp;W47&amp;" Step4="&amp;AE47&amp;" ; Overall Threat fixed=3, Max Mitigation="&amp;AK47&amp;" =&gt; Overall="&amp;AM47</f>
        <v>Scenario-level Threat=3; Step1=A Step2=A Step3=B Step4=A ; Overall Threat fixed=3, Max Mitigation=3 =&gt; Overall=B</v>
      </c>
    </row>
    <row r="48" customFormat="false" ht="196.25" hidden="false" customHeight="false" outlineLevel="0" collapsed="false">
      <c r="A48" s="5" t="s">
        <v>12</v>
      </c>
      <c r="B48" s="3" t="s">
        <v>13</v>
      </c>
      <c r="C48" s="0" t="n">
        <v>3</v>
      </c>
      <c r="D48" s="5" t="n">
        <v>3</v>
      </c>
      <c r="E48" s="5" t="n">
        <v>2</v>
      </c>
      <c r="F48" s="5" t="n">
        <f aca="false">4-E48</f>
        <v>2</v>
      </c>
      <c r="G48" s="6" t="str">
        <f aca="false">IF(AND(C48=3,D48*F48&gt;=6),"A",IF(AND(C48=3,D48*F48&gt;=3),"B",IF(AND(C48=3,D48*F48&gt;=1),"C","")))</f>
        <v>A</v>
      </c>
      <c r="H48" s="7" t="s">
        <v>23</v>
      </c>
      <c r="I48" s="5" t="s">
        <v>44</v>
      </c>
      <c r="J48" s="4" t="s">
        <v>45</v>
      </c>
      <c r="K48" s="0" t="n">
        <v>3</v>
      </c>
      <c r="L48" s="5" t="n">
        <v>3</v>
      </c>
      <c r="M48" s="5" t="n">
        <v>2</v>
      </c>
      <c r="N48" s="5" t="n">
        <f aca="false">4-M48</f>
        <v>2</v>
      </c>
      <c r="O48" s="6" t="str">
        <f aca="false">IF(AND(K48=3,L48*N48&gt;=6),"A",IF(AND(K48=3,L48*N48&gt;=3),"B",IF(AND(K48=3,L48*N48&gt;=1),"C","")))</f>
        <v>A</v>
      </c>
      <c r="P48" s="1" t="n">
        <v>1</v>
      </c>
      <c r="Q48" s="5" t="s">
        <v>39</v>
      </c>
      <c r="R48" s="4" t="s">
        <v>40</v>
      </c>
      <c r="S48" s="0" t="n">
        <v>3</v>
      </c>
      <c r="T48" s="5" t="n">
        <v>3</v>
      </c>
      <c r="U48" s="5" t="n">
        <v>3</v>
      </c>
      <c r="V48" s="5" t="n">
        <f aca="false">4-U48</f>
        <v>1</v>
      </c>
      <c r="W48" s="6" t="str">
        <f aca="false">IF(AND(S48=3,T48*V48&gt;=6),"A",IF(AND(S48=3,T48*V48&gt;=3),"B",IF(AND(S48=3,T48*V48&gt;=1),"C","")))</f>
        <v>B</v>
      </c>
      <c r="X48" s="3" t="s">
        <v>41</v>
      </c>
      <c r="Y48" s="5" t="s">
        <v>27</v>
      </c>
      <c r="Z48" s="7" t="s">
        <v>28</v>
      </c>
      <c r="AA48" s="0" t="n">
        <v>3</v>
      </c>
      <c r="AB48" s="5" t="n">
        <v>3</v>
      </c>
      <c r="AC48" s="5" t="n">
        <v>3</v>
      </c>
      <c r="AD48" s="5" t="n">
        <f aca="false">4-AC48</f>
        <v>1</v>
      </c>
      <c r="AE48" s="6" t="str">
        <f aca="false">IF(AND(AA48=3,AB48*AD48&gt;=6),"A",IF(AND(AA48=3,AB48*AD48&gt;=3),"B",IF(AND(AA48=3,AB48*AD48&gt;=1),"C","")))</f>
        <v>B</v>
      </c>
      <c r="AF48" s="10" t="s">
        <v>29</v>
      </c>
      <c r="AI48" s="5" t="n">
        <v>3</v>
      </c>
      <c r="AJ48" s="5" t="n">
        <v>3</v>
      </c>
      <c r="AK48" s="5" t="n">
        <f aca="false">MAX(E48,M48,U48,AC48)</f>
        <v>3</v>
      </c>
      <c r="AL48" s="5" t="n">
        <f aca="false">4-AK48</f>
        <v>1</v>
      </c>
      <c r="AM48" s="6" t="str">
        <f aca="false">IF(AND(AI48=3,AJ48*AL48&gt;=6),"A",IF(AND(AI48=3,AJ48*AL48&gt;=3),"B",IF(AND(AI48=3,AJ48*AL48&gt;=1),"C","")))</f>
        <v>B</v>
      </c>
      <c r="AN48" s="5" t="str">
        <f aca="false">"Scenario-level Threat=3; Step1="&amp;G48&amp;" Step2="&amp;O48&amp;" Step3="&amp;W48&amp;" Step4="&amp;AE48&amp;" ; Overall Threat fixed=3, Max Mitigation="&amp;AK48&amp;" =&gt; Overall="&amp;AM48</f>
        <v>Scenario-level Threat=3; Step1=A Step2=A Step3=B Step4=B ; Overall Threat fixed=3, Max Mitigation=3 =&gt; Overall=B</v>
      </c>
    </row>
    <row r="49" customFormat="false" ht="194" hidden="false" customHeight="false" outlineLevel="0" collapsed="false">
      <c r="A49" s="5" t="s">
        <v>12</v>
      </c>
      <c r="B49" s="3" t="s">
        <v>13</v>
      </c>
      <c r="C49" s="0" t="n">
        <v>3</v>
      </c>
      <c r="D49" s="5" t="n">
        <v>3</v>
      </c>
      <c r="E49" s="5" t="n">
        <v>2</v>
      </c>
      <c r="F49" s="5" t="n">
        <f aca="false">4-E49</f>
        <v>2</v>
      </c>
      <c r="G49" s="6" t="str">
        <f aca="false">IF(AND(C49=3,D49*F49&gt;=6),"A",IF(AND(C49=3,D49*F49&gt;=3),"B",IF(AND(C49=3,D49*F49&gt;=1),"C","")))</f>
        <v>A</v>
      </c>
      <c r="H49" s="7" t="s">
        <v>23</v>
      </c>
      <c r="I49" s="5" t="s">
        <v>44</v>
      </c>
      <c r="J49" s="4" t="s">
        <v>45</v>
      </c>
      <c r="K49" s="0" t="n">
        <v>3</v>
      </c>
      <c r="L49" s="5" t="n">
        <v>3</v>
      </c>
      <c r="M49" s="5" t="n">
        <v>2</v>
      </c>
      <c r="N49" s="5" t="n">
        <f aca="false">4-M49</f>
        <v>2</v>
      </c>
      <c r="O49" s="6" t="str">
        <f aca="false">IF(AND(K49=3,L49*N49&gt;=6),"A",IF(AND(K49=3,L49*N49&gt;=3),"B",IF(AND(K49=3,L49*N49&gt;=1),"C","")))</f>
        <v>A</v>
      </c>
      <c r="P49" s="1" t="n">
        <v>1</v>
      </c>
      <c r="Q49" s="5" t="s">
        <v>39</v>
      </c>
      <c r="R49" s="4" t="s">
        <v>40</v>
      </c>
      <c r="S49" s="0" t="n">
        <v>3</v>
      </c>
      <c r="T49" s="5" t="n">
        <v>3</v>
      </c>
      <c r="U49" s="5" t="n">
        <v>3</v>
      </c>
      <c r="V49" s="5" t="n">
        <f aca="false">4-U49</f>
        <v>1</v>
      </c>
      <c r="W49" s="6" t="str">
        <f aca="false">IF(AND(S49=3,T49*V49&gt;=6),"A",IF(AND(S49=3,T49*V49&gt;=3),"B",IF(AND(S49=3,T49*V49&gt;=1),"C","")))</f>
        <v>B</v>
      </c>
      <c r="X49" s="3" t="s">
        <v>41</v>
      </c>
      <c r="Y49" s="5" t="s">
        <v>30</v>
      </c>
      <c r="Z49" s="9" t="s">
        <v>31</v>
      </c>
      <c r="AA49" s="0" t="n">
        <v>3</v>
      </c>
      <c r="AB49" s="5" t="n">
        <v>3</v>
      </c>
      <c r="AC49" s="5" t="n">
        <v>2</v>
      </c>
      <c r="AD49" s="5" t="n">
        <f aca="false">4-AC49</f>
        <v>2</v>
      </c>
      <c r="AE49" s="6" t="str">
        <f aca="false">IF(AND(AA49=3,AB49*AD49&gt;=6),"A",IF(AND(AA49=3,AB49*AD49&gt;=3),"B",IF(AND(AA49=3,AB49*AD49&gt;=1),"C","")))</f>
        <v>A</v>
      </c>
      <c r="AF49" s="10" t="s">
        <v>32</v>
      </c>
      <c r="AI49" s="5" t="n">
        <v>3</v>
      </c>
      <c r="AJ49" s="5" t="n">
        <v>3</v>
      </c>
      <c r="AK49" s="5" t="n">
        <f aca="false">MAX(E49,M49,U49,AC49)</f>
        <v>3</v>
      </c>
      <c r="AL49" s="5" t="n">
        <f aca="false">4-AK49</f>
        <v>1</v>
      </c>
      <c r="AM49" s="6" t="str">
        <f aca="false">IF(AND(AI49=3,AJ49*AL49&gt;=6),"A",IF(AND(AI49=3,AJ49*AL49&gt;=3),"B",IF(AND(AI49=3,AJ49*AL49&gt;=1),"C","")))</f>
        <v>B</v>
      </c>
      <c r="AN49" s="5" t="str">
        <f aca="false">"Scenario-level Threat=3; Step1="&amp;G49&amp;" Step2="&amp;O49&amp;" Step3="&amp;W49&amp;" Step4="&amp;AE49&amp;" ; Overall Threat fixed=3, Max Mitigation="&amp;AK49&amp;" =&gt; Overall="&amp;AM49</f>
        <v>Scenario-level Threat=3; Step1=A Step2=A Step3=B Step4=A ; Overall Threat fixed=3, Max Mitigation=3 =&gt; Overall=B</v>
      </c>
    </row>
    <row r="50" customFormat="false" ht="234.3" hidden="false" customHeight="false" outlineLevel="0" collapsed="false">
      <c r="A50" s="5" t="s">
        <v>12</v>
      </c>
      <c r="B50" s="3" t="s">
        <v>13</v>
      </c>
      <c r="C50" s="0" t="n">
        <v>3</v>
      </c>
      <c r="D50" s="5" t="n">
        <v>3</v>
      </c>
      <c r="E50" s="5" t="n">
        <v>2</v>
      </c>
      <c r="F50" s="5" t="n">
        <f aca="false">4-E50</f>
        <v>2</v>
      </c>
      <c r="G50" s="6" t="str">
        <f aca="false">IF(AND(C50=3,D50*F50&gt;=6),"A",IF(AND(C50=3,D50*F50&gt;=3),"B",IF(AND(C50=3,D50*F50&gt;=1),"C","")))</f>
        <v>A</v>
      </c>
      <c r="H50" s="7" t="s">
        <v>23</v>
      </c>
      <c r="I50" s="5" t="s">
        <v>46</v>
      </c>
      <c r="J50" s="4" t="s">
        <v>47</v>
      </c>
      <c r="K50" s="0" t="n">
        <v>3</v>
      </c>
      <c r="L50" s="5" t="n">
        <v>3</v>
      </c>
      <c r="M50" s="5" t="n">
        <v>3</v>
      </c>
      <c r="N50" s="5" t="n">
        <f aca="false">4-M50</f>
        <v>1</v>
      </c>
      <c r="O50" s="6" t="str">
        <f aca="false">IF(AND(K50=3,L50*N50&gt;=6),"A",IF(AND(K50=3,L50*N50&gt;=3),"B",IF(AND(K50=3,L50*N50&gt;=1),"C","")))</f>
        <v>B</v>
      </c>
      <c r="P50" s="1" t="n">
        <v>1</v>
      </c>
      <c r="Q50" s="5" t="s">
        <v>17</v>
      </c>
      <c r="R50" s="8" t="s">
        <v>18</v>
      </c>
      <c r="S50" s="0" t="n">
        <v>3</v>
      </c>
      <c r="T50" s="5" t="n">
        <v>3</v>
      </c>
      <c r="U50" s="5" t="n">
        <v>3</v>
      </c>
      <c r="V50" s="5" t="n">
        <f aca="false">4-U50</f>
        <v>1</v>
      </c>
      <c r="W50" s="6" t="str">
        <f aca="false">IF(AND(S50=3,T50*V50&gt;=6),"A",IF(AND(S50=3,T50*V50&gt;=3),"B",IF(AND(S50=3,T50*V50&gt;=1),"C","")))</f>
        <v>B</v>
      </c>
      <c r="X50" s="9" t="s">
        <v>19</v>
      </c>
      <c r="Y50" s="5" t="s">
        <v>20</v>
      </c>
      <c r="Z50" s="3" t="s">
        <v>21</v>
      </c>
      <c r="AA50" s="0" t="n">
        <v>3</v>
      </c>
      <c r="AB50" s="5" t="n">
        <v>3</v>
      </c>
      <c r="AC50" s="5" t="n">
        <v>2</v>
      </c>
      <c r="AD50" s="5" t="n">
        <f aca="false">4-AC50</f>
        <v>2</v>
      </c>
      <c r="AE50" s="6" t="str">
        <f aca="false">IF(AND(AA50=3,AB50*AD50&gt;=6),"A",IF(AND(AA50=3,AB50*AD50&gt;=3),"B",IF(AND(AA50=3,AB50*AD50&gt;=1),"C","")))</f>
        <v>A</v>
      </c>
      <c r="AF50" s="4" t="s">
        <v>22</v>
      </c>
      <c r="AI50" s="5" t="n">
        <v>3</v>
      </c>
      <c r="AJ50" s="5" t="n">
        <v>3</v>
      </c>
      <c r="AK50" s="5" t="n">
        <f aca="false">MAX(E50,M50,U50,AC50)</f>
        <v>3</v>
      </c>
      <c r="AL50" s="5" t="n">
        <f aca="false">4-AK50</f>
        <v>1</v>
      </c>
      <c r="AM50" s="6" t="str">
        <f aca="false">IF(AND(AI50=3,AJ50*AL50&gt;=6),"A",IF(AND(AI50=3,AJ50*AL50&gt;=3),"B",IF(AND(AI50=3,AJ50*AL50&gt;=1),"C","")))</f>
        <v>B</v>
      </c>
      <c r="AN50" s="5" t="str">
        <f aca="false">"Scenario-level Threat=3; Step1="&amp;G50&amp;" Step2="&amp;O50&amp;" Step3="&amp;W50&amp;" Step4="&amp;AE50&amp;" ; Overall Threat fixed=3, Max Mitigation="&amp;AK50&amp;" =&gt; Overall="&amp;AM50</f>
        <v>Scenario-level Threat=3; Step1=A Step2=B Step3=B Step4=A ; Overall Threat fixed=3, Max Mitigation=3 =&gt; Overall=B</v>
      </c>
    </row>
    <row r="51" customFormat="false" ht="234.3" hidden="false" customHeight="false" outlineLevel="0" collapsed="false">
      <c r="A51" s="5" t="s">
        <v>12</v>
      </c>
      <c r="B51" s="3" t="s">
        <v>13</v>
      </c>
      <c r="C51" s="0" t="n">
        <v>3</v>
      </c>
      <c r="D51" s="5" t="n">
        <v>3</v>
      </c>
      <c r="E51" s="5" t="n">
        <v>2</v>
      </c>
      <c r="F51" s="5" t="n">
        <f aca="false">4-E51</f>
        <v>2</v>
      </c>
      <c r="G51" s="6" t="str">
        <f aca="false">IF(AND(C51=3,D51*F51&gt;=6),"A",IF(AND(C51=3,D51*F51&gt;=3),"B",IF(AND(C51=3,D51*F51&gt;=1),"C","")))</f>
        <v>A</v>
      </c>
      <c r="H51" s="7" t="s">
        <v>23</v>
      </c>
      <c r="I51" s="5" t="s">
        <v>46</v>
      </c>
      <c r="J51" s="4" t="s">
        <v>47</v>
      </c>
      <c r="K51" s="0" t="n">
        <v>3</v>
      </c>
      <c r="L51" s="5" t="n">
        <v>3</v>
      </c>
      <c r="M51" s="5" t="n">
        <v>3</v>
      </c>
      <c r="N51" s="5" t="n">
        <f aca="false">4-M51</f>
        <v>1</v>
      </c>
      <c r="O51" s="6" t="str">
        <f aca="false">IF(AND(K51=3,L51*N51&gt;=6),"A",IF(AND(K51=3,L51*N51&gt;=3),"B",IF(AND(K51=3,L51*N51&gt;=1),"C","")))</f>
        <v>B</v>
      </c>
      <c r="P51" s="1" t="n">
        <v>1</v>
      </c>
      <c r="Q51" s="5" t="s">
        <v>17</v>
      </c>
      <c r="R51" s="8" t="s">
        <v>18</v>
      </c>
      <c r="S51" s="0" t="n">
        <v>3</v>
      </c>
      <c r="T51" s="5" t="n">
        <v>3</v>
      </c>
      <c r="U51" s="5" t="n">
        <v>3</v>
      </c>
      <c r="V51" s="5" t="n">
        <f aca="false">4-U51</f>
        <v>1</v>
      </c>
      <c r="W51" s="6" t="str">
        <f aca="false">IF(AND(S51=3,T51*V51&gt;=6),"A",IF(AND(S51=3,T51*V51&gt;=3),"B",IF(AND(S51=3,T51*V51&gt;=1),"C","")))</f>
        <v>B</v>
      </c>
      <c r="X51" s="9" t="s">
        <v>19</v>
      </c>
      <c r="Y51" s="5" t="s">
        <v>24</v>
      </c>
      <c r="Z51" s="3" t="s">
        <v>25</v>
      </c>
      <c r="AA51" s="0" t="n">
        <v>3</v>
      </c>
      <c r="AB51" s="5" t="n">
        <v>3</v>
      </c>
      <c r="AC51" s="5" t="n">
        <v>2</v>
      </c>
      <c r="AD51" s="5" t="n">
        <f aca="false">4-AC51</f>
        <v>2</v>
      </c>
      <c r="AE51" s="6" t="str">
        <f aca="false">IF(AND(AA51=3,AB51*AD51&gt;=6),"A",IF(AND(AA51=3,AB51*AD51&gt;=3),"B",IF(AND(AA51=3,AB51*AD51&gt;=1),"C","")))</f>
        <v>A</v>
      </c>
      <c r="AF51" s="4" t="s">
        <v>26</v>
      </c>
      <c r="AI51" s="5" t="n">
        <v>3</v>
      </c>
      <c r="AJ51" s="5" t="n">
        <v>3</v>
      </c>
      <c r="AK51" s="5" t="n">
        <f aca="false">MAX(E51,M51,U51,AC51)</f>
        <v>3</v>
      </c>
      <c r="AL51" s="5" t="n">
        <f aca="false">4-AK51</f>
        <v>1</v>
      </c>
      <c r="AM51" s="6" t="str">
        <f aca="false">IF(AND(AI51=3,AJ51*AL51&gt;=6),"A",IF(AND(AI51=3,AJ51*AL51&gt;=3),"B",IF(AND(AI51=3,AJ51*AL51&gt;=1),"C","")))</f>
        <v>B</v>
      </c>
      <c r="AN51" s="5" t="str">
        <f aca="false">"Scenario-level Threat=3; Step1="&amp;G51&amp;" Step2="&amp;O51&amp;" Step3="&amp;W51&amp;" Step4="&amp;AE51&amp;" ; Overall Threat fixed=3, Max Mitigation="&amp;AK51&amp;" =&gt; Overall="&amp;AM51</f>
        <v>Scenario-level Threat=3; Step1=A Step2=B Step3=B Step4=A ; Overall Threat fixed=3, Max Mitigation=3 =&gt; Overall=B</v>
      </c>
    </row>
    <row r="52" customFormat="false" ht="234.3" hidden="false" customHeight="false" outlineLevel="0" collapsed="false">
      <c r="A52" s="5" t="s">
        <v>12</v>
      </c>
      <c r="B52" s="3" t="s">
        <v>13</v>
      </c>
      <c r="C52" s="0" t="n">
        <v>3</v>
      </c>
      <c r="D52" s="5" t="n">
        <v>3</v>
      </c>
      <c r="E52" s="5" t="n">
        <v>2</v>
      </c>
      <c r="F52" s="5" t="n">
        <f aca="false">4-E52</f>
        <v>2</v>
      </c>
      <c r="G52" s="6" t="str">
        <f aca="false">IF(AND(C52=3,D52*F52&gt;=6),"A",IF(AND(C52=3,D52*F52&gt;=3),"B",IF(AND(C52=3,D52*F52&gt;=1),"C","")))</f>
        <v>A</v>
      </c>
      <c r="H52" s="7" t="s">
        <v>23</v>
      </c>
      <c r="I52" s="5" t="s">
        <v>46</v>
      </c>
      <c r="J52" s="4" t="s">
        <v>47</v>
      </c>
      <c r="K52" s="0" t="n">
        <v>3</v>
      </c>
      <c r="L52" s="5" t="n">
        <v>3</v>
      </c>
      <c r="M52" s="5" t="n">
        <v>3</v>
      </c>
      <c r="N52" s="5" t="n">
        <f aca="false">4-M52</f>
        <v>1</v>
      </c>
      <c r="O52" s="6" t="str">
        <f aca="false">IF(AND(K52=3,L52*N52&gt;=6),"A",IF(AND(K52=3,L52*N52&gt;=3),"B",IF(AND(K52=3,L52*N52&gt;=1),"C","")))</f>
        <v>B</v>
      </c>
      <c r="P52" s="1" t="n">
        <v>1</v>
      </c>
      <c r="Q52" s="5" t="s">
        <v>17</v>
      </c>
      <c r="R52" s="8" t="s">
        <v>18</v>
      </c>
      <c r="S52" s="0" t="n">
        <v>3</v>
      </c>
      <c r="T52" s="5" t="n">
        <v>3</v>
      </c>
      <c r="U52" s="5" t="n">
        <v>3</v>
      </c>
      <c r="V52" s="5" t="n">
        <f aca="false">4-U52</f>
        <v>1</v>
      </c>
      <c r="W52" s="6" t="str">
        <f aca="false">IF(AND(S52=3,T52*V52&gt;=6),"A",IF(AND(S52=3,T52*V52&gt;=3),"B",IF(AND(S52=3,T52*V52&gt;=1),"C","")))</f>
        <v>B</v>
      </c>
      <c r="X52" s="9" t="s">
        <v>19</v>
      </c>
      <c r="Y52" s="5" t="s">
        <v>27</v>
      </c>
      <c r="Z52" s="7" t="s">
        <v>28</v>
      </c>
      <c r="AA52" s="0" t="n">
        <v>3</v>
      </c>
      <c r="AB52" s="5" t="n">
        <v>3</v>
      </c>
      <c r="AC52" s="5" t="n">
        <v>3</v>
      </c>
      <c r="AD52" s="5" t="n">
        <f aca="false">4-AC52</f>
        <v>1</v>
      </c>
      <c r="AE52" s="6" t="str">
        <f aca="false">IF(AND(AA52=3,AB52*AD52&gt;=6),"A",IF(AND(AA52=3,AB52*AD52&gt;=3),"B",IF(AND(AA52=3,AB52*AD52&gt;=1),"C","")))</f>
        <v>B</v>
      </c>
      <c r="AF52" s="10" t="s">
        <v>29</v>
      </c>
      <c r="AI52" s="5" t="n">
        <v>3</v>
      </c>
      <c r="AJ52" s="5" t="n">
        <v>3</v>
      </c>
      <c r="AK52" s="5" t="n">
        <f aca="false">MAX(E52,M52,U52,AC52)</f>
        <v>3</v>
      </c>
      <c r="AL52" s="5" t="n">
        <f aca="false">4-AK52</f>
        <v>1</v>
      </c>
      <c r="AM52" s="6" t="str">
        <f aca="false">IF(AND(AI52=3,AJ52*AL52&gt;=6),"A",IF(AND(AI52=3,AJ52*AL52&gt;=3),"B",IF(AND(AI52=3,AJ52*AL52&gt;=1),"C","")))</f>
        <v>B</v>
      </c>
      <c r="AN52" s="5" t="str">
        <f aca="false">"Scenario-level Threat=3; Step1="&amp;G52&amp;" Step2="&amp;O52&amp;" Step3="&amp;W52&amp;" Step4="&amp;AE52&amp;" ; Overall Threat fixed=3, Max Mitigation="&amp;AK52&amp;" =&gt; Overall="&amp;AM52</f>
        <v>Scenario-level Threat=3; Step1=A Step2=B Step3=B Step4=B ; Overall Threat fixed=3, Max Mitigation=3 =&gt; Overall=B</v>
      </c>
    </row>
    <row r="53" customFormat="false" ht="234.3" hidden="false" customHeight="false" outlineLevel="0" collapsed="false">
      <c r="A53" s="5" t="s">
        <v>12</v>
      </c>
      <c r="B53" s="3" t="s">
        <v>13</v>
      </c>
      <c r="C53" s="0" t="n">
        <v>3</v>
      </c>
      <c r="D53" s="5" t="n">
        <v>3</v>
      </c>
      <c r="E53" s="5" t="n">
        <v>2</v>
      </c>
      <c r="F53" s="5" t="n">
        <f aca="false">4-E53</f>
        <v>2</v>
      </c>
      <c r="G53" s="6" t="str">
        <f aca="false">IF(AND(C53=3,D53*F53&gt;=6),"A",IF(AND(C53=3,D53*F53&gt;=3),"B",IF(AND(C53=3,D53*F53&gt;=1),"C","")))</f>
        <v>A</v>
      </c>
      <c r="H53" s="7" t="s">
        <v>23</v>
      </c>
      <c r="I53" s="5" t="s">
        <v>46</v>
      </c>
      <c r="J53" s="4" t="s">
        <v>47</v>
      </c>
      <c r="K53" s="0" t="n">
        <v>3</v>
      </c>
      <c r="L53" s="5" t="n">
        <v>3</v>
      </c>
      <c r="M53" s="5" t="n">
        <v>3</v>
      </c>
      <c r="N53" s="5" t="n">
        <f aca="false">4-M53</f>
        <v>1</v>
      </c>
      <c r="O53" s="6" t="str">
        <f aca="false">IF(AND(K53=3,L53*N53&gt;=6),"A",IF(AND(K53=3,L53*N53&gt;=3),"B",IF(AND(K53=3,L53*N53&gt;=1),"C","")))</f>
        <v>B</v>
      </c>
      <c r="P53" s="1" t="n">
        <v>1</v>
      </c>
      <c r="Q53" s="5" t="s">
        <v>17</v>
      </c>
      <c r="R53" s="8" t="s">
        <v>18</v>
      </c>
      <c r="S53" s="0" t="n">
        <v>3</v>
      </c>
      <c r="T53" s="5" t="n">
        <v>3</v>
      </c>
      <c r="U53" s="5" t="n">
        <v>3</v>
      </c>
      <c r="V53" s="5" t="n">
        <f aca="false">4-U53</f>
        <v>1</v>
      </c>
      <c r="W53" s="6" t="str">
        <f aca="false">IF(AND(S53=3,T53*V53&gt;=6),"A",IF(AND(S53=3,T53*V53&gt;=3),"B",IF(AND(S53=3,T53*V53&gt;=1),"C","")))</f>
        <v>B</v>
      </c>
      <c r="X53" s="9" t="s">
        <v>19</v>
      </c>
      <c r="Y53" s="5" t="s">
        <v>30</v>
      </c>
      <c r="Z53" s="9" t="s">
        <v>31</v>
      </c>
      <c r="AA53" s="0" t="n">
        <v>3</v>
      </c>
      <c r="AB53" s="5" t="n">
        <v>3</v>
      </c>
      <c r="AC53" s="5" t="n">
        <v>2</v>
      </c>
      <c r="AD53" s="5" t="n">
        <f aca="false">4-AC53</f>
        <v>2</v>
      </c>
      <c r="AE53" s="6" t="str">
        <f aca="false">IF(AND(AA53=3,AB53*AD53&gt;=6),"A",IF(AND(AA53=3,AB53*AD53&gt;=3),"B",IF(AND(AA53=3,AB53*AD53&gt;=1),"C","")))</f>
        <v>A</v>
      </c>
      <c r="AF53" s="10" t="s">
        <v>32</v>
      </c>
      <c r="AI53" s="5" t="n">
        <v>3</v>
      </c>
      <c r="AJ53" s="5" t="n">
        <v>3</v>
      </c>
      <c r="AK53" s="5" t="n">
        <f aca="false">MAX(E53,M53,U53,AC53)</f>
        <v>3</v>
      </c>
      <c r="AL53" s="5" t="n">
        <f aca="false">4-AK53</f>
        <v>1</v>
      </c>
      <c r="AM53" s="6" t="str">
        <f aca="false">IF(AND(AI53=3,AJ53*AL53&gt;=6),"A",IF(AND(AI53=3,AJ53*AL53&gt;=3),"B",IF(AND(AI53=3,AJ53*AL53&gt;=1),"C","")))</f>
        <v>B</v>
      </c>
      <c r="AN53" s="5" t="str">
        <f aca="false">"Scenario-level Threat=3; Step1="&amp;G53&amp;" Step2="&amp;O53&amp;" Step3="&amp;W53&amp;" Step4="&amp;AE53&amp;" ; Overall Threat fixed=3, Max Mitigation="&amp;AK53&amp;" =&gt; Overall="&amp;AM53</f>
        <v>Scenario-level Threat=3; Step1=A Step2=B Step3=B Step4=A ; Overall Threat fixed=3, Max Mitigation=3 =&gt; Overall=B</v>
      </c>
    </row>
    <row r="54" customFormat="false" ht="194" hidden="false" customHeight="false" outlineLevel="0" collapsed="false">
      <c r="A54" s="5" t="s">
        <v>12</v>
      </c>
      <c r="B54" s="3" t="s">
        <v>13</v>
      </c>
      <c r="C54" s="0" t="n">
        <v>3</v>
      </c>
      <c r="D54" s="5" t="n">
        <v>3</v>
      </c>
      <c r="E54" s="5" t="n">
        <v>2</v>
      </c>
      <c r="F54" s="5" t="n">
        <f aca="false">4-E54</f>
        <v>2</v>
      </c>
      <c r="G54" s="6" t="str">
        <f aca="false">IF(AND(C54=3,D54*F54&gt;=6),"A",IF(AND(C54=3,D54*F54&gt;=3),"B",IF(AND(C54=3,D54*F54&gt;=1),"C","")))</f>
        <v>A</v>
      </c>
      <c r="H54" s="7" t="s">
        <v>23</v>
      </c>
      <c r="I54" s="5" t="s">
        <v>46</v>
      </c>
      <c r="J54" s="4" t="s">
        <v>47</v>
      </c>
      <c r="K54" s="0" t="n">
        <v>3</v>
      </c>
      <c r="L54" s="5" t="n">
        <v>3</v>
      </c>
      <c r="M54" s="5" t="n">
        <v>3</v>
      </c>
      <c r="N54" s="5" t="n">
        <f aca="false">4-M54</f>
        <v>1</v>
      </c>
      <c r="O54" s="6" t="str">
        <f aca="false">IF(AND(K54=3,L54*N54&gt;=6),"A",IF(AND(K54=3,L54*N54&gt;=3),"B",IF(AND(K54=3,L54*N54&gt;=1),"C","")))</f>
        <v>B</v>
      </c>
      <c r="P54" s="1" t="n">
        <v>1</v>
      </c>
      <c r="Q54" s="5" t="s">
        <v>33</v>
      </c>
      <c r="R54" s="8" t="s">
        <v>34</v>
      </c>
      <c r="S54" s="0" t="n">
        <v>3</v>
      </c>
      <c r="T54" s="5" t="n">
        <v>3</v>
      </c>
      <c r="U54" s="5" t="n">
        <v>3</v>
      </c>
      <c r="V54" s="5" t="n">
        <f aca="false">4-U54</f>
        <v>1</v>
      </c>
      <c r="W54" s="6" t="str">
        <f aca="false">IF(AND(S54=3,T54*V54&gt;=6),"A",IF(AND(S54=3,T54*V54&gt;=3),"B",IF(AND(S54=3,T54*V54&gt;=1),"C","")))</f>
        <v>B</v>
      </c>
      <c r="X54" s="9" t="s">
        <v>35</v>
      </c>
      <c r="Y54" s="5" t="s">
        <v>20</v>
      </c>
      <c r="Z54" s="3" t="s">
        <v>21</v>
      </c>
      <c r="AA54" s="0" t="n">
        <v>3</v>
      </c>
      <c r="AB54" s="5" t="n">
        <v>3</v>
      </c>
      <c r="AC54" s="5" t="n">
        <v>2</v>
      </c>
      <c r="AD54" s="5" t="n">
        <f aca="false">4-AC54</f>
        <v>2</v>
      </c>
      <c r="AE54" s="6" t="str">
        <f aca="false">IF(AND(AA54=3,AB54*AD54&gt;=6),"A",IF(AND(AA54=3,AB54*AD54&gt;=3),"B",IF(AND(AA54=3,AB54*AD54&gt;=1),"C","")))</f>
        <v>A</v>
      </c>
      <c r="AF54" s="4" t="s">
        <v>22</v>
      </c>
      <c r="AI54" s="5" t="n">
        <v>3</v>
      </c>
      <c r="AJ54" s="5" t="n">
        <v>3</v>
      </c>
      <c r="AK54" s="5" t="n">
        <f aca="false">MAX(E54,M54,U54,AC54)</f>
        <v>3</v>
      </c>
      <c r="AL54" s="5" t="n">
        <f aca="false">4-AK54</f>
        <v>1</v>
      </c>
      <c r="AM54" s="6" t="str">
        <f aca="false">IF(AND(AI54=3,AJ54*AL54&gt;=6),"A",IF(AND(AI54=3,AJ54*AL54&gt;=3),"B",IF(AND(AI54=3,AJ54*AL54&gt;=1),"C","")))</f>
        <v>B</v>
      </c>
      <c r="AN54" s="5" t="str">
        <f aca="false">"Scenario-level Threat=3; Step1="&amp;G54&amp;" Step2="&amp;O54&amp;" Step3="&amp;W54&amp;" Step4="&amp;AE54&amp;" ; Overall Threat fixed=3, Max Mitigation="&amp;AK54&amp;" =&gt; Overall="&amp;AM54</f>
        <v>Scenario-level Threat=3; Step1=A Step2=B Step3=B Step4=A ; Overall Threat fixed=3, Max Mitigation=3 =&gt; Overall=B</v>
      </c>
    </row>
    <row r="55" customFormat="false" ht="194" hidden="false" customHeight="false" outlineLevel="0" collapsed="false">
      <c r="A55" s="5" t="s">
        <v>12</v>
      </c>
      <c r="B55" s="3" t="s">
        <v>13</v>
      </c>
      <c r="C55" s="0" t="n">
        <v>3</v>
      </c>
      <c r="D55" s="5" t="n">
        <v>3</v>
      </c>
      <c r="E55" s="5" t="n">
        <v>2</v>
      </c>
      <c r="F55" s="5" t="n">
        <f aca="false">4-E55</f>
        <v>2</v>
      </c>
      <c r="G55" s="6" t="str">
        <f aca="false">IF(AND(C55=3,D55*F55&gt;=6),"A",IF(AND(C55=3,D55*F55&gt;=3),"B",IF(AND(C55=3,D55*F55&gt;=1),"C","")))</f>
        <v>A</v>
      </c>
      <c r="H55" s="7" t="s">
        <v>23</v>
      </c>
      <c r="I55" s="5" t="s">
        <v>46</v>
      </c>
      <c r="J55" s="4" t="s">
        <v>47</v>
      </c>
      <c r="K55" s="0" t="n">
        <v>3</v>
      </c>
      <c r="L55" s="5" t="n">
        <v>3</v>
      </c>
      <c r="M55" s="5" t="n">
        <v>3</v>
      </c>
      <c r="N55" s="5" t="n">
        <f aca="false">4-M55</f>
        <v>1</v>
      </c>
      <c r="O55" s="6" t="str">
        <f aca="false">IF(AND(K55=3,L55*N55&gt;=6),"A",IF(AND(K55=3,L55*N55&gt;=3),"B",IF(AND(K55=3,L55*N55&gt;=1),"C","")))</f>
        <v>B</v>
      </c>
      <c r="P55" s="1" t="n">
        <v>1</v>
      </c>
      <c r="Q55" s="5" t="s">
        <v>33</v>
      </c>
      <c r="R55" s="8" t="s">
        <v>34</v>
      </c>
      <c r="S55" s="0" t="n">
        <v>3</v>
      </c>
      <c r="T55" s="5" t="n">
        <v>3</v>
      </c>
      <c r="U55" s="5" t="n">
        <v>3</v>
      </c>
      <c r="V55" s="5" t="n">
        <f aca="false">4-U55</f>
        <v>1</v>
      </c>
      <c r="W55" s="6" t="str">
        <f aca="false">IF(AND(S55=3,T55*V55&gt;=6),"A",IF(AND(S55=3,T55*V55&gt;=3),"B",IF(AND(S55=3,T55*V55&gt;=1),"C","")))</f>
        <v>B</v>
      </c>
      <c r="X55" s="9" t="s">
        <v>35</v>
      </c>
      <c r="Y55" s="5" t="s">
        <v>24</v>
      </c>
      <c r="Z55" s="3" t="s">
        <v>25</v>
      </c>
      <c r="AA55" s="0" t="n">
        <v>3</v>
      </c>
      <c r="AB55" s="5" t="n">
        <v>3</v>
      </c>
      <c r="AC55" s="5" t="n">
        <v>2</v>
      </c>
      <c r="AD55" s="5" t="n">
        <f aca="false">4-AC55</f>
        <v>2</v>
      </c>
      <c r="AE55" s="6" t="str">
        <f aca="false">IF(AND(AA55=3,AB55*AD55&gt;=6),"A",IF(AND(AA55=3,AB55*AD55&gt;=3),"B",IF(AND(AA55=3,AB55*AD55&gt;=1),"C","")))</f>
        <v>A</v>
      </c>
      <c r="AF55" s="4" t="s">
        <v>26</v>
      </c>
      <c r="AI55" s="5" t="n">
        <v>3</v>
      </c>
      <c r="AJ55" s="5" t="n">
        <v>3</v>
      </c>
      <c r="AK55" s="5" t="n">
        <f aca="false">MAX(E55,M55,U55,AC55)</f>
        <v>3</v>
      </c>
      <c r="AL55" s="5" t="n">
        <f aca="false">4-AK55</f>
        <v>1</v>
      </c>
      <c r="AM55" s="6" t="str">
        <f aca="false">IF(AND(AI55=3,AJ55*AL55&gt;=6),"A",IF(AND(AI55=3,AJ55*AL55&gt;=3),"B",IF(AND(AI55=3,AJ55*AL55&gt;=1),"C","")))</f>
        <v>B</v>
      </c>
      <c r="AN55" s="5" t="str">
        <f aca="false">"Scenario-level Threat=3; Step1="&amp;G55&amp;" Step2="&amp;O55&amp;" Step3="&amp;W55&amp;" Step4="&amp;AE55&amp;" ; Overall Threat fixed=3, Max Mitigation="&amp;AK55&amp;" =&gt; Overall="&amp;AM55</f>
        <v>Scenario-level Threat=3; Step1=A Step2=B Step3=B Step4=A ; Overall Threat fixed=3, Max Mitigation=3 =&gt; Overall=B</v>
      </c>
    </row>
    <row r="56" customFormat="false" ht="196.25" hidden="false" customHeight="false" outlineLevel="0" collapsed="false">
      <c r="A56" s="5" t="s">
        <v>12</v>
      </c>
      <c r="B56" s="3" t="s">
        <v>13</v>
      </c>
      <c r="C56" s="0" t="n">
        <v>3</v>
      </c>
      <c r="D56" s="5" t="n">
        <v>3</v>
      </c>
      <c r="E56" s="5" t="n">
        <v>2</v>
      </c>
      <c r="F56" s="5" t="n">
        <f aca="false">4-E56</f>
        <v>2</v>
      </c>
      <c r="G56" s="6" t="str">
        <f aca="false">IF(AND(C56=3,D56*F56&gt;=6),"A",IF(AND(C56=3,D56*F56&gt;=3),"B",IF(AND(C56=3,D56*F56&gt;=1),"C","")))</f>
        <v>A</v>
      </c>
      <c r="H56" s="7" t="s">
        <v>23</v>
      </c>
      <c r="I56" s="5" t="s">
        <v>46</v>
      </c>
      <c r="J56" s="4" t="s">
        <v>47</v>
      </c>
      <c r="K56" s="0" t="n">
        <v>3</v>
      </c>
      <c r="L56" s="5" t="n">
        <v>3</v>
      </c>
      <c r="M56" s="5" t="n">
        <v>3</v>
      </c>
      <c r="N56" s="5" t="n">
        <f aca="false">4-M56</f>
        <v>1</v>
      </c>
      <c r="O56" s="6" t="str">
        <f aca="false">IF(AND(K56=3,L56*N56&gt;=6),"A",IF(AND(K56=3,L56*N56&gt;=3),"B",IF(AND(K56=3,L56*N56&gt;=1),"C","")))</f>
        <v>B</v>
      </c>
      <c r="P56" s="1" t="n">
        <v>1</v>
      </c>
      <c r="Q56" s="5" t="s">
        <v>33</v>
      </c>
      <c r="R56" s="8" t="s">
        <v>34</v>
      </c>
      <c r="S56" s="0" t="n">
        <v>3</v>
      </c>
      <c r="T56" s="5" t="n">
        <v>3</v>
      </c>
      <c r="U56" s="5" t="n">
        <v>3</v>
      </c>
      <c r="V56" s="5" t="n">
        <f aca="false">4-U56</f>
        <v>1</v>
      </c>
      <c r="W56" s="6" t="str">
        <f aca="false">IF(AND(S56=3,T56*V56&gt;=6),"A",IF(AND(S56=3,T56*V56&gt;=3),"B",IF(AND(S56=3,T56*V56&gt;=1),"C","")))</f>
        <v>B</v>
      </c>
      <c r="X56" s="9" t="s">
        <v>35</v>
      </c>
      <c r="Y56" s="5" t="s">
        <v>27</v>
      </c>
      <c r="Z56" s="7" t="s">
        <v>28</v>
      </c>
      <c r="AA56" s="0" t="n">
        <v>3</v>
      </c>
      <c r="AB56" s="5" t="n">
        <v>3</v>
      </c>
      <c r="AC56" s="5" t="n">
        <v>3</v>
      </c>
      <c r="AD56" s="5" t="n">
        <f aca="false">4-AC56</f>
        <v>1</v>
      </c>
      <c r="AE56" s="6" t="str">
        <f aca="false">IF(AND(AA56=3,AB56*AD56&gt;=6),"A",IF(AND(AA56=3,AB56*AD56&gt;=3),"B",IF(AND(AA56=3,AB56*AD56&gt;=1),"C","")))</f>
        <v>B</v>
      </c>
      <c r="AF56" s="10" t="s">
        <v>29</v>
      </c>
      <c r="AI56" s="5" t="n">
        <v>3</v>
      </c>
      <c r="AJ56" s="5" t="n">
        <v>3</v>
      </c>
      <c r="AK56" s="5" t="n">
        <f aca="false">MAX(E56,M56,U56,AC56)</f>
        <v>3</v>
      </c>
      <c r="AL56" s="5" t="n">
        <f aca="false">4-AK56</f>
        <v>1</v>
      </c>
      <c r="AM56" s="6" t="str">
        <f aca="false">IF(AND(AI56=3,AJ56*AL56&gt;=6),"A",IF(AND(AI56=3,AJ56*AL56&gt;=3),"B",IF(AND(AI56=3,AJ56*AL56&gt;=1),"C","")))</f>
        <v>B</v>
      </c>
      <c r="AN56" s="5" t="str">
        <f aca="false">"Scenario-level Threat=3; Step1="&amp;G56&amp;" Step2="&amp;O56&amp;" Step3="&amp;W56&amp;" Step4="&amp;AE56&amp;" ; Overall Threat fixed=3, Max Mitigation="&amp;AK56&amp;" =&gt; Overall="&amp;AM56</f>
        <v>Scenario-level Threat=3; Step1=A Step2=B Step3=B Step4=B ; Overall Threat fixed=3, Max Mitigation=3 =&gt; Overall=B</v>
      </c>
    </row>
    <row r="57" customFormat="false" ht="194" hidden="false" customHeight="false" outlineLevel="0" collapsed="false">
      <c r="A57" s="5" t="s">
        <v>12</v>
      </c>
      <c r="B57" s="3" t="s">
        <v>13</v>
      </c>
      <c r="C57" s="0" t="n">
        <v>3</v>
      </c>
      <c r="D57" s="5" t="n">
        <v>3</v>
      </c>
      <c r="E57" s="5" t="n">
        <v>2</v>
      </c>
      <c r="F57" s="5" t="n">
        <f aca="false">4-E57</f>
        <v>2</v>
      </c>
      <c r="G57" s="6" t="str">
        <f aca="false">IF(AND(C57=3,D57*F57&gt;=6),"A",IF(AND(C57=3,D57*F57&gt;=3),"B",IF(AND(C57=3,D57*F57&gt;=1),"C","")))</f>
        <v>A</v>
      </c>
      <c r="H57" s="7" t="s">
        <v>23</v>
      </c>
      <c r="I57" s="5" t="s">
        <v>46</v>
      </c>
      <c r="J57" s="4" t="s">
        <v>47</v>
      </c>
      <c r="K57" s="0" t="n">
        <v>3</v>
      </c>
      <c r="L57" s="5" t="n">
        <v>3</v>
      </c>
      <c r="M57" s="5" t="n">
        <v>3</v>
      </c>
      <c r="N57" s="5" t="n">
        <f aca="false">4-M57</f>
        <v>1</v>
      </c>
      <c r="O57" s="6" t="str">
        <f aca="false">IF(AND(K57=3,L57*N57&gt;=6),"A",IF(AND(K57=3,L57*N57&gt;=3),"B",IF(AND(K57=3,L57*N57&gt;=1),"C","")))</f>
        <v>B</v>
      </c>
      <c r="P57" s="1" t="n">
        <v>1</v>
      </c>
      <c r="Q57" s="5" t="s">
        <v>33</v>
      </c>
      <c r="R57" s="8" t="s">
        <v>34</v>
      </c>
      <c r="S57" s="0" t="n">
        <v>3</v>
      </c>
      <c r="T57" s="5" t="n">
        <v>3</v>
      </c>
      <c r="U57" s="5" t="n">
        <v>3</v>
      </c>
      <c r="V57" s="5" t="n">
        <f aca="false">4-U57</f>
        <v>1</v>
      </c>
      <c r="W57" s="6" t="str">
        <f aca="false">IF(AND(S57=3,T57*V57&gt;=6),"A",IF(AND(S57=3,T57*V57&gt;=3),"B",IF(AND(S57=3,T57*V57&gt;=1),"C","")))</f>
        <v>B</v>
      </c>
      <c r="X57" s="9" t="s">
        <v>35</v>
      </c>
      <c r="Y57" s="5" t="s">
        <v>30</v>
      </c>
      <c r="Z57" s="9" t="s">
        <v>31</v>
      </c>
      <c r="AA57" s="0" t="n">
        <v>3</v>
      </c>
      <c r="AB57" s="5" t="n">
        <v>3</v>
      </c>
      <c r="AC57" s="5" t="n">
        <v>2</v>
      </c>
      <c r="AD57" s="5" t="n">
        <f aca="false">4-AC57</f>
        <v>2</v>
      </c>
      <c r="AE57" s="6" t="str">
        <f aca="false">IF(AND(AA57=3,AB57*AD57&gt;=6),"A",IF(AND(AA57=3,AB57*AD57&gt;=3),"B",IF(AND(AA57=3,AB57*AD57&gt;=1),"C","")))</f>
        <v>A</v>
      </c>
      <c r="AF57" s="10" t="s">
        <v>32</v>
      </c>
      <c r="AI57" s="5" t="n">
        <v>3</v>
      </c>
      <c r="AJ57" s="5" t="n">
        <v>3</v>
      </c>
      <c r="AK57" s="5" t="n">
        <f aca="false">MAX(E57,M57,U57,AC57)</f>
        <v>3</v>
      </c>
      <c r="AL57" s="5" t="n">
        <f aca="false">4-AK57</f>
        <v>1</v>
      </c>
      <c r="AM57" s="6" t="str">
        <f aca="false">IF(AND(AI57=3,AJ57*AL57&gt;=6),"A",IF(AND(AI57=3,AJ57*AL57&gt;=3),"B",IF(AND(AI57=3,AJ57*AL57&gt;=1),"C","")))</f>
        <v>B</v>
      </c>
      <c r="AN57" s="5" t="str">
        <f aca="false">"Scenario-level Threat=3; Step1="&amp;G57&amp;" Step2="&amp;O57&amp;" Step3="&amp;W57&amp;" Step4="&amp;AE57&amp;" ; Overall Threat fixed=3, Max Mitigation="&amp;AK57&amp;" =&gt; Overall="&amp;AM57</f>
        <v>Scenario-level Threat=3; Step1=A Step2=B Step3=B Step4=A ; Overall Threat fixed=3, Max Mitigation=3 =&gt; Overall=B</v>
      </c>
    </row>
    <row r="58" customFormat="false" ht="122.35" hidden="false" customHeight="false" outlineLevel="0" collapsed="false">
      <c r="A58" s="5" t="s">
        <v>12</v>
      </c>
      <c r="B58" s="3" t="s">
        <v>13</v>
      </c>
      <c r="C58" s="0" t="n">
        <v>3</v>
      </c>
      <c r="D58" s="5" t="n">
        <v>3</v>
      </c>
      <c r="E58" s="5" t="n">
        <v>2</v>
      </c>
      <c r="F58" s="5" t="n">
        <f aca="false">4-E58</f>
        <v>2</v>
      </c>
      <c r="G58" s="6" t="str">
        <f aca="false">IF(AND(C58=3,D58*F58&gt;=6),"A",IF(AND(C58=3,D58*F58&gt;=3),"B",IF(AND(C58=3,D58*F58&gt;=1),"C","")))</f>
        <v>A</v>
      </c>
      <c r="H58" s="7" t="s">
        <v>23</v>
      </c>
      <c r="I58" s="5" t="s">
        <v>46</v>
      </c>
      <c r="J58" s="4" t="s">
        <v>47</v>
      </c>
      <c r="K58" s="0" t="n">
        <v>3</v>
      </c>
      <c r="L58" s="5" t="n">
        <v>3</v>
      </c>
      <c r="M58" s="5" t="n">
        <v>3</v>
      </c>
      <c r="N58" s="5" t="n">
        <f aca="false">4-M58</f>
        <v>1</v>
      </c>
      <c r="O58" s="6" t="str">
        <f aca="false">IF(AND(K58=3,L58*N58&gt;=6),"A",IF(AND(K58=3,L58*N58&gt;=3),"B",IF(AND(K58=3,L58*N58&gt;=1),"C","")))</f>
        <v>B</v>
      </c>
      <c r="P58" s="1" t="n">
        <v>1</v>
      </c>
      <c r="Q58" s="5" t="s">
        <v>36</v>
      </c>
      <c r="R58" s="4" t="s">
        <v>37</v>
      </c>
      <c r="S58" s="0" t="n">
        <v>3</v>
      </c>
      <c r="T58" s="5" t="n">
        <v>3</v>
      </c>
      <c r="U58" s="5" t="n">
        <v>3</v>
      </c>
      <c r="V58" s="5" t="n">
        <f aca="false">4-U58</f>
        <v>1</v>
      </c>
      <c r="W58" s="6" t="str">
        <f aca="false">IF(AND(S58=3,T58*V58&gt;=6),"A",IF(AND(S58=3,T58*V58&gt;=3),"B",IF(AND(S58=3,T58*V58&gt;=1),"C","")))</f>
        <v>B</v>
      </c>
      <c r="X58" s="7" t="s">
        <v>38</v>
      </c>
      <c r="Y58" s="5" t="s">
        <v>20</v>
      </c>
      <c r="Z58" s="3" t="s">
        <v>21</v>
      </c>
      <c r="AA58" s="0" t="n">
        <v>3</v>
      </c>
      <c r="AB58" s="5" t="n">
        <v>3</v>
      </c>
      <c r="AC58" s="5" t="n">
        <v>2</v>
      </c>
      <c r="AD58" s="5" t="n">
        <f aca="false">4-AC58</f>
        <v>2</v>
      </c>
      <c r="AE58" s="6" t="str">
        <f aca="false">IF(AND(AA58=3,AB58*AD58&gt;=6),"A",IF(AND(AA58=3,AB58*AD58&gt;=3),"B",IF(AND(AA58=3,AB58*AD58&gt;=1),"C","")))</f>
        <v>A</v>
      </c>
      <c r="AF58" s="4" t="s">
        <v>22</v>
      </c>
      <c r="AI58" s="5" t="n">
        <v>3</v>
      </c>
      <c r="AJ58" s="5" t="n">
        <v>3</v>
      </c>
      <c r="AK58" s="5" t="n">
        <f aca="false">MAX(E58,M58,U58,AC58)</f>
        <v>3</v>
      </c>
      <c r="AL58" s="5" t="n">
        <f aca="false">4-AK58</f>
        <v>1</v>
      </c>
      <c r="AM58" s="6" t="str">
        <f aca="false">IF(AND(AI58=3,AJ58*AL58&gt;=6),"A",IF(AND(AI58=3,AJ58*AL58&gt;=3),"B",IF(AND(AI58=3,AJ58*AL58&gt;=1),"C","")))</f>
        <v>B</v>
      </c>
      <c r="AN58" s="5" t="str">
        <f aca="false">"Scenario-level Threat=3; Step1="&amp;G58&amp;" Step2="&amp;O58&amp;" Step3="&amp;W58&amp;" Step4="&amp;AE58&amp;" ; Overall Threat fixed=3, Max Mitigation="&amp;AK58&amp;" =&gt; Overall="&amp;AM58</f>
        <v>Scenario-level Threat=3; Step1=A Step2=B Step3=B Step4=A ; Overall Threat fixed=3, Max Mitigation=3 =&gt; Overall=B</v>
      </c>
    </row>
    <row r="59" customFormat="false" ht="122.35" hidden="false" customHeight="false" outlineLevel="0" collapsed="false">
      <c r="A59" s="5" t="s">
        <v>12</v>
      </c>
      <c r="B59" s="3" t="s">
        <v>13</v>
      </c>
      <c r="C59" s="0" t="n">
        <v>3</v>
      </c>
      <c r="D59" s="5" t="n">
        <v>3</v>
      </c>
      <c r="E59" s="5" t="n">
        <v>2</v>
      </c>
      <c r="F59" s="5" t="n">
        <f aca="false">4-E59</f>
        <v>2</v>
      </c>
      <c r="G59" s="6" t="str">
        <f aca="false">IF(AND(C59=3,D59*F59&gt;=6),"A",IF(AND(C59=3,D59*F59&gt;=3),"B",IF(AND(C59=3,D59*F59&gt;=1),"C","")))</f>
        <v>A</v>
      </c>
      <c r="H59" s="7" t="s">
        <v>23</v>
      </c>
      <c r="I59" s="5" t="s">
        <v>46</v>
      </c>
      <c r="J59" s="4" t="s">
        <v>47</v>
      </c>
      <c r="K59" s="0" t="n">
        <v>3</v>
      </c>
      <c r="L59" s="5" t="n">
        <v>3</v>
      </c>
      <c r="M59" s="5" t="n">
        <v>3</v>
      </c>
      <c r="N59" s="5" t="n">
        <f aca="false">4-M59</f>
        <v>1</v>
      </c>
      <c r="O59" s="6" t="str">
        <f aca="false">IF(AND(K59=3,L59*N59&gt;=6),"A",IF(AND(K59=3,L59*N59&gt;=3),"B",IF(AND(K59=3,L59*N59&gt;=1),"C","")))</f>
        <v>B</v>
      </c>
      <c r="P59" s="1" t="n">
        <v>1</v>
      </c>
      <c r="Q59" s="5" t="s">
        <v>36</v>
      </c>
      <c r="R59" s="4" t="s">
        <v>37</v>
      </c>
      <c r="S59" s="0" t="n">
        <v>3</v>
      </c>
      <c r="T59" s="5" t="n">
        <v>3</v>
      </c>
      <c r="U59" s="5" t="n">
        <v>3</v>
      </c>
      <c r="V59" s="5" t="n">
        <f aca="false">4-U59</f>
        <v>1</v>
      </c>
      <c r="W59" s="6" t="str">
        <f aca="false">IF(AND(S59=3,T59*V59&gt;=6),"A",IF(AND(S59=3,T59*V59&gt;=3),"B",IF(AND(S59=3,T59*V59&gt;=1),"C","")))</f>
        <v>B</v>
      </c>
      <c r="X59" s="7" t="s">
        <v>38</v>
      </c>
      <c r="Y59" s="5" t="s">
        <v>24</v>
      </c>
      <c r="Z59" s="3" t="s">
        <v>25</v>
      </c>
      <c r="AA59" s="0" t="n">
        <v>3</v>
      </c>
      <c r="AB59" s="5" t="n">
        <v>3</v>
      </c>
      <c r="AC59" s="5" t="n">
        <v>2</v>
      </c>
      <c r="AD59" s="5" t="n">
        <f aca="false">4-AC59</f>
        <v>2</v>
      </c>
      <c r="AE59" s="6" t="str">
        <f aca="false">IF(AND(AA59=3,AB59*AD59&gt;=6),"A",IF(AND(AA59=3,AB59*AD59&gt;=3),"B",IF(AND(AA59=3,AB59*AD59&gt;=1),"C","")))</f>
        <v>A</v>
      </c>
      <c r="AF59" s="4" t="s">
        <v>26</v>
      </c>
      <c r="AI59" s="5" t="n">
        <v>3</v>
      </c>
      <c r="AJ59" s="5" t="n">
        <v>3</v>
      </c>
      <c r="AK59" s="5" t="n">
        <f aca="false">MAX(E59,M59,U59,AC59)</f>
        <v>3</v>
      </c>
      <c r="AL59" s="5" t="n">
        <f aca="false">4-AK59</f>
        <v>1</v>
      </c>
      <c r="AM59" s="6" t="str">
        <f aca="false">IF(AND(AI59=3,AJ59*AL59&gt;=6),"A",IF(AND(AI59=3,AJ59*AL59&gt;=3),"B",IF(AND(AI59=3,AJ59*AL59&gt;=1),"C","")))</f>
        <v>B</v>
      </c>
      <c r="AN59" s="5" t="str">
        <f aca="false">"Scenario-level Threat=3; Step1="&amp;G59&amp;" Step2="&amp;O59&amp;" Step3="&amp;W59&amp;" Step4="&amp;AE59&amp;" ; Overall Threat fixed=3, Max Mitigation="&amp;AK59&amp;" =&gt; Overall="&amp;AM59</f>
        <v>Scenario-level Threat=3; Step1=A Step2=B Step3=B Step4=A ; Overall Threat fixed=3, Max Mitigation=3 =&gt; Overall=B</v>
      </c>
    </row>
    <row r="60" customFormat="false" ht="196.25" hidden="false" customHeight="false" outlineLevel="0" collapsed="false">
      <c r="A60" s="5" t="s">
        <v>12</v>
      </c>
      <c r="B60" s="3" t="s">
        <v>13</v>
      </c>
      <c r="C60" s="0" t="n">
        <v>3</v>
      </c>
      <c r="D60" s="5" t="n">
        <v>3</v>
      </c>
      <c r="E60" s="5" t="n">
        <v>2</v>
      </c>
      <c r="F60" s="5" t="n">
        <f aca="false">4-E60</f>
        <v>2</v>
      </c>
      <c r="G60" s="6" t="str">
        <f aca="false">IF(AND(C60=3,D60*F60&gt;=6),"A",IF(AND(C60=3,D60*F60&gt;=3),"B",IF(AND(C60=3,D60*F60&gt;=1),"C","")))</f>
        <v>A</v>
      </c>
      <c r="H60" s="7" t="s">
        <v>23</v>
      </c>
      <c r="I60" s="5" t="s">
        <v>46</v>
      </c>
      <c r="J60" s="4" t="s">
        <v>47</v>
      </c>
      <c r="K60" s="0" t="n">
        <v>3</v>
      </c>
      <c r="L60" s="5" t="n">
        <v>3</v>
      </c>
      <c r="M60" s="5" t="n">
        <v>3</v>
      </c>
      <c r="N60" s="5" t="n">
        <f aca="false">4-M60</f>
        <v>1</v>
      </c>
      <c r="O60" s="6" t="str">
        <f aca="false">IF(AND(K60=3,L60*N60&gt;=6),"A",IF(AND(K60=3,L60*N60&gt;=3),"B",IF(AND(K60=3,L60*N60&gt;=1),"C","")))</f>
        <v>B</v>
      </c>
      <c r="P60" s="1" t="n">
        <v>1</v>
      </c>
      <c r="Q60" s="5" t="s">
        <v>36</v>
      </c>
      <c r="R60" s="4" t="s">
        <v>37</v>
      </c>
      <c r="S60" s="0" t="n">
        <v>3</v>
      </c>
      <c r="T60" s="5" t="n">
        <v>3</v>
      </c>
      <c r="U60" s="5" t="n">
        <v>3</v>
      </c>
      <c r="V60" s="5" t="n">
        <f aca="false">4-U60</f>
        <v>1</v>
      </c>
      <c r="W60" s="6" t="str">
        <f aca="false">IF(AND(S60=3,T60*V60&gt;=6),"A",IF(AND(S60=3,T60*V60&gt;=3),"B",IF(AND(S60=3,T60*V60&gt;=1),"C","")))</f>
        <v>B</v>
      </c>
      <c r="X60" s="7" t="s">
        <v>38</v>
      </c>
      <c r="Y60" s="5" t="s">
        <v>27</v>
      </c>
      <c r="Z60" s="7" t="s">
        <v>28</v>
      </c>
      <c r="AA60" s="0" t="n">
        <v>3</v>
      </c>
      <c r="AB60" s="5" t="n">
        <v>3</v>
      </c>
      <c r="AC60" s="5" t="n">
        <v>3</v>
      </c>
      <c r="AD60" s="5" t="n">
        <f aca="false">4-AC60</f>
        <v>1</v>
      </c>
      <c r="AE60" s="6" t="str">
        <f aca="false">IF(AND(AA60=3,AB60*AD60&gt;=6),"A",IF(AND(AA60=3,AB60*AD60&gt;=3),"B",IF(AND(AA60=3,AB60*AD60&gt;=1),"C","")))</f>
        <v>B</v>
      </c>
      <c r="AF60" s="10" t="s">
        <v>29</v>
      </c>
      <c r="AI60" s="5" t="n">
        <v>3</v>
      </c>
      <c r="AJ60" s="5" t="n">
        <v>3</v>
      </c>
      <c r="AK60" s="5" t="n">
        <f aca="false">MAX(E60,M60,U60,AC60)</f>
        <v>3</v>
      </c>
      <c r="AL60" s="5" t="n">
        <f aca="false">4-AK60</f>
        <v>1</v>
      </c>
      <c r="AM60" s="6" t="str">
        <f aca="false">IF(AND(AI60=3,AJ60*AL60&gt;=6),"A",IF(AND(AI60=3,AJ60*AL60&gt;=3),"B",IF(AND(AI60=3,AJ60*AL60&gt;=1),"C","")))</f>
        <v>B</v>
      </c>
      <c r="AN60" s="5" t="str">
        <f aca="false">"Scenario-level Threat=3; Step1="&amp;G60&amp;" Step2="&amp;O60&amp;" Step3="&amp;W60&amp;" Step4="&amp;AE60&amp;" ; Overall Threat fixed=3, Max Mitigation="&amp;AK60&amp;" =&gt; Overall="&amp;AM60</f>
        <v>Scenario-level Threat=3; Step1=A Step2=B Step3=B Step4=B ; Overall Threat fixed=3, Max Mitigation=3 =&gt; Overall=B</v>
      </c>
    </row>
    <row r="61" customFormat="false" ht="194" hidden="false" customHeight="false" outlineLevel="0" collapsed="false">
      <c r="A61" s="5" t="s">
        <v>12</v>
      </c>
      <c r="B61" s="3" t="s">
        <v>13</v>
      </c>
      <c r="C61" s="0" t="n">
        <v>3</v>
      </c>
      <c r="D61" s="5" t="n">
        <v>3</v>
      </c>
      <c r="E61" s="5" t="n">
        <v>2</v>
      </c>
      <c r="F61" s="5" t="n">
        <f aca="false">4-E61</f>
        <v>2</v>
      </c>
      <c r="G61" s="6" t="str">
        <f aca="false">IF(AND(C61=3,D61*F61&gt;=6),"A",IF(AND(C61=3,D61*F61&gt;=3),"B",IF(AND(C61=3,D61*F61&gt;=1),"C","")))</f>
        <v>A</v>
      </c>
      <c r="H61" s="7" t="s">
        <v>23</v>
      </c>
      <c r="I61" s="5" t="s">
        <v>46</v>
      </c>
      <c r="J61" s="4" t="s">
        <v>47</v>
      </c>
      <c r="K61" s="0" t="n">
        <v>3</v>
      </c>
      <c r="L61" s="5" t="n">
        <v>3</v>
      </c>
      <c r="M61" s="5" t="n">
        <v>3</v>
      </c>
      <c r="N61" s="5" t="n">
        <f aca="false">4-M61</f>
        <v>1</v>
      </c>
      <c r="O61" s="6" t="str">
        <f aca="false">IF(AND(K61=3,L61*N61&gt;=6),"A",IF(AND(K61=3,L61*N61&gt;=3),"B",IF(AND(K61=3,L61*N61&gt;=1),"C","")))</f>
        <v>B</v>
      </c>
      <c r="P61" s="1" t="n">
        <v>1</v>
      </c>
      <c r="Q61" s="5" t="s">
        <v>36</v>
      </c>
      <c r="R61" s="4" t="s">
        <v>37</v>
      </c>
      <c r="S61" s="0" t="n">
        <v>3</v>
      </c>
      <c r="T61" s="5" t="n">
        <v>3</v>
      </c>
      <c r="U61" s="5" t="n">
        <v>3</v>
      </c>
      <c r="V61" s="5" t="n">
        <f aca="false">4-U61</f>
        <v>1</v>
      </c>
      <c r="W61" s="6" t="str">
        <f aca="false">IF(AND(S61=3,T61*V61&gt;=6),"A",IF(AND(S61=3,T61*V61&gt;=3),"B",IF(AND(S61=3,T61*V61&gt;=1),"C","")))</f>
        <v>B</v>
      </c>
      <c r="X61" s="7" t="s">
        <v>38</v>
      </c>
      <c r="Y61" s="5" t="s">
        <v>30</v>
      </c>
      <c r="Z61" s="9" t="s">
        <v>31</v>
      </c>
      <c r="AA61" s="0" t="n">
        <v>3</v>
      </c>
      <c r="AB61" s="5" t="n">
        <v>3</v>
      </c>
      <c r="AC61" s="5" t="n">
        <v>2</v>
      </c>
      <c r="AD61" s="5" t="n">
        <f aca="false">4-AC61</f>
        <v>2</v>
      </c>
      <c r="AE61" s="6" t="str">
        <f aca="false">IF(AND(AA61=3,AB61*AD61&gt;=6),"A",IF(AND(AA61=3,AB61*AD61&gt;=3),"B",IF(AND(AA61=3,AB61*AD61&gt;=1),"C","")))</f>
        <v>A</v>
      </c>
      <c r="AF61" s="10" t="s">
        <v>32</v>
      </c>
      <c r="AI61" s="5" t="n">
        <v>3</v>
      </c>
      <c r="AJ61" s="5" t="n">
        <v>3</v>
      </c>
      <c r="AK61" s="5" t="n">
        <f aca="false">MAX(E61,M61,U61,AC61)</f>
        <v>3</v>
      </c>
      <c r="AL61" s="5" t="n">
        <f aca="false">4-AK61</f>
        <v>1</v>
      </c>
      <c r="AM61" s="6" t="str">
        <f aca="false">IF(AND(AI61=3,AJ61*AL61&gt;=6),"A",IF(AND(AI61=3,AJ61*AL61&gt;=3),"B",IF(AND(AI61=3,AJ61*AL61&gt;=1),"C","")))</f>
        <v>B</v>
      </c>
      <c r="AN61" s="5" t="str">
        <f aca="false">"Scenario-level Threat=3; Step1="&amp;G61&amp;" Step2="&amp;O61&amp;" Step3="&amp;W61&amp;" Step4="&amp;AE61&amp;" ; Overall Threat fixed=3, Max Mitigation="&amp;AK61&amp;" =&gt; Overall="&amp;AM61</f>
        <v>Scenario-level Threat=3; Step1=A Step2=B Step3=B Step4=A ; Overall Threat fixed=3, Max Mitigation=3 =&gt; Overall=B</v>
      </c>
    </row>
    <row r="62" customFormat="false" ht="122.35" hidden="false" customHeight="false" outlineLevel="0" collapsed="false">
      <c r="A62" s="5" t="s">
        <v>12</v>
      </c>
      <c r="B62" s="3" t="s">
        <v>13</v>
      </c>
      <c r="C62" s="0" t="n">
        <v>3</v>
      </c>
      <c r="D62" s="5" t="n">
        <v>3</v>
      </c>
      <c r="E62" s="5" t="n">
        <v>2</v>
      </c>
      <c r="F62" s="5" t="n">
        <f aca="false">4-E62</f>
        <v>2</v>
      </c>
      <c r="G62" s="6" t="str">
        <f aca="false">IF(AND(C62=3,D62*F62&gt;=6),"A",IF(AND(C62=3,D62*F62&gt;=3),"B",IF(AND(C62=3,D62*F62&gt;=1),"C","")))</f>
        <v>A</v>
      </c>
      <c r="H62" s="7" t="s">
        <v>23</v>
      </c>
      <c r="I62" s="5" t="s">
        <v>46</v>
      </c>
      <c r="J62" s="4" t="s">
        <v>47</v>
      </c>
      <c r="K62" s="0" t="n">
        <v>3</v>
      </c>
      <c r="L62" s="5" t="n">
        <v>3</v>
      </c>
      <c r="M62" s="5" t="n">
        <v>3</v>
      </c>
      <c r="N62" s="5" t="n">
        <f aca="false">4-M62</f>
        <v>1</v>
      </c>
      <c r="O62" s="6" t="str">
        <f aca="false">IF(AND(K62=3,L62*N62&gt;=6),"A",IF(AND(K62=3,L62*N62&gt;=3),"B",IF(AND(K62=3,L62*N62&gt;=1),"C","")))</f>
        <v>B</v>
      </c>
      <c r="P62" s="1" t="n">
        <v>1</v>
      </c>
      <c r="Q62" s="5" t="s">
        <v>39</v>
      </c>
      <c r="R62" s="4" t="s">
        <v>40</v>
      </c>
      <c r="S62" s="0" t="n">
        <v>3</v>
      </c>
      <c r="T62" s="5" t="n">
        <v>3</v>
      </c>
      <c r="U62" s="5" t="n">
        <v>3</v>
      </c>
      <c r="V62" s="5" t="n">
        <f aca="false">4-U62</f>
        <v>1</v>
      </c>
      <c r="W62" s="6" t="str">
        <f aca="false">IF(AND(S62=3,T62*V62&gt;=6),"A",IF(AND(S62=3,T62*V62&gt;=3),"B",IF(AND(S62=3,T62*V62&gt;=1),"C","")))</f>
        <v>B</v>
      </c>
      <c r="X62" s="3" t="s">
        <v>41</v>
      </c>
      <c r="Y62" s="5" t="s">
        <v>20</v>
      </c>
      <c r="Z62" s="3" t="s">
        <v>21</v>
      </c>
      <c r="AA62" s="0" t="n">
        <v>3</v>
      </c>
      <c r="AB62" s="5" t="n">
        <v>3</v>
      </c>
      <c r="AC62" s="5" t="n">
        <v>2</v>
      </c>
      <c r="AD62" s="5" t="n">
        <f aca="false">4-AC62</f>
        <v>2</v>
      </c>
      <c r="AE62" s="6" t="str">
        <f aca="false">IF(AND(AA62=3,AB62*AD62&gt;=6),"A",IF(AND(AA62=3,AB62*AD62&gt;=3),"B",IF(AND(AA62=3,AB62*AD62&gt;=1),"C","")))</f>
        <v>A</v>
      </c>
      <c r="AF62" s="4" t="s">
        <v>22</v>
      </c>
      <c r="AI62" s="5" t="n">
        <v>3</v>
      </c>
      <c r="AJ62" s="5" t="n">
        <v>3</v>
      </c>
      <c r="AK62" s="5" t="n">
        <f aca="false">MAX(E62,M62,U62,AC62)</f>
        <v>3</v>
      </c>
      <c r="AL62" s="5" t="n">
        <f aca="false">4-AK62</f>
        <v>1</v>
      </c>
      <c r="AM62" s="6" t="str">
        <f aca="false">IF(AND(AI62=3,AJ62*AL62&gt;=6),"A",IF(AND(AI62=3,AJ62*AL62&gt;=3),"B",IF(AND(AI62=3,AJ62*AL62&gt;=1),"C","")))</f>
        <v>B</v>
      </c>
      <c r="AN62" s="5" t="str">
        <f aca="false">"Scenario-level Threat=3; Step1="&amp;G62&amp;" Step2="&amp;O62&amp;" Step3="&amp;W62&amp;" Step4="&amp;AE62&amp;" ; Overall Threat fixed=3, Max Mitigation="&amp;AK62&amp;" =&gt; Overall="&amp;AM62</f>
        <v>Scenario-level Threat=3; Step1=A Step2=B Step3=B Step4=A ; Overall Threat fixed=3, Max Mitigation=3 =&gt; Overall=B</v>
      </c>
    </row>
    <row r="63" customFormat="false" ht="122.35" hidden="false" customHeight="false" outlineLevel="0" collapsed="false">
      <c r="A63" s="5" t="s">
        <v>12</v>
      </c>
      <c r="B63" s="3" t="s">
        <v>13</v>
      </c>
      <c r="C63" s="0" t="n">
        <v>3</v>
      </c>
      <c r="D63" s="5" t="n">
        <v>3</v>
      </c>
      <c r="E63" s="5" t="n">
        <v>2</v>
      </c>
      <c r="F63" s="5" t="n">
        <f aca="false">4-E63</f>
        <v>2</v>
      </c>
      <c r="G63" s="6" t="str">
        <f aca="false">IF(AND(C63=3,D63*F63&gt;=6),"A",IF(AND(C63=3,D63*F63&gt;=3),"B",IF(AND(C63=3,D63*F63&gt;=1),"C","")))</f>
        <v>A</v>
      </c>
      <c r="H63" s="7" t="s">
        <v>23</v>
      </c>
      <c r="I63" s="5" t="s">
        <v>46</v>
      </c>
      <c r="J63" s="4" t="s">
        <v>47</v>
      </c>
      <c r="K63" s="0" t="n">
        <v>3</v>
      </c>
      <c r="L63" s="5" t="n">
        <v>3</v>
      </c>
      <c r="M63" s="5" t="n">
        <v>3</v>
      </c>
      <c r="N63" s="5" t="n">
        <f aca="false">4-M63</f>
        <v>1</v>
      </c>
      <c r="O63" s="6" t="str">
        <f aca="false">IF(AND(K63=3,L63*N63&gt;=6),"A",IF(AND(K63=3,L63*N63&gt;=3),"B",IF(AND(K63=3,L63*N63&gt;=1),"C","")))</f>
        <v>B</v>
      </c>
      <c r="P63" s="1" t="n">
        <v>1</v>
      </c>
      <c r="Q63" s="5" t="s">
        <v>39</v>
      </c>
      <c r="R63" s="4" t="s">
        <v>40</v>
      </c>
      <c r="S63" s="0" t="n">
        <v>3</v>
      </c>
      <c r="T63" s="5" t="n">
        <v>3</v>
      </c>
      <c r="U63" s="5" t="n">
        <v>3</v>
      </c>
      <c r="V63" s="5" t="n">
        <f aca="false">4-U63</f>
        <v>1</v>
      </c>
      <c r="W63" s="6" t="str">
        <f aca="false">IF(AND(S63=3,T63*V63&gt;=6),"A",IF(AND(S63=3,T63*V63&gt;=3),"B",IF(AND(S63=3,T63*V63&gt;=1),"C","")))</f>
        <v>B</v>
      </c>
      <c r="X63" s="3" t="s">
        <v>41</v>
      </c>
      <c r="Y63" s="5" t="s">
        <v>24</v>
      </c>
      <c r="Z63" s="3" t="s">
        <v>25</v>
      </c>
      <c r="AA63" s="0" t="n">
        <v>3</v>
      </c>
      <c r="AB63" s="5" t="n">
        <v>3</v>
      </c>
      <c r="AC63" s="5" t="n">
        <v>2</v>
      </c>
      <c r="AD63" s="5" t="n">
        <f aca="false">4-AC63</f>
        <v>2</v>
      </c>
      <c r="AE63" s="6" t="str">
        <f aca="false">IF(AND(AA63=3,AB63*AD63&gt;=6),"A",IF(AND(AA63=3,AB63*AD63&gt;=3),"B",IF(AND(AA63=3,AB63*AD63&gt;=1),"C","")))</f>
        <v>A</v>
      </c>
      <c r="AF63" s="4" t="s">
        <v>26</v>
      </c>
      <c r="AI63" s="5" t="n">
        <v>3</v>
      </c>
      <c r="AJ63" s="5" t="n">
        <v>3</v>
      </c>
      <c r="AK63" s="5" t="n">
        <f aca="false">MAX(E63,M63,U63,AC63)</f>
        <v>3</v>
      </c>
      <c r="AL63" s="5" t="n">
        <f aca="false">4-AK63</f>
        <v>1</v>
      </c>
      <c r="AM63" s="6" t="str">
        <f aca="false">IF(AND(AI63=3,AJ63*AL63&gt;=6),"A",IF(AND(AI63=3,AJ63*AL63&gt;=3),"B",IF(AND(AI63=3,AJ63*AL63&gt;=1),"C","")))</f>
        <v>B</v>
      </c>
      <c r="AN63" s="5" t="str">
        <f aca="false">"Scenario-level Threat=3; Step1="&amp;G63&amp;" Step2="&amp;O63&amp;" Step3="&amp;W63&amp;" Step4="&amp;AE63&amp;" ; Overall Threat fixed=3, Max Mitigation="&amp;AK63&amp;" =&gt; Overall="&amp;AM63</f>
        <v>Scenario-level Threat=3; Step1=A Step2=B Step3=B Step4=A ; Overall Threat fixed=3, Max Mitigation=3 =&gt; Overall=B</v>
      </c>
    </row>
    <row r="64" customFormat="false" ht="196.25" hidden="false" customHeight="false" outlineLevel="0" collapsed="false">
      <c r="A64" s="5" t="s">
        <v>12</v>
      </c>
      <c r="B64" s="3" t="s">
        <v>13</v>
      </c>
      <c r="C64" s="0" t="n">
        <v>3</v>
      </c>
      <c r="D64" s="5" t="n">
        <v>3</v>
      </c>
      <c r="E64" s="5" t="n">
        <v>2</v>
      </c>
      <c r="F64" s="5" t="n">
        <f aca="false">4-E64</f>
        <v>2</v>
      </c>
      <c r="G64" s="6" t="str">
        <f aca="false">IF(AND(C64=3,D64*F64&gt;=6),"A",IF(AND(C64=3,D64*F64&gt;=3),"B",IF(AND(C64=3,D64*F64&gt;=1),"C","")))</f>
        <v>A</v>
      </c>
      <c r="H64" s="7" t="s">
        <v>23</v>
      </c>
      <c r="I64" s="5" t="s">
        <v>46</v>
      </c>
      <c r="J64" s="4" t="s">
        <v>47</v>
      </c>
      <c r="K64" s="0" t="n">
        <v>3</v>
      </c>
      <c r="L64" s="5" t="n">
        <v>3</v>
      </c>
      <c r="M64" s="5" t="n">
        <v>3</v>
      </c>
      <c r="N64" s="5" t="n">
        <f aca="false">4-M64</f>
        <v>1</v>
      </c>
      <c r="O64" s="6" t="str">
        <f aca="false">IF(AND(K64=3,L64*N64&gt;=6),"A",IF(AND(K64=3,L64*N64&gt;=3),"B",IF(AND(K64=3,L64*N64&gt;=1),"C","")))</f>
        <v>B</v>
      </c>
      <c r="P64" s="1" t="n">
        <v>1</v>
      </c>
      <c r="Q64" s="5" t="s">
        <v>39</v>
      </c>
      <c r="R64" s="4" t="s">
        <v>40</v>
      </c>
      <c r="S64" s="0" t="n">
        <v>3</v>
      </c>
      <c r="T64" s="5" t="n">
        <v>3</v>
      </c>
      <c r="U64" s="5" t="n">
        <v>3</v>
      </c>
      <c r="V64" s="5" t="n">
        <f aca="false">4-U64</f>
        <v>1</v>
      </c>
      <c r="W64" s="6" t="str">
        <f aca="false">IF(AND(S64=3,T64*V64&gt;=6),"A",IF(AND(S64=3,T64*V64&gt;=3),"B",IF(AND(S64=3,T64*V64&gt;=1),"C","")))</f>
        <v>B</v>
      </c>
      <c r="X64" s="3" t="s">
        <v>41</v>
      </c>
      <c r="Y64" s="5" t="s">
        <v>27</v>
      </c>
      <c r="Z64" s="7" t="s">
        <v>28</v>
      </c>
      <c r="AA64" s="0" t="n">
        <v>3</v>
      </c>
      <c r="AB64" s="5" t="n">
        <v>3</v>
      </c>
      <c r="AC64" s="5" t="n">
        <v>3</v>
      </c>
      <c r="AD64" s="5" t="n">
        <f aca="false">4-AC64</f>
        <v>1</v>
      </c>
      <c r="AE64" s="6" t="str">
        <f aca="false">IF(AND(AA64=3,AB64*AD64&gt;=6),"A",IF(AND(AA64=3,AB64*AD64&gt;=3),"B",IF(AND(AA64=3,AB64*AD64&gt;=1),"C","")))</f>
        <v>B</v>
      </c>
      <c r="AF64" s="10" t="s">
        <v>29</v>
      </c>
      <c r="AI64" s="5" t="n">
        <v>3</v>
      </c>
      <c r="AJ64" s="5" t="n">
        <v>3</v>
      </c>
      <c r="AK64" s="5" t="n">
        <f aca="false">MAX(E64,M64,U64,AC64)</f>
        <v>3</v>
      </c>
      <c r="AL64" s="5" t="n">
        <f aca="false">4-AK64</f>
        <v>1</v>
      </c>
      <c r="AM64" s="6" t="str">
        <f aca="false">IF(AND(AI64=3,AJ64*AL64&gt;=6),"A",IF(AND(AI64=3,AJ64*AL64&gt;=3),"B",IF(AND(AI64=3,AJ64*AL64&gt;=1),"C","")))</f>
        <v>B</v>
      </c>
      <c r="AN64" s="5" t="str">
        <f aca="false">"Scenario-level Threat=3; Step1="&amp;G64&amp;" Step2="&amp;O64&amp;" Step3="&amp;W64&amp;" Step4="&amp;AE64&amp;" ; Overall Threat fixed=3, Max Mitigation="&amp;AK64&amp;" =&gt; Overall="&amp;AM64</f>
        <v>Scenario-level Threat=3; Step1=A Step2=B Step3=B Step4=B ; Overall Threat fixed=3, Max Mitigation=3 =&gt; Overall=B</v>
      </c>
    </row>
    <row r="65" customFormat="false" ht="194" hidden="false" customHeight="false" outlineLevel="0" collapsed="false">
      <c r="A65" s="5" t="s">
        <v>12</v>
      </c>
      <c r="B65" s="3" t="s">
        <v>13</v>
      </c>
      <c r="C65" s="0" t="n">
        <v>3</v>
      </c>
      <c r="D65" s="5" t="n">
        <v>3</v>
      </c>
      <c r="E65" s="5" t="n">
        <v>2</v>
      </c>
      <c r="F65" s="5" t="n">
        <f aca="false">4-E65</f>
        <v>2</v>
      </c>
      <c r="G65" s="6" t="str">
        <f aca="false">IF(AND(C65=3,D65*F65&gt;=6),"A",IF(AND(C65=3,D65*F65&gt;=3),"B",IF(AND(C65=3,D65*F65&gt;=1),"C","")))</f>
        <v>A</v>
      </c>
      <c r="H65" s="7" t="s">
        <v>23</v>
      </c>
      <c r="I65" s="5" t="s">
        <v>46</v>
      </c>
      <c r="J65" s="4" t="s">
        <v>47</v>
      </c>
      <c r="K65" s="0" t="n">
        <v>3</v>
      </c>
      <c r="L65" s="5" t="n">
        <v>3</v>
      </c>
      <c r="M65" s="5" t="n">
        <v>3</v>
      </c>
      <c r="N65" s="5" t="n">
        <f aca="false">4-M65</f>
        <v>1</v>
      </c>
      <c r="O65" s="6" t="str">
        <f aca="false">IF(AND(K65=3,L65*N65&gt;=6),"A",IF(AND(K65=3,L65*N65&gt;=3),"B",IF(AND(K65=3,L65*N65&gt;=1),"C","")))</f>
        <v>B</v>
      </c>
      <c r="P65" s="1" t="n">
        <v>1</v>
      </c>
      <c r="Q65" s="5" t="s">
        <v>39</v>
      </c>
      <c r="R65" s="4" t="s">
        <v>40</v>
      </c>
      <c r="S65" s="0" t="n">
        <v>3</v>
      </c>
      <c r="T65" s="5" t="n">
        <v>3</v>
      </c>
      <c r="U65" s="5" t="n">
        <v>3</v>
      </c>
      <c r="V65" s="5" t="n">
        <f aca="false">4-U65</f>
        <v>1</v>
      </c>
      <c r="W65" s="6" t="str">
        <f aca="false">IF(AND(S65=3,T65*V65&gt;=6),"A",IF(AND(S65=3,T65*V65&gt;=3),"B",IF(AND(S65=3,T65*V65&gt;=1),"C","")))</f>
        <v>B</v>
      </c>
      <c r="X65" s="3" t="s">
        <v>41</v>
      </c>
      <c r="Y65" s="5" t="s">
        <v>30</v>
      </c>
      <c r="Z65" s="9" t="s">
        <v>31</v>
      </c>
      <c r="AA65" s="0" t="n">
        <v>3</v>
      </c>
      <c r="AB65" s="5" t="n">
        <v>3</v>
      </c>
      <c r="AC65" s="5" t="n">
        <v>2</v>
      </c>
      <c r="AD65" s="5" t="n">
        <f aca="false">4-AC65</f>
        <v>2</v>
      </c>
      <c r="AE65" s="6" t="str">
        <f aca="false">IF(AND(AA65=3,AB65*AD65&gt;=6),"A",IF(AND(AA65=3,AB65*AD65&gt;=3),"B",IF(AND(AA65=3,AB65*AD65&gt;=1),"C","")))</f>
        <v>A</v>
      </c>
      <c r="AF65" s="10" t="s">
        <v>32</v>
      </c>
      <c r="AI65" s="5" t="n">
        <v>3</v>
      </c>
      <c r="AJ65" s="5" t="n">
        <v>3</v>
      </c>
      <c r="AK65" s="5" t="n">
        <f aca="false">MAX(E65,M65,U65,AC65)</f>
        <v>3</v>
      </c>
      <c r="AL65" s="5" t="n">
        <f aca="false">4-AK65</f>
        <v>1</v>
      </c>
      <c r="AM65" s="6" t="str">
        <f aca="false">IF(AND(AI65=3,AJ65*AL65&gt;=6),"A",IF(AND(AI65=3,AJ65*AL65&gt;=3),"B",IF(AND(AI65=3,AJ65*AL65&gt;=1),"C","")))</f>
        <v>B</v>
      </c>
      <c r="AN65" s="5" t="str">
        <f aca="false">"Scenario-level Threat=3; Step1="&amp;G65&amp;" Step2="&amp;O65&amp;" Step3="&amp;W65&amp;" Step4="&amp;AE65&amp;" ; Overall Threat fixed=3, Max Mitigation="&amp;AK65&amp;" =&gt; Overall="&amp;AM65</f>
        <v>Scenario-level Threat=3; Step1=A Step2=B Step3=B Step4=A ; Overall Threat fixed=3, Max Mitigation=3 =&gt; Overall=B</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8" zeroHeight="false" outlineLevelRow="0" outlineLevelCol="0"/>
  <sheetData>
    <row r="1" customFormat="false" ht="18" hidden="false" customHeight="false" outlineLevel="0" collapsed="false">
      <c r="A1" s="11" t="s">
        <v>48</v>
      </c>
      <c r="B1" s="11" t="s">
        <v>49</v>
      </c>
      <c r="C1" s="11"/>
      <c r="D1" s="11"/>
      <c r="E1" s="11"/>
      <c r="F1" s="11"/>
      <c r="G1" s="11"/>
      <c r="H1" s="11"/>
    </row>
    <row r="2" customFormat="false" ht="18" hidden="false" customHeight="false" outlineLevel="0" collapsed="false">
      <c r="A2" s="0" t="s">
        <v>50</v>
      </c>
      <c r="B2" s="0" t="s">
        <v>51</v>
      </c>
    </row>
    <row r="3" customFormat="false" ht="18" hidden="false" customHeight="false" outlineLevel="0" collapsed="false">
      <c r="A3" s="0" t="s">
        <v>52</v>
      </c>
      <c r="B3" s="0" t="s">
        <v>53</v>
      </c>
    </row>
    <row r="4" customFormat="false" ht="18" hidden="false" customHeight="false" outlineLevel="0" collapsed="false">
      <c r="A4" s="0" t="s">
        <v>54</v>
      </c>
      <c r="B4" s="0" t="s">
        <v>55</v>
      </c>
    </row>
    <row r="6" customFormat="false" ht="18" hidden="false" customHeight="false" outlineLevel="0" collapsed="false">
      <c r="A6" s="0" t="s">
        <v>56</v>
      </c>
      <c r="B6" s="0" t="s">
        <v>57</v>
      </c>
      <c r="C6" s="0" t="s">
        <v>58</v>
      </c>
      <c r="D6" s="0" t="s">
        <v>59</v>
      </c>
      <c r="E6" s="0" t="s">
        <v>60</v>
      </c>
      <c r="F6" s="0" t="s">
        <v>61</v>
      </c>
      <c r="G6" s="0" t="s">
        <v>62</v>
      </c>
      <c r="H6" s="0" t="s">
        <v>63</v>
      </c>
    </row>
    <row r="7" customFormat="false" ht="18" hidden="false" customHeight="false" outlineLevel="0" collapsed="false">
      <c r="A7" s="0" t="n">
        <v>2</v>
      </c>
      <c r="B7" s="0" t="n">
        <v>1</v>
      </c>
      <c r="C7" s="0" t="s">
        <v>64</v>
      </c>
      <c r="D7" s="0" t="s">
        <v>65</v>
      </c>
      <c r="E7" s="0" t="n">
        <v>0.9</v>
      </c>
      <c r="F7" s="0" t="n">
        <v>3</v>
      </c>
      <c r="G7" s="0" t="n">
        <v>0.46</v>
      </c>
      <c r="H7" s="0" t="n">
        <v>2</v>
      </c>
    </row>
    <row r="8" customFormat="false" ht="18" hidden="false" customHeight="false" outlineLevel="0" collapsed="false">
      <c r="A8" s="0" t="n">
        <v>2</v>
      </c>
      <c r="B8" s="0" t="n">
        <v>2</v>
      </c>
      <c r="C8" s="0" t="s">
        <v>15</v>
      </c>
      <c r="D8" s="0" t="s">
        <v>66</v>
      </c>
      <c r="E8" s="0" t="n">
        <v>0.36</v>
      </c>
      <c r="F8" s="0" t="n">
        <v>2</v>
      </c>
      <c r="G8" s="0" t="n">
        <v>0.46</v>
      </c>
      <c r="H8" s="0" t="n">
        <v>2</v>
      </c>
    </row>
    <row r="9" customFormat="false" ht="18" hidden="false" customHeight="false" outlineLevel="0" collapsed="false">
      <c r="A9" s="0" t="n">
        <v>2</v>
      </c>
      <c r="B9" s="0" t="n">
        <v>3</v>
      </c>
      <c r="C9" s="0" t="s">
        <v>17</v>
      </c>
      <c r="D9" s="0" t="s">
        <v>67</v>
      </c>
      <c r="E9" s="0" t="n">
        <v>0.36</v>
      </c>
      <c r="F9" s="0" t="n">
        <v>2</v>
      </c>
      <c r="G9" s="0" t="n">
        <v>0.1</v>
      </c>
      <c r="H9" s="0" t="n">
        <v>3</v>
      </c>
    </row>
    <row r="10" customFormat="false" ht="18" hidden="false" customHeight="false" outlineLevel="0" collapsed="false">
      <c r="A10" s="0" t="n">
        <v>2</v>
      </c>
      <c r="B10" s="0" t="n">
        <v>4</v>
      </c>
      <c r="C10" s="0" t="n">
        <v>1</v>
      </c>
      <c r="D10" s="0" t="s">
        <v>20</v>
      </c>
      <c r="E10" s="0" t="n">
        <v>0.18</v>
      </c>
      <c r="F10" s="0" t="n">
        <v>1</v>
      </c>
      <c r="G10" s="0" t="n">
        <v>0.46</v>
      </c>
      <c r="H10" s="0" t="n">
        <v>2</v>
      </c>
    </row>
    <row r="11" customFormat="false" ht="18" hidden="false" customHeight="false" outlineLevel="0" collapsed="false">
      <c r="A11" s="0" t="n">
        <v>3</v>
      </c>
      <c r="B11" s="0" t="n">
        <v>1</v>
      </c>
      <c r="C11" s="0" t="s">
        <v>64</v>
      </c>
      <c r="D11" s="0" t="s">
        <v>65</v>
      </c>
      <c r="E11" s="0" t="n">
        <v>0.9</v>
      </c>
      <c r="F11" s="0" t="n">
        <v>3</v>
      </c>
      <c r="G11" s="0" t="n">
        <v>0.46</v>
      </c>
      <c r="H11" s="0" t="n">
        <v>2</v>
      </c>
    </row>
    <row r="12" customFormat="false" ht="18" hidden="false" customHeight="false" outlineLevel="0" collapsed="false">
      <c r="A12" s="0" t="n">
        <v>3</v>
      </c>
      <c r="B12" s="0" t="n">
        <v>2</v>
      </c>
      <c r="C12" s="0" t="s">
        <v>15</v>
      </c>
      <c r="D12" s="0" t="s">
        <v>66</v>
      </c>
      <c r="E12" s="0" t="n">
        <v>0.36</v>
      </c>
      <c r="F12" s="0" t="n">
        <v>2</v>
      </c>
      <c r="G12" s="0" t="n">
        <v>0.46</v>
      </c>
      <c r="H12" s="0" t="n">
        <v>2</v>
      </c>
    </row>
    <row r="13" customFormat="false" ht="18" hidden="false" customHeight="false" outlineLevel="0" collapsed="false">
      <c r="A13" s="0" t="n">
        <v>3</v>
      </c>
      <c r="B13" s="0" t="n">
        <v>3</v>
      </c>
      <c r="C13" s="0" t="s">
        <v>17</v>
      </c>
      <c r="D13" s="0" t="s">
        <v>67</v>
      </c>
      <c r="E13" s="0" t="n">
        <v>0.36</v>
      </c>
      <c r="F13" s="0" t="n">
        <v>2</v>
      </c>
      <c r="G13" s="0" t="n">
        <v>0.1</v>
      </c>
      <c r="H13" s="0" t="n">
        <v>3</v>
      </c>
    </row>
    <row r="14" customFormat="false" ht="18" hidden="false" customHeight="false" outlineLevel="0" collapsed="false">
      <c r="A14" s="0" t="n">
        <v>3</v>
      </c>
      <c r="B14" s="0" t="n">
        <v>4</v>
      </c>
      <c r="C14" s="0" t="n">
        <v>1</v>
      </c>
      <c r="D14" s="0" t="s">
        <v>24</v>
      </c>
      <c r="E14" s="0" t="n">
        <v>0.72</v>
      </c>
      <c r="F14" s="0" t="n">
        <v>3</v>
      </c>
      <c r="G14" s="0" t="n">
        <v>0.46</v>
      </c>
      <c r="H14" s="0" t="n">
        <v>2</v>
      </c>
    </row>
    <row r="15" customFormat="false" ht="18" hidden="false" customHeight="false" outlineLevel="0" collapsed="false">
      <c r="A15" s="0" t="n">
        <v>4</v>
      </c>
      <c r="B15" s="0" t="n">
        <v>1</v>
      </c>
      <c r="C15" s="0" t="s">
        <v>64</v>
      </c>
      <c r="D15" s="0" t="s">
        <v>65</v>
      </c>
      <c r="E15" s="0" t="n">
        <v>0.9</v>
      </c>
      <c r="F15" s="0" t="n">
        <v>3</v>
      </c>
      <c r="G15" s="0" t="n">
        <v>0.46</v>
      </c>
      <c r="H15" s="0" t="n">
        <v>2</v>
      </c>
    </row>
    <row r="16" customFormat="false" ht="18" hidden="false" customHeight="false" outlineLevel="0" collapsed="false">
      <c r="A16" s="0" t="n">
        <v>4</v>
      </c>
      <c r="B16" s="0" t="n">
        <v>2</v>
      </c>
      <c r="C16" s="0" t="s">
        <v>15</v>
      </c>
      <c r="D16" s="0" t="s">
        <v>66</v>
      </c>
      <c r="E16" s="0" t="n">
        <v>0.36</v>
      </c>
      <c r="F16" s="0" t="n">
        <v>2</v>
      </c>
      <c r="G16" s="0" t="n">
        <v>0.46</v>
      </c>
      <c r="H16" s="0" t="n">
        <v>2</v>
      </c>
    </row>
    <row r="17" customFormat="false" ht="18" hidden="false" customHeight="false" outlineLevel="0" collapsed="false">
      <c r="A17" s="0" t="n">
        <v>4</v>
      </c>
      <c r="B17" s="0" t="n">
        <v>3</v>
      </c>
      <c r="C17" s="0" t="s">
        <v>17</v>
      </c>
      <c r="D17" s="0" t="s">
        <v>67</v>
      </c>
      <c r="E17" s="0" t="n">
        <v>0.36</v>
      </c>
      <c r="F17" s="0" t="n">
        <v>2</v>
      </c>
      <c r="G17" s="0" t="n">
        <v>0.1</v>
      </c>
      <c r="H17" s="0" t="n">
        <v>3</v>
      </c>
    </row>
    <row r="18" customFormat="false" ht="18" hidden="false" customHeight="false" outlineLevel="0" collapsed="false">
      <c r="A18" s="0" t="n">
        <v>4</v>
      </c>
      <c r="B18" s="0" t="n">
        <v>4</v>
      </c>
      <c r="C18" s="0" t="n">
        <v>1</v>
      </c>
      <c r="D18" s="0" t="s">
        <v>27</v>
      </c>
      <c r="E18" s="0" t="n">
        <v>0.9</v>
      </c>
      <c r="F18" s="0" t="n">
        <v>3</v>
      </c>
      <c r="G18" s="0" t="n">
        <v>0.1</v>
      </c>
      <c r="H18" s="0" t="n">
        <v>3</v>
      </c>
    </row>
    <row r="19" customFormat="false" ht="18" hidden="false" customHeight="false" outlineLevel="0" collapsed="false">
      <c r="A19" s="0" t="n">
        <v>5</v>
      </c>
      <c r="B19" s="0" t="n">
        <v>1</v>
      </c>
      <c r="C19" s="0" t="s">
        <v>64</v>
      </c>
      <c r="D19" s="0" t="s">
        <v>65</v>
      </c>
      <c r="E19" s="0" t="n">
        <v>0.9</v>
      </c>
      <c r="F19" s="0" t="n">
        <v>3</v>
      </c>
      <c r="G19" s="0" t="n">
        <v>0.46</v>
      </c>
      <c r="H19" s="0" t="n">
        <v>2</v>
      </c>
    </row>
    <row r="20" customFormat="false" ht="18" hidden="false" customHeight="false" outlineLevel="0" collapsed="false">
      <c r="A20" s="0" t="n">
        <v>5</v>
      </c>
      <c r="B20" s="0" t="n">
        <v>2</v>
      </c>
      <c r="C20" s="0" t="s">
        <v>15</v>
      </c>
      <c r="D20" s="0" t="s">
        <v>66</v>
      </c>
      <c r="E20" s="0" t="n">
        <v>0.36</v>
      </c>
      <c r="F20" s="0" t="n">
        <v>2</v>
      </c>
      <c r="G20" s="0" t="n">
        <v>0.46</v>
      </c>
      <c r="H20" s="0" t="n">
        <v>2</v>
      </c>
    </row>
    <row r="21" customFormat="false" ht="18" hidden="false" customHeight="false" outlineLevel="0" collapsed="false">
      <c r="A21" s="0" t="n">
        <v>5</v>
      </c>
      <c r="B21" s="0" t="n">
        <v>3</v>
      </c>
      <c r="C21" s="0" t="s">
        <v>17</v>
      </c>
      <c r="D21" s="0" t="s">
        <v>67</v>
      </c>
      <c r="E21" s="0" t="n">
        <v>0.36</v>
      </c>
      <c r="F21" s="0" t="n">
        <v>2</v>
      </c>
      <c r="G21" s="0" t="n">
        <v>0.1</v>
      </c>
      <c r="H21" s="0" t="n">
        <v>3</v>
      </c>
    </row>
    <row r="22" customFormat="false" ht="18" hidden="false" customHeight="false" outlineLevel="0" collapsed="false">
      <c r="A22" s="0" t="n">
        <v>5</v>
      </c>
      <c r="B22" s="0" t="n">
        <v>4</v>
      </c>
      <c r="C22" s="0" t="n">
        <v>1</v>
      </c>
      <c r="D22" s="0" t="s">
        <v>30</v>
      </c>
      <c r="E22" s="0" t="n">
        <v>0.18</v>
      </c>
      <c r="F22" s="0" t="n">
        <v>1</v>
      </c>
      <c r="G22" s="0" t="n">
        <v>0.46</v>
      </c>
      <c r="H22" s="0" t="n">
        <v>2</v>
      </c>
    </row>
    <row r="23" customFormat="false" ht="18" hidden="false" customHeight="false" outlineLevel="0" collapsed="false">
      <c r="A23" s="0" t="n">
        <v>6</v>
      </c>
      <c r="B23" s="0" t="n">
        <v>1</v>
      </c>
      <c r="C23" s="0" t="s">
        <v>64</v>
      </c>
      <c r="D23" s="0" t="s">
        <v>65</v>
      </c>
      <c r="E23" s="0" t="n">
        <v>0.9</v>
      </c>
      <c r="F23" s="0" t="n">
        <v>3</v>
      </c>
      <c r="G23" s="0" t="n">
        <v>0.46</v>
      </c>
      <c r="H23" s="0" t="n">
        <v>2</v>
      </c>
    </row>
    <row r="24" customFormat="false" ht="18" hidden="false" customHeight="false" outlineLevel="0" collapsed="false">
      <c r="A24" s="0" t="n">
        <v>6</v>
      </c>
      <c r="B24" s="0" t="n">
        <v>2</v>
      </c>
      <c r="C24" s="0" t="s">
        <v>15</v>
      </c>
      <c r="D24" s="0" t="s">
        <v>66</v>
      </c>
      <c r="E24" s="0" t="n">
        <v>0.36</v>
      </c>
      <c r="F24" s="0" t="n">
        <v>2</v>
      </c>
      <c r="G24" s="0" t="n">
        <v>0.46</v>
      </c>
      <c r="H24" s="0" t="n">
        <v>2</v>
      </c>
    </row>
    <row r="25" customFormat="false" ht="18" hidden="false" customHeight="false" outlineLevel="0" collapsed="false">
      <c r="A25" s="0" t="n">
        <v>6</v>
      </c>
      <c r="B25" s="0" t="n">
        <v>3</v>
      </c>
      <c r="C25" s="0" t="s">
        <v>33</v>
      </c>
      <c r="D25" s="0" t="s">
        <v>68</v>
      </c>
      <c r="E25" s="0" t="n">
        <v>0.36</v>
      </c>
      <c r="F25" s="0" t="n">
        <v>2</v>
      </c>
      <c r="G25" s="0" t="n">
        <v>0.1</v>
      </c>
      <c r="H25" s="0" t="n">
        <v>3</v>
      </c>
    </row>
    <row r="26" customFormat="false" ht="18" hidden="false" customHeight="false" outlineLevel="0" collapsed="false">
      <c r="A26" s="0" t="n">
        <v>6</v>
      </c>
      <c r="B26" s="0" t="n">
        <v>4</v>
      </c>
      <c r="C26" s="0" t="n">
        <v>1</v>
      </c>
      <c r="D26" s="0" t="s">
        <v>20</v>
      </c>
      <c r="E26" s="0" t="n">
        <v>0.18</v>
      </c>
      <c r="F26" s="0" t="n">
        <v>1</v>
      </c>
      <c r="G26" s="0" t="n">
        <v>0.46</v>
      </c>
      <c r="H26" s="0" t="n">
        <v>2</v>
      </c>
    </row>
    <row r="27" customFormat="false" ht="18" hidden="false" customHeight="false" outlineLevel="0" collapsed="false">
      <c r="A27" s="0" t="n">
        <v>7</v>
      </c>
      <c r="B27" s="0" t="n">
        <v>1</v>
      </c>
      <c r="C27" s="0" t="s">
        <v>64</v>
      </c>
      <c r="D27" s="0" t="s">
        <v>65</v>
      </c>
      <c r="E27" s="0" t="n">
        <v>0.9</v>
      </c>
      <c r="F27" s="0" t="n">
        <v>3</v>
      </c>
      <c r="G27" s="0" t="n">
        <v>0.46</v>
      </c>
      <c r="H27" s="0" t="n">
        <v>2</v>
      </c>
    </row>
    <row r="28" customFormat="false" ht="18" hidden="false" customHeight="false" outlineLevel="0" collapsed="false">
      <c r="A28" s="0" t="n">
        <v>7</v>
      </c>
      <c r="B28" s="0" t="n">
        <v>2</v>
      </c>
      <c r="C28" s="0" t="s">
        <v>15</v>
      </c>
      <c r="D28" s="0" t="s">
        <v>66</v>
      </c>
      <c r="E28" s="0" t="n">
        <v>0.36</v>
      </c>
      <c r="F28" s="0" t="n">
        <v>2</v>
      </c>
      <c r="G28" s="0" t="n">
        <v>0.46</v>
      </c>
      <c r="H28" s="0" t="n">
        <v>2</v>
      </c>
    </row>
    <row r="29" customFormat="false" ht="18" hidden="false" customHeight="false" outlineLevel="0" collapsed="false">
      <c r="A29" s="0" t="n">
        <v>7</v>
      </c>
      <c r="B29" s="0" t="n">
        <v>3</v>
      </c>
      <c r="C29" s="0" t="s">
        <v>33</v>
      </c>
      <c r="D29" s="0" t="s">
        <v>68</v>
      </c>
      <c r="E29" s="0" t="n">
        <v>0.36</v>
      </c>
      <c r="F29" s="0" t="n">
        <v>2</v>
      </c>
      <c r="G29" s="0" t="n">
        <v>0.1</v>
      </c>
      <c r="H29" s="0" t="n">
        <v>3</v>
      </c>
    </row>
    <row r="30" customFormat="false" ht="18" hidden="false" customHeight="false" outlineLevel="0" collapsed="false">
      <c r="A30" s="0" t="n">
        <v>7</v>
      </c>
      <c r="B30" s="0" t="n">
        <v>4</v>
      </c>
      <c r="C30" s="0" t="n">
        <v>1</v>
      </c>
      <c r="D30" s="0" t="s">
        <v>24</v>
      </c>
      <c r="E30" s="0" t="n">
        <v>0.72</v>
      </c>
      <c r="F30" s="0" t="n">
        <v>3</v>
      </c>
      <c r="G30" s="0" t="n">
        <v>0.46</v>
      </c>
      <c r="H30" s="0" t="n">
        <v>2</v>
      </c>
    </row>
    <row r="31" customFormat="false" ht="18" hidden="false" customHeight="false" outlineLevel="0" collapsed="false">
      <c r="A31" s="0" t="n">
        <v>8</v>
      </c>
      <c r="B31" s="0" t="n">
        <v>1</v>
      </c>
      <c r="C31" s="0" t="s">
        <v>64</v>
      </c>
      <c r="D31" s="0" t="s">
        <v>65</v>
      </c>
      <c r="E31" s="0" t="n">
        <v>0.9</v>
      </c>
      <c r="F31" s="0" t="n">
        <v>3</v>
      </c>
      <c r="G31" s="0" t="n">
        <v>0.46</v>
      </c>
      <c r="H31" s="0" t="n">
        <v>2</v>
      </c>
    </row>
    <row r="32" customFormat="false" ht="18" hidden="false" customHeight="false" outlineLevel="0" collapsed="false">
      <c r="A32" s="0" t="n">
        <v>8</v>
      </c>
      <c r="B32" s="0" t="n">
        <v>2</v>
      </c>
      <c r="C32" s="0" t="s">
        <v>15</v>
      </c>
      <c r="D32" s="0" t="s">
        <v>66</v>
      </c>
      <c r="E32" s="0" t="n">
        <v>0.36</v>
      </c>
      <c r="F32" s="0" t="n">
        <v>2</v>
      </c>
      <c r="G32" s="0" t="n">
        <v>0.46</v>
      </c>
      <c r="H32" s="0" t="n">
        <v>2</v>
      </c>
    </row>
    <row r="33" customFormat="false" ht="18" hidden="false" customHeight="false" outlineLevel="0" collapsed="false">
      <c r="A33" s="0" t="n">
        <v>8</v>
      </c>
      <c r="B33" s="0" t="n">
        <v>3</v>
      </c>
      <c r="C33" s="0" t="s">
        <v>33</v>
      </c>
      <c r="D33" s="0" t="s">
        <v>68</v>
      </c>
      <c r="E33" s="0" t="n">
        <v>0.36</v>
      </c>
      <c r="F33" s="0" t="n">
        <v>2</v>
      </c>
      <c r="G33" s="0" t="n">
        <v>0.1</v>
      </c>
      <c r="H33" s="0" t="n">
        <v>3</v>
      </c>
    </row>
    <row r="34" customFormat="false" ht="18" hidden="false" customHeight="false" outlineLevel="0" collapsed="false">
      <c r="A34" s="0" t="n">
        <v>8</v>
      </c>
      <c r="B34" s="0" t="n">
        <v>4</v>
      </c>
      <c r="C34" s="0" t="n">
        <v>1</v>
      </c>
      <c r="D34" s="0" t="s">
        <v>27</v>
      </c>
      <c r="E34" s="0" t="n">
        <v>0.9</v>
      </c>
      <c r="F34" s="0" t="n">
        <v>3</v>
      </c>
      <c r="G34" s="0" t="n">
        <v>0.1</v>
      </c>
      <c r="H34" s="0" t="n">
        <v>3</v>
      </c>
    </row>
    <row r="35" customFormat="false" ht="18" hidden="false" customHeight="false" outlineLevel="0" collapsed="false">
      <c r="A35" s="0" t="n">
        <v>9</v>
      </c>
      <c r="B35" s="0" t="n">
        <v>1</v>
      </c>
      <c r="C35" s="0" t="s">
        <v>64</v>
      </c>
      <c r="D35" s="0" t="s">
        <v>65</v>
      </c>
      <c r="E35" s="0" t="n">
        <v>0.9</v>
      </c>
      <c r="F35" s="0" t="n">
        <v>3</v>
      </c>
      <c r="G35" s="0" t="n">
        <v>0.46</v>
      </c>
      <c r="H35" s="0" t="n">
        <v>2</v>
      </c>
    </row>
    <row r="36" customFormat="false" ht="18" hidden="false" customHeight="false" outlineLevel="0" collapsed="false">
      <c r="A36" s="0" t="n">
        <v>9</v>
      </c>
      <c r="B36" s="0" t="n">
        <v>2</v>
      </c>
      <c r="C36" s="0" t="s">
        <v>15</v>
      </c>
      <c r="D36" s="0" t="s">
        <v>66</v>
      </c>
      <c r="E36" s="0" t="n">
        <v>0.36</v>
      </c>
      <c r="F36" s="0" t="n">
        <v>2</v>
      </c>
      <c r="G36" s="0" t="n">
        <v>0.46</v>
      </c>
      <c r="H36" s="0" t="n">
        <v>2</v>
      </c>
    </row>
    <row r="37" customFormat="false" ht="18" hidden="false" customHeight="false" outlineLevel="0" collapsed="false">
      <c r="A37" s="0" t="n">
        <v>9</v>
      </c>
      <c r="B37" s="0" t="n">
        <v>3</v>
      </c>
      <c r="C37" s="0" t="s">
        <v>33</v>
      </c>
      <c r="D37" s="0" t="s">
        <v>68</v>
      </c>
      <c r="E37" s="0" t="n">
        <v>0.36</v>
      </c>
      <c r="F37" s="0" t="n">
        <v>2</v>
      </c>
      <c r="G37" s="0" t="n">
        <v>0.1</v>
      </c>
      <c r="H37" s="0" t="n">
        <v>3</v>
      </c>
    </row>
    <row r="38" customFormat="false" ht="18" hidden="false" customHeight="false" outlineLevel="0" collapsed="false">
      <c r="A38" s="0" t="n">
        <v>9</v>
      </c>
      <c r="B38" s="0" t="n">
        <v>4</v>
      </c>
      <c r="C38" s="0" t="n">
        <v>1</v>
      </c>
      <c r="D38" s="0" t="s">
        <v>30</v>
      </c>
      <c r="E38" s="0" t="n">
        <v>0.18</v>
      </c>
      <c r="F38" s="0" t="n">
        <v>1</v>
      </c>
      <c r="G38" s="0" t="n">
        <v>0.46</v>
      </c>
      <c r="H38" s="0" t="n">
        <v>2</v>
      </c>
    </row>
    <row r="39" customFormat="false" ht="18" hidden="false" customHeight="false" outlineLevel="0" collapsed="false">
      <c r="A39" s="0" t="n">
        <v>10</v>
      </c>
      <c r="B39" s="0" t="n">
        <v>1</v>
      </c>
      <c r="C39" s="0" t="s">
        <v>64</v>
      </c>
      <c r="D39" s="0" t="s">
        <v>65</v>
      </c>
      <c r="E39" s="0" t="n">
        <v>0.9</v>
      </c>
      <c r="F39" s="0" t="n">
        <v>3</v>
      </c>
      <c r="G39" s="0" t="n">
        <v>0.46</v>
      </c>
      <c r="H39" s="0" t="n">
        <v>2</v>
      </c>
    </row>
    <row r="40" customFormat="false" ht="18" hidden="false" customHeight="false" outlineLevel="0" collapsed="false">
      <c r="A40" s="0" t="n">
        <v>10</v>
      </c>
      <c r="B40" s="0" t="n">
        <v>2</v>
      </c>
      <c r="C40" s="0" t="s">
        <v>15</v>
      </c>
      <c r="D40" s="0" t="s">
        <v>66</v>
      </c>
      <c r="E40" s="0" t="n">
        <v>0.36</v>
      </c>
      <c r="F40" s="0" t="n">
        <v>2</v>
      </c>
      <c r="G40" s="0" t="n">
        <v>0.46</v>
      </c>
      <c r="H40" s="0" t="n">
        <v>2</v>
      </c>
    </row>
    <row r="41" customFormat="false" ht="18" hidden="false" customHeight="false" outlineLevel="0" collapsed="false">
      <c r="A41" s="0" t="n">
        <v>10</v>
      </c>
      <c r="B41" s="0" t="n">
        <v>3</v>
      </c>
      <c r="C41" s="0" t="s">
        <v>36</v>
      </c>
      <c r="D41" s="0" t="s">
        <v>69</v>
      </c>
      <c r="E41" s="0" t="n">
        <v>0.36</v>
      </c>
      <c r="F41" s="0" t="n">
        <v>2</v>
      </c>
      <c r="G41" s="0" t="n">
        <v>0.1</v>
      </c>
      <c r="H41" s="0" t="n">
        <v>3</v>
      </c>
    </row>
    <row r="42" customFormat="false" ht="18" hidden="false" customHeight="false" outlineLevel="0" collapsed="false">
      <c r="A42" s="0" t="n">
        <v>10</v>
      </c>
      <c r="B42" s="0" t="n">
        <v>4</v>
      </c>
      <c r="C42" s="0" t="n">
        <v>1</v>
      </c>
      <c r="D42" s="0" t="s">
        <v>20</v>
      </c>
      <c r="E42" s="0" t="n">
        <v>0.18</v>
      </c>
      <c r="F42" s="0" t="n">
        <v>1</v>
      </c>
      <c r="G42" s="0" t="n">
        <v>0.46</v>
      </c>
      <c r="H42" s="0" t="n">
        <v>2</v>
      </c>
    </row>
    <row r="43" customFormat="false" ht="18" hidden="false" customHeight="false" outlineLevel="0" collapsed="false">
      <c r="A43" s="0" t="n">
        <v>11</v>
      </c>
      <c r="B43" s="0" t="n">
        <v>1</v>
      </c>
      <c r="C43" s="0" t="s">
        <v>64</v>
      </c>
      <c r="D43" s="0" t="s">
        <v>65</v>
      </c>
      <c r="E43" s="0" t="n">
        <v>0.9</v>
      </c>
      <c r="F43" s="0" t="n">
        <v>3</v>
      </c>
      <c r="G43" s="0" t="n">
        <v>0.46</v>
      </c>
      <c r="H43" s="0" t="n">
        <v>2</v>
      </c>
    </row>
    <row r="44" customFormat="false" ht="18" hidden="false" customHeight="false" outlineLevel="0" collapsed="false">
      <c r="A44" s="0" t="n">
        <v>11</v>
      </c>
      <c r="B44" s="0" t="n">
        <v>2</v>
      </c>
      <c r="C44" s="0" t="s">
        <v>15</v>
      </c>
      <c r="D44" s="0" t="s">
        <v>66</v>
      </c>
      <c r="E44" s="0" t="n">
        <v>0.36</v>
      </c>
      <c r="F44" s="0" t="n">
        <v>2</v>
      </c>
      <c r="G44" s="0" t="n">
        <v>0.46</v>
      </c>
      <c r="H44" s="0" t="n">
        <v>2</v>
      </c>
    </row>
    <row r="45" customFormat="false" ht="18" hidden="false" customHeight="false" outlineLevel="0" collapsed="false">
      <c r="A45" s="0" t="n">
        <v>11</v>
      </c>
      <c r="B45" s="0" t="n">
        <v>3</v>
      </c>
      <c r="C45" s="0" t="s">
        <v>36</v>
      </c>
      <c r="D45" s="0" t="s">
        <v>69</v>
      </c>
      <c r="E45" s="0" t="n">
        <v>0.36</v>
      </c>
      <c r="F45" s="0" t="n">
        <v>2</v>
      </c>
      <c r="G45" s="0" t="n">
        <v>0.1</v>
      </c>
      <c r="H45" s="0" t="n">
        <v>3</v>
      </c>
    </row>
    <row r="46" customFormat="false" ht="18" hidden="false" customHeight="false" outlineLevel="0" collapsed="false">
      <c r="A46" s="0" t="n">
        <v>11</v>
      </c>
      <c r="B46" s="0" t="n">
        <v>4</v>
      </c>
      <c r="C46" s="0" t="n">
        <v>1</v>
      </c>
      <c r="D46" s="0" t="s">
        <v>24</v>
      </c>
      <c r="E46" s="0" t="n">
        <v>0.72</v>
      </c>
      <c r="F46" s="0" t="n">
        <v>3</v>
      </c>
      <c r="G46" s="0" t="n">
        <v>0.46</v>
      </c>
      <c r="H46" s="0" t="n">
        <v>2</v>
      </c>
    </row>
    <row r="47" customFormat="false" ht="18" hidden="false" customHeight="false" outlineLevel="0" collapsed="false">
      <c r="A47" s="0" t="n">
        <v>12</v>
      </c>
      <c r="B47" s="0" t="n">
        <v>1</v>
      </c>
      <c r="C47" s="0" t="s">
        <v>64</v>
      </c>
      <c r="D47" s="0" t="s">
        <v>65</v>
      </c>
      <c r="E47" s="0" t="n">
        <v>0.9</v>
      </c>
      <c r="F47" s="0" t="n">
        <v>3</v>
      </c>
      <c r="G47" s="0" t="n">
        <v>0.46</v>
      </c>
      <c r="H47" s="0" t="n">
        <v>2</v>
      </c>
    </row>
    <row r="48" customFormat="false" ht="18" hidden="false" customHeight="false" outlineLevel="0" collapsed="false">
      <c r="A48" s="0" t="n">
        <v>12</v>
      </c>
      <c r="B48" s="0" t="n">
        <v>2</v>
      </c>
      <c r="C48" s="0" t="s">
        <v>15</v>
      </c>
      <c r="D48" s="0" t="s">
        <v>66</v>
      </c>
      <c r="E48" s="0" t="n">
        <v>0.36</v>
      </c>
      <c r="F48" s="0" t="n">
        <v>2</v>
      </c>
      <c r="G48" s="0" t="n">
        <v>0.46</v>
      </c>
      <c r="H48" s="0" t="n">
        <v>2</v>
      </c>
    </row>
    <row r="49" customFormat="false" ht="18" hidden="false" customHeight="false" outlineLevel="0" collapsed="false">
      <c r="A49" s="0" t="n">
        <v>12</v>
      </c>
      <c r="B49" s="0" t="n">
        <v>3</v>
      </c>
      <c r="C49" s="0" t="s">
        <v>36</v>
      </c>
      <c r="D49" s="0" t="s">
        <v>69</v>
      </c>
      <c r="E49" s="0" t="n">
        <v>0.36</v>
      </c>
      <c r="F49" s="0" t="n">
        <v>2</v>
      </c>
      <c r="G49" s="0" t="n">
        <v>0.1</v>
      </c>
      <c r="H49" s="0" t="n">
        <v>3</v>
      </c>
    </row>
    <row r="50" customFormat="false" ht="18" hidden="false" customHeight="false" outlineLevel="0" collapsed="false">
      <c r="A50" s="0" t="n">
        <v>12</v>
      </c>
      <c r="B50" s="0" t="n">
        <v>4</v>
      </c>
      <c r="C50" s="0" t="n">
        <v>1</v>
      </c>
      <c r="D50" s="0" t="s">
        <v>27</v>
      </c>
      <c r="E50" s="0" t="n">
        <v>0.9</v>
      </c>
      <c r="F50" s="0" t="n">
        <v>3</v>
      </c>
      <c r="G50" s="0" t="n">
        <v>0.1</v>
      </c>
      <c r="H50" s="0" t="n">
        <v>3</v>
      </c>
    </row>
    <row r="51" customFormat="false" ht="18" hidden="false" customHeight="false" outlineLevel="0" collapsed="false">
      <c r="A51" s="0" t="n">
        <v>13</v>
      </c>
      <c r="B51" s="0" t="n">
        <v>1</v>
      </c>
      <c r="C51" s="0" t="s">
        <v>64</v>
      </c>
      <c r="D51" s="0" t="s">
        <v>65</v>
      </c>
      <c r="E51" s="0" t="n">
        <v>0.9</v>
      </c>
      <c r="F51" s="0" t="n">
        <v>3</v>
      </c>
      <c r="G51" s="0" t="n">
        <v>0.46</v>
      </c>
      <c r="H51" s="0" t="n">
        <v>2</v>
      </c>
    </row>
    <row r="52" customFormat="false" ht="18" hidden="false" customHeight="false" outlineLevel="0" collapsed="false">
      <c r="A52" s="0" t="n">
        <v>13</v>
      </c>
      <c r="B52" s="0" t="n">
        <v>2</v>
      </c>
      <c r="C52" s="0" t="s">
        <v>15</v>
      </c>
      <c r="D52" s="0" t="s">
        <v>66</v>
      </c>
      <c r="E52" s="0" t="n">
        <v>0.36</v>
      </c>
      <c r="F52" s="0" t="n">
        <v>2</v>
      </c>
      <c r="G52" s="0" t="n">
        <v>0.46</v>
      </c>
      <c r="H52" s="0" t="n">
        <v>2</v>
      </c>
    </row>
    <row r="53" customFormat="false" ht="18" hidden="false" customHeight="false" outlineLevel="0" collapsed="false">
      <c r="A53" s="0" t="n">
        <v>13</v>
      </c>
      <c r="B53" s="0" t="n">
        <v>3</v>
      </c>
      <c r="C53" s="0" t="s">
        <v>36</v>
      </c>
      <c r="D53" s="0" t="s">
        <v>69</v>
      </c>
      <c r="E53" s="0" t="n">
        <v>0.36</v>
      </c>
      <c r="F53" s="0" t="n">
        <v>2</v>
      </c>
      <c r="G53" s="0" t="n">
        <v>0.1</v>
      </c>
      <c r="H53" s="0" t="n">
        <v>3</v>
      </c>
    </row>
    <row r="54" customFormat="false" ht="18" hidden="false" customHeight="false" outlineLevel="0" collapsed="false">
      <c r="A54" s="0" t="n">
        <v>13</v>
      </c>
      <c r="B54" s="0" t="n">
        <v>4</v>
      </c>
      <c r="C54" s="0" t="n">
        <v>1</v>
      </c>
      <c r="D54" s="0" t="s">
        <v>30</v>
      </c>
      <c r="E54" s="0" t="n">
        <v>0.18</v>
      </c>
      <c r="F54" s="0" t="n">
        <v>1</v>
      </c>
      <c r="G54" s="0" t="n">
        <v>0.46</v>
      </c>
      <c r="H54" s="0" t="n">
        <v>2</v>
      </c>
    </row>
    <row r="55" customFormat="false" ht="18" hidden="false" customHeight="false" outlineLevel="0" collapsed="false">
      <c r="A55" s="0" t="n">
        <v>14</v>
      </c>
      <c r="B55" s="0" t="n">
        <v>1</v>
      </c>
      <c r="C55" s="0" t="s">
        <v>64</v>
      </c>
      <c r="D55" s="0" t="s">
        <v>65</v>
      </c>
      <c r="E55" s="0" t="n">
        <v>0.9</v>
      </c>
      <c r="F55" s="0" t="n">
        <v>3</v>
      </c>
      <c r="G55" s="0" t="n">
        <v>0.46</v>
      </c>
      <c r="H55" s="0" t="n">
        <v>2</v>
      </c>
    </row>
    <row r="56" customFormat="false" ht="18" hidden="false" customHeight="false" outlineLevel="0" collapsed="false">
      <c r="A56" s="0" t="n">
        <v>14</v>
      </c>
      <c r="B56" s="0" t="n">
        <v>2</v>
      </c>
      <c r="C56" s="0" t="s">
        <v>15</v>
      </c>
      <c r="D56" s="0" t="s">
        <v>66</v>
      </c>
      <c r="E56" s="0" t="n">
        <v>0.36</v>
      </c>
      <c r="F56" s="0" t="n">
        <v>2</v>
      </c>
      <c r="G56" s="0" t="n">
        <v>0.46</v>
      </c>
      <c r="H56" s="0" t="n">
        <v>2</v>
      </c>
    </row>
    <row r="57" customFormat="false" ht="18" hidden="false" customHeight="false" outlineLevel="0" collapsed="false">
      <c r="A57" s="0" t="n">
        <v>14</v>
      </c>
      <c r="B57" s="0" t="n">
        <v>3</v>
      </c>
      <c r="C57" s="0" t="s">
        <v>39</v>
      </c>
      <c r="D57" s="0" t="s">
        <v>70</v>
      </c>
      <c r="E57" s="0" t="n">
        <v>0.36</v>
      </c>
      <c r="F57" s="0" t="n">
        <v>2</v>
      </c>
      <c r="G57" s="0" t="n">
        <v>0.1</v>
      </c>
      <c r="H57" s="0" t="n">
        <v>3</v>
      </c>
    </row>
    <row r="58" customFormat="false" ht="18" hidden="false" customHeight="false" outlineLevel="0" collapsed="false">
      <c r="A58" s="0" t="n">
        <v>14</v>
      </c>
      <c r="B58" s="0" t="n">
        <v>4</v>
      </c>
      <c r="C58" s="0" t="n">
        <v>1</v>
      </c>
      <c r="D58" s="0" t="s">
        <v>20</v>
      </c>
      <c r="E58" s="0" t="n">
        <v>0.18</v>
      </c>
      <c r="F58" s="0" t="n">
        <v>1</v>
      </c>
      <c r="G58" s="0" t="n">
        <v>0.46</v>
      </c>
      <c r="H58" s="0" t="n">
        <v>2</v>
      </c>
    </row>
    <row r="59" customFormat="false" ht="18" hidden="false" customHeight="false" outlineLevel="0" collapsed="false">
      <c r="A59" s="0" t="n">
        <v>15</v>
      </c>
      <c r="B59" s="0" t="n">
        <v>1</v>
      </c>
      <c r="C59" s="0" t="s">
        <v>64</v>
      </c>
      <c r="D59" s="0" t="s">
        <v>65</v>
      </c>
      <c r="E59" s="0" t="n">
        <v>0.9</v>
      </c>
      <c r="F59" s="0" t="n">
        <v>3</v>
      </c>
      <c r="G59" s="0" t="n">
        <v>0.46</v>
      </c>
      <c r="H59" s="0" t="n">
        <v>2</v>
      </c>
    </row>
    <row r="60" customFormat="false" ht="18" hidden="false" customHeight="false" outlineLevel="0" collapsed="false">
      <c r="A60" s="0" t="n">
        <v>15</v>
      </c>
      <c r="B60" s="0" t="n">
        <v>2</v>
      </c>
      <c r="C60" s="0" t="s">
        <v>15</v>
      </c>
      <c r="D60" s="0" t="s">
        <v>66</v>
      </c>
      <c r="E60" s="0" t="n">
        <v>0.36</v>
      </c>
      <c r="F60" s="0" t="n">
        <v>2</v>
      </c>
      <c r="G60" s="0" t="n">
        <v>0.46</v>
      </c>
      <c r="H60" s="0" t="n">
        <v>2</v>
      </c>
    </row>
    <row r="61" customFormat="false" ht="18" hidden="false" customHeight="false" outlineLevel="0" collapsed="false">
      <c r="A61" s="0" t="n">
        <v>15</v>
      </c>
      <c r="B61" s="0" t="n">
        <v>3</v>
      </c>
      <c r="C61" s="0" t="s">
        <v>39</v>
      </c>
      <c r="D61" s="0" t="s">
        <v>70</v>
      </c>
      <c r="E61" s="0" t="n">
        <v>0.36</v>
      </c>
      <c r="F61" s="0" t="n">
        <v>2</v>
      </c>
      <c r="G61" s="0" t="n">
        <v>0.1</v>
      </c>
      <c r="H61" s="0" t="n">
        <v>3</v>
      </c>
    </row>
    <row r="62" customFormat="false" ht="18" hidden="false" customHeight="false" outlineLevel="0" collapsed="false">
      <c r="A62" s="0" t="n">
        <v>15</v>
      </c>
      <c r="B62" s="0" t="n">
        <v>4</v>
      </c>
      <c r="C62" s="0" t="n">
        <v>1</v>
      </c>
      <c r="D62" s="0" t="s">
        <v>24</v>
      </c>
      <c r="E62" s="0" t="n">
        <v>0.72</v>
      </c>
      <c r="F62" s="0" t="n">
        <v>3</v>
      </c>
      <c r="G62" s="0" t="n">
        <v>0.46</v>
      </c>
      <c r="H62" s="0" t="n">
        <v>2</v>
      </c>
    </row>
    <row r="63" customFormat="false" ht="18" hidden="false" customHeight="false" outlineLevel="0" collapsed="false">
      <c r="A63" s="0" t="n">
        <v>16</v>
      </c>
      <c r="B63" s="0" t="n">
        <v>1</v>
      </c>
      <c r="C63" s="0" t="s">
        <v>64</v>
      </c>
      <c r="D63" s="0" t="s">
        <v>65</v>
      </c>
      <c r="E63" s="0" t="n">
        <v>0.9</v>
      </c>
      <c r="F63" s="0" t="n">
        <v>3</v>
      </c>
      <c r="G63" s="0" t="n">
        <v>0.46</v>
      </c>
      <c r="H63" s="0" t="n">
        <v>2</v>
      </c>
    </row>
    <row r="64" customFormat="false" ht="18" hidden="false" customHeight="false" outlineLevel="0" collapsed="false">
      <c r="A64" s="0" t="n">
        <v>16</v>
      </c>
      <c r="B64" s="0" t="n">
        <v>2</v>
      </c>
      <c r="C64" s="0" t="s">
        <v>15</v>
      </c>
      <c r="D64" s="0" t="s">
        <v>66</v>
      </c>
      <c r="E64" s="0" t="n">
        <v>0.36</v>
      </c>
      <c r="F64" s="0" t="n">
        <v>2</v>
      </c>
      <c r="G64" s="0" t="n">
        <v>0.46</v>
      </c>
      <c r="H64" s="0" t="n">
        <v>2</v>
      </c>
    </row>
    <row r="65" customFormat="false" ht="18" hidden="false" customHeight="false" outlineLevel="0" collapsed="false">
      <c r="A65" s="0" t="n">
        <v>16</v>
      </c>
      <c r="B65" s="0" t="n">
        <v>3</v>
      </c>
      <c r="C65" s="0" t="s">
        <v>39</v>
      </c>
      <c r="D65" s="0" t="s">
        <v>70</v>
      </c>
      <c r="E65" s="0" t="n">
        <v>0.36</v>
      </c>
      <c r="F65" s="0" t="n">
        <v>2</v>
      </c>
      <c r="G65" s="0" t="n">
        <v>0.1</v>
      </c>
      <c r="H65" s="0" t="n">
        <v>3</v>
      </c>
    </row>
    <row r="66" customFormat="false" ht="18" hidden="false" customHeight="false" outlineLevel="0" collapsed="false">
      <c r="A66" s="0" t="n">
        <v>16</v>
      </c>
      <c r="B66" s="0" t="n">
        <v>4</v>
      </c>
      <c r="C66" s="0" t="n">
        <v>1</v>
      </c>
      <c r="D66" s="0" t="s">
        <v>27</v>
      </c>
      <c r="E66" s="0" t="n">
        <v>0.9</v>
      </c>
      <c r="F66" s="0" t="n">
        <v>3</v>
      </c>
      <c r="G66" s="0" t="n">
        <v>0.1</v>
      </c>
      <c r="H66" s="0" t="n">
        <v>3</v>
      </c>
    </row>
    <row r="67" customFormat="false" ht="18" hidden="false" customHeight="false" outlineLevel="0" collapsed="false">
      <c r="A67" s="0" t="n">
        <v>17</v>
      </c>
      <c r="B67" s="0" t="n">
        <v>1</v>
      </c>
      <c r="C67" s="0" t="s">
        <v>64</v>
      </c>
      <c r="D67" s="0" t="s">
        <v>65</v>
      </c>
      <c r="E67" s="0" t="n">
        <v>0.9</v>
      </c>
      <c r="F67" s="0" t="n">
        <v>3</v>
      </c>
      <c r="G67" s="0" t="n">
        <v>0.46</v>
      </c>
      <c r="H67" s="0" t="n">
        <v>2</v>
      </c>
    </row>
    <row r="68" customFormat="false" ht="18" hidden="false" customHeight="false" outlineLevel="0" collapsed="false">
      <c r="A68" s="0" t="n">
        <v>17</v>
      </c>
      <c r="B68" s="0" t="n">
        <v>2</v>
      </c>
      <c r="C68" s="0" t="s">
        <v>15</v>
      </c>
      <c r="D68" s="0" t="s">
        <v>66</v>
      </c>
      <c r="E68" s="0" t="n">
        <v>0.36</v>
      </c>
      <c r="F68" s="0" t="n">
        <v>2</v>
      </c>
      <c r="G68" s="0" t="n">
        <v>0.46</v>
      </c>
      <c r="H68" s="0" t="n">
        <v>2</v>
      </c>
    </row>
    <row r="69" customFormat="false" ht="18" hidden="false" customHeight="false" outlineLevel="0" collapsed="false">
      <c r="A69" s="0" t="n">
        <v>17</v>
      </c>
      <c r="B69" s="0" t="n">
        <v>3</v>
      </c>
      <c r="C69" s="0" t="s">
        <v>39</v>
      </c>
      <c r="D69" s="0" t="s">
        <v>70</v>
      </c>
      <c r="E69" s="0" t="n">
        <v>0.36</v>
      </c>
      <c r="F69" s="0" t="n">
        <v>2</v>
      </c>
      <c r="G69" s="0" t="n">
        <v>0.1</v>
      </c>
      <c r="H69" s="0" t="n">
        <v>3</v>
      </c>
    </row>
    <row r="70" customFormat="false" ht="18" hidden="false" customHeight="false" outlineLevel="0" collapsed="false">
      <c r="A70" s="0" t="n">
        <v>17</v>
      </c>
      <c r="B70" s="0" t="n">
        <v>4</v>
      </c>
      <c r="C70" s="0" t="n">
        <v>1</v>
      </c>
      <c r="D70" s="0" t="s">
        <v>30</v>
      </c>
      <c r="E70" s="0" t="n">
        <v>0.18</v>
      </c>
      <c r="F70" s="0" t="n">
        <v>1</v>
      </c>
      <c r="G70" s="0" t="n">
        <v>0.46</v>
      </c>
      <c r="H70" s="0" t="n">
        <v>2</v>
      </c>
    </row>
    <row r="71" customFormat="false" ht="18" hidden="false" customHeight="false" outlineLevel="0" collapsed="false">
      <c r="A71" s="0" t="n">
        <v>18</v>
      </c>
      <c r="B71" s="0" t="n">
        <v>1</v>
      </c>
      <c r="C71" s="0" t="s">
        <v>64</v>
      </c>
      <c r="D71" s="0" t="s">
        <v>65</v>
      </c>
      <c r="E71" s="0" t="n">
        <v>0.9</v>
      </c>
      <c r="F71" s="0" t="n">
        <v>3</v>
      </c>
      <c r="G71" s="0" t="n">
        <v>0.46</v>
      </c>
      <c r="H71" s="0" t="n">
        <v>2</v>
      </c>
    </row>
    <row r="72" customFormat="false" ht="18" hidden="false" customHeight="false" outlineLevel="0" collapsed="false">
      <c r="A72" s="0" t="n">
        <v>18</v>
      </c>
      <c r="B72" s="0" t="n">
        <v>2</v>
      </c>
      <c r="C72" s="0" t="s">
        <v>42</v>
      </c>
      <c r="D72" s="0" t="s">
        <v>71</v>
      </c>
      <c r="E72" s="0" t="n">
        <v>0.36</v>
      </c>
      <c r="F72" s="0" t="n">
        <v>2</v>
      </c>
      <c r="G72" s="0" t="n">
        <v>0.1</v>
      </c>
      <c r="H72" s="0" t="n">
        <v>3</v>
      </c>
    </row>
    <row r="73" customFormat="false" ht="18" hidden="false" customHeight="false" outlineLevel="0" collapsed="false">
      <c r="A73" s="0" t="n">
        <v>18</v>
      </c>
      <c r="B73" s="0" t="n">
        <v>3</v>
      </c>
      <c r="C73" s="0" t="s">
        <v>17</v>
      </c>
      <c r="D73" s="0" t="s">
        <v>67</v>
      </c>
      <c r="E73" s="0" t="n">
        <v>0.36</v>
      </c>
      <c r="F73" s="0" t="n">
        <v>2</v>
      </c>
      <c r="G73" s="0" t="n">
        <v>0.1</v>
      </c>
      <c r="H73" s="0" t="n">
        <v>3</v>
      </c>
    </row>
    <row r="74" customFormat="false" ht="18" hidden="false" customHeight="false" outlineLevel="0" collapsed="false">
      <c r="A74" s="0" t="n">
        <v>18</v>
      </c>
      <c r="B74" s="0" t="n">
        <v>4</v>
      </c>
      <c r="C74" s="0" t="n">
        <v>1</v>
      </c>
      <c r="D74" s="0" t="s">
        <v>20</v>
      </c>
      <c r="E74" s="0" t="n">
        <v>0.18</v>
      </c>
      <c r="F74" s="0" t="n">
        <v>1</v>
      </c>
      <c r="G74" s="0" t="n">
        <v>0.46</v>
      </c>
      <c r="H74" s="0" t="n">
        <v>2</v>
      </c>
    </row>
    <row r="75" customFormat="false" ht="18" hidden="false" customHeight="false" outlineLevel="0" collapsed="false">
      <c r="A75" s="0" t="n">
        <v>19</v>
      </c>
      <c r="B75" s="0" t="n">
        <v>1</v>
      </c>
      <c r="C75" s="0" t="s">
        <v>64</v>
      </c>
      <c r="D75" s="0" t="s">
        <v>65</v>
      </c>
      <c r="E75" s="0" t="n">
        <v>0.9</v>
      </c>
      <c r="F75" s="0" t="n">
        <v>3</v>
      </c>
      <c r="G75" s="0" t="n">
        <v>0.46</v>
      </c>
      <c r="H75" s="0" t="n">
        <v>2</v>
      </c>
    </row>
    <row r="76" customFormat="false" ht="18" hidden="false" customHeight="false" outlineLevel="0" collapsed="false">
      <c r="A76" s="0" t="n">
        <v>19</v>
      </c>
      <c r="B76" s="0" t="n">
        <v>2</v>
      </c>
      <c r="C76" s="0" t="s">
        <v>42</v>
      </c>
      <c r="D76" s="0" t="s">
        <v>71</v>
      </c>
      <c r="E76" s="0" t="n">
        <v>0.36</v>
      </c>
      <c r="F76" s="0" t="n">
        <v>2</v>
      </c>
      <c r="G76" s="0" t="n">
        <v>0.1</v>
      </c>
      <c r="H76" s="0" t="n">
        <v>3</v>
      </c>
    </row>
    <row r="77" customFormat="false" ht="18" hidden="false" customHeight="false" outlineLevel="0" collapsed="false">
      <c r="A77" s="0" t="n">
        <v>19</v>
      </c>
      <c r="B77" s="0" t="n">
        <v>3</v>
      </c>
      <c r="C77" s="0" t="s">
        <v>17</v>
      </c>
      <c r="D77" s="0" t="s">
        <v>67</v>
      </c>
      <c r="E77" s="0" t="n">
        <v>0.36</v>
      </c>
      <c r="F77" s="0" t="n">
        <v>2</v>
      </c>
      <c r="G77" s="0" t="n">
        <v>0.1</v>
      </c>
      <c r="H77" s="0" t="n">
        <v>3</v>
      </c>
    </row>
    <row r="78" customFormat="false" ht="18" hidden="false" customHeight="false" outlineLevel="0" collapsed="false">
      <c r="A78" s="0" t="n">
        <v>19</v>
      </c>
      <c r="B78" s="0" t="n">
        <v>4</v>
      </c>
      <c r="C78" s="0" t="n">
        <v>1</v>
      </c>
      <c r="D78" s="0" t="s">
        <v>24</v>
      </c>
      <c r="E78" s="0" t="n">
        <v>0.72</v>
      </c>
      <c r="F78" s="0" t="n">
        <v>3</v>
      </c>
      <c r="G78" s="0" t="n">
        <v>0.46</v>
      </c>
      <c r="H78" s="0" t="n">
        <v>2</v>
      </c>
    </row>
    <row r="79" customFormat="false" ht="18" hidden="false" customHeight="false" outlineLevel="0" collapsed="false">
      <c r="A79" s="0" t="n">
        <v>20</v>
      </c>
      <c r="B79" s="0" t="n">
        <v>1</v>
      </c>
      <c r="C79" s="0" t="s">
        <v>64</v>
      </c>
      <c r="D79" s="0" t="s">
        <v>65</v>
      </c>
      <c r="E79" s="0" t="n">
        <v>0.9</v>
      </c>
      <c r="F79" s="0" t="n">
        <v>3</v>
      </c>
      <c r="G79" s="0" t="n">
        <v>0.46</v>
      </c>
      <c r="H79" s="0" t="n">
        <v>2</v>
      </c>
    </row>
    <row r="80" customFormat="false" ht="18" hidden="false" customHeight="false" outlineLevel="0" collapsed="false">
      <c r="A80" s="0" t="n">
        <v>20</v>
      </c>
      <c r="B80" s="0" t="n">
        <v>2</v>
      </c>
      <c r="C80" s="0" t="s">
        <v>42</v>
      </c>
      <c r="D80" s="0" t="s">
        <v>71</v>
      </c>
      <c r="E80" s="0" t="n">
        <v>0.36</v>
      </c>
      <c r="F80" s="0" t="n">
        <v>2</v>
      </c>
      <c r="G80" s="0" t="n">
        <v>0.1</v>
      </c>
      <c r="H80" s="0" t="n">
        <v>3</v>
      </c>
    </row>
    <row r="81" customFormat="false" ht="18" hidden="false" customHeight="false" outlineLevel="0" collapsed="false">
      <c r="A81" s="0" t="n">
        <v>20</v>
      </c>
      <c r="B81" s="0" t="n">
        <v>3</v>
      </c>
      <c r="C81" s="0" t="s">
        <v>17</v>
      </c>
      <c r="D81" s="0" t="s">
        <v>67</v>
      </c>
      <c r="E81" s="0" t="n">
        <v>0.36</v>
      </c>
      <c r="F81" s="0" t="n">
        <v>2</v>
      </c>
      <c r="G81" s="0" t="n">
        <v>0.1</v>
      </c>
      <c r="H81" s="0" t="n">
        <v>3</v>
      </c>
    </row>
    <row r="82" customFormat="false" ht="18" hidden="false" customHeight="false" outlineLevel="0" collapsed="false">
      <c r="A82" s="0" t="n">
        <v>20</v>
      </c>
      <c r="B82" s="0" t="n">
        <v>4</v>
      </c>
      <c r="C82" s="0" t="n">
        <v>1</v>
      </c>
      <c r="D82" s="0" t="s">
        <v>27</v>
      </c>
      <c r="E82" s="0" t="n">
        <v>0.9</v>
      </c>
      <c r="F82" s="0" t="n">
        <v>3</v>
      </c>
      <c r="G82" s="0" t="n">
        <v>0.1</v>
      </c>
      <c r="H82" s="0" t="n">
        <v>3</v>
      </c>
    </row>
    <row r="83" customFormat="false" ht="18" hidden="false" customHeight="false" outlineLevel="0" collapsed="false">
      <c r="A83" s="0" t="n">
        <v>21</v>
      </c>
      <c r="B83" s="0" t="n">
        <v>1</v>
      </c>
      <c r="C83" s="0" t="s">
        <v>64</v>
      </c>
      <c r="D83" s="0" t="s">
        <v>65</v>
      </c>
      <c r="E83" s="0" t="n">
        <v>0.9</v>
      </c>
      <c r="F83" s="0" t="n">
        <v>3</v>
      </c>
      <c r="G83" s="0" t="n">
        <v>0.46</v>
      </c>
      <c r="H83" s="0" t="n">
        <v>2</v>
      </c>
    </row>
    <row r="84" customFormat="false" ht="18" hidden="false" customHeight="false" outlineLevel="0" collapsed="false">
      <c r="A84" s="0" t="n">
        <v>21</v>
      </c>
      <c r="B84" s="0" t="n">
        <v>2</v>
      </c>
      <c r="C84" s="0" t="s">
        <v>42</v>
      </c>
      <c r="D84" s="0" t="s">
        <v>71</v>
      </c>
      <c r="E84" s="0" t="n">
        <v>0.36</v>
      </c>
      <c r="F84" s="0" t="n">
        <v>2</v>
      </c>
      <c r="G84" s="0" t="n">
        <v>0.1</v>
      </c>
      <c r="H84" s="0" t="n">
        <v>3</v>
      </c>
    </row>
    <row r="85" customFormat="false" ht="18" hidden="false" customHeight="false" outlineLevel="0" collapsed="false">
      <c r="A85" s="0" t="n">
        <v>21</v>
      </c>
      <c r="B85" s="0" t="n">
        <v>3</v>
      </c>
      <c r="C85" s="0" t="s">
        <v>17</v>
      </c>
      <c r="D85" s="0" t="s">
        <v>67</v>
      </c>
      <c r="E85" s="0" t="n">
        <v>0.36</v>
      </c>
      <c r="F85" s="0" t="n">
        <v>2</v>
      </c>
      <c r="G85" s="0" t="n">
        <v>0.1</v>
      </c>
      <c r="H85" s="0" t="n">
        <v>3</v>
      </c>
    </row>
    <row r="86" customFormat="false" ht="18" hidden="false" customHeight="false" outlineLevel="0" collapsed="false">
      <c r="A86" s="0" t="n">
        <v>21</v>
      </c>
      <c r="B86" s="0" t="n">
        <v>4</v>
      </c>
      <c r="C86" s="0" t="n">
        <v>1</v>
      </c>
      <c r="D86" s="0" t="s">
        <v>30</v>
      </c>
      <c r="E86" s="0" t="n">
        <v>0.18</v>
      </c>
      <c r="F86" s="0" t="n">
        <v>1</v>
      </c>
      <c r="G86" s="0" t="n">
        <v>0.46</v>
      </c>
      <c r="H86" s="0" t="n">
        <v>2</v>
      </c>
    </row>
    <row r="87" customFormat="false" ht="18" hidden="false" customHeight="false" outlineLevel="0" collapsed="false">
      <c r="A87" s="0" t="n">
        <v>22</v>
      </c>
      <c r="B87" s="0" t="n">
        <v>1</v>
      </c>
      <c r="C87" s="0" t="s">
        <v>64</v>
      </c>
      <c r="D87" s="0" t="s">
        <v>65</v>
      </c>
      <c r="E87" s="0" t="n">
        <v>0.9</v>
      </c>
      <c r="F87" s="0" t="n">
        <v>3</v>
      </c>
      <c r="G87" s="0" t="n">
        <v>0.46</v>
      </c>
      <c r="H87" s="0" t="n">
        <v>2</v>
      </c>
    </row>
    <row r="88" customFormat="false" ht="18" hidden="false" customHeight="false" outlineLevel="0" collapsed="false">
      <c r="A88" s="0" t="n">
        <v>22</v>
      </c>
      <c r="B88" s="0" t="n">
        <v>2</v>
      </c>
      <c r="C88" s="0" t="s">
        <v>42</v>
      </c>
      <c r="D88" s="0" t="s">
        <v>71</v>
      </c>
      <c r="E88" s="0" t="n">
        <v>0.36</v>
      </c>
      <c r="F88" s="0" t="n">
        <v>2</v>
      </c>
      <c r="G88" s="0" t="n">
        <v>0.1</v>
      </c>
      <c r="H88" s="0" t="n">
        <v>3</v>
      </c>
    </row>
    <row r="89" customFormat="false" ht="18" hidden="false" customHeight="false" outlineLevel="0" collapsed="false">
      <c r="A89" s="0" t="n">
        <v>22</v>
      </c>
      <c r="B89" s="0" t="n">
        <v>3</v>
      </c>
      <c r="C89" s="0" t="s">
        <v>33</v>
      </c>
      <c r="D89" s="0" t="s">
        <v>68</v>
      </c>
      <c r="E89" s="0" t="n">
        <v>0.36</v>
      </c>
      <c r="F89" s="0" t="n">
        <v>2</v>
      </c>
      <c r="G89" s="0" t="n">
        <v>0.1</v>
      </c>
      <c r="H89" s="0" t="n">
        <v>3</v>
      </c>
    </row>
    <row r="90" customFormat="false" ht="18" hidden="false" customHeight="false" outlineLevel="0" collapsed="false">
      <c r="A90" s="0" t="n">
        <v>22</v>
      </c>
      <c r="B90" s="0" t="n">
        <v>4</v>
      </c>
      <c r="C90" s="0" t="n">
        <v>1</v>
      </c>
      <c r="D90" s="0" t="s">
        <v>20</v>
      </c>
      <c r="E90" s="0" t="n">
        <v>0.18</v>
      </c>
      <c r="F90" s="0" t="n">
        <v>1</v>
      </c>
      <c r="G90" s="0" t="n">
        <v>0.46</v>
      </c>
      <c r="H90" s="0" t="n">
        <v>2</v>
      </c>
    </row>
    <row r="91" customFormat="false" ht="18" hidden="false" customHeight="false" outlineLevel="0" collapsed="false">
      <c r="A91" s="0" t="n">
        <v>23</v>
      </c>
      <c r="B91" s="0" t="n">
        <v>1</v>
      </c>
      <c r="C91" s="0" t="s">
        <v>64</v>
      </c>
      <c r="D91" s="0" t="s">
        <v>65</v>
      </c>
      <c r="E91" s="0" t="n">
        <v>0.9</v>
      </c>
      <c r="F91" s="0" t="n">
        <v>3</v>
      </c>
      <c r="G91" s="0" t="n">
        <v>0.46</v>
      </c>
      <c r="H91" s="0" t="n">
        <v>2</v>
      </c>
    </row>
    <row r="92" customFormat="false" ht="18" hidden="false" customHeight="false" outlineLevel="0" collapsed="false">
      <c r="A92" s="0" t="n">
        <v>23</v>
      </c>
      <c r="B92" s="0" t="n">
        <v>2</v>
      </c>
      <c r="C92" s="0" t="s">
        <v>42</v>
      </c>
      <c r="D92" s="0" t="s">
        <v>71</v>
      </c>
      <c r="E92" s="0" t="n">
        <v>0.36</v>
      </c>
      <c r="F92" s="0" t="n">
        <v>2</v>
      </c>
      <c r="G92" s="0" t="n">
        <v>0.1</v>
      </c>
      <c r="H92" s="0" t="n">
        <v>3</v>
      </c>
    </row>
    <row r="93" customFormat="false" ht="18" hidden="false" customHeight="false" outlineLevel="0" collapsed="false">
      <c r="A93" s="0" t="n">
        <v>23</v>
      </c>
      <c r="B93" s="0" t="n">
        <v>3</v>
      </c>
      <c r="C93" s="0" t="s">
        <v>33</v>
      </c>
      <c r="D93" s="0" t="s">
        <v>68</v>
      </c>
      <c r="E93" s="0" t="n">
        <v>0.36</v>
      </c>
      <c r="F93" s="0" t="n">
        <v>2</v>
      </c>
      <c r="G93" s="0" t="n">
        <v>0.1</v>
      </c>
      <c r="H93" s="0" t="n">
        <v>3</v>
      </c>
    </row>
    <row r="94" customFormat="false" ht="18" hidden="false" customHeight="false" outlineLevel="0" collapsed="false">
      <c r="A94" s="0" t="n">
        <v>23</v>
      </c>
      <c r="B94" s="0" t="n">
        <v>4</v>
      </c>
      <c r="C94" s="0" t="n">
        <v>1</v>
      </c>
      <c r="D94" s="0" t="s">
        <v>24</v>
      </c>
      <c r="E94" s="0" t="n">
        <v>0.72</v>
      </c>
      <c r="F94" s="0" t="n">
        <v>3</v>
      </c>
      <c r="G94" s="0" t="n">
        <v>0.46</v>
      </c>
      <c r="H94" s="0" t="n">
        <v>2</v>
      </c>
    </row>
    <row r="95" customFormat="false" ht="18" hidden="false" customHeight="false" outlineLevel="0" collapsed="false">
      <c r="A95" s="0" t="n">
        <v>24</v>
      </c>
      <c r="B95" s="0" t="n">
        <v>1</v>
      </c>
      <c r="C95" s="0" t="s">
        <v>64</v>
      </c>
      <c r="D95" s="0" t="s">
        <v>65</v>
      </c>
      <c r="E95" s="0" t="n">
        <v>0.9</v>
      </c>
      <c r="F95" s="0" t="n">
        <v>3</v>
      </c>
      <c r="G95" s="0" t="n">
        <v>0.46</v>
      </c>
      <c r="H95" s="0" t="n">
        <v>2</v>
      </c>
    </row>
    <row r="96" customFormat="false" ht="18" hidden="false" customHeight="false" outlineLevel="0" collapsed="false">
      <c r="A96" s="0" t="n">
        <v>24</v>
      </c>
      <c r="B96" s="0" t="n">
        <v>2</v>
      </c>
      <c r="C96" s="0" t="s">
        <v>42</v>
      </c>
      <c r="D96" s="0" t="s">
        <v>71</v>
      </c>
      <c r="E96" s="0" t="n">
        <v>0.36</v>
      </c>
      <c r="F96" s="0" t="n">
        <v>2</v>
      </c>
      <c r="G96" s="0" t="n">
        <v>0.1</v>
      </c>
      <c r="H96" s="0" t="n">
        <v>3</v>
      </c>
    </row>
    <row r="97" customFormat="false" ht="18" hidden="false" customHeight="false" outlineLevel="0" collapsed="false">
      <c r="A97" s="0" t="n">
        <v>24</v>
      </c>
      <c r="B97" s="0" t="n">
        <v>3</v>
      </c>
      <c r="C97" s="0" t="s">
        <v>33</v>
      </c>
      <c r="D97" s="0" t="s">
        <v>68</v>
      </c>
      <c r="E97" s="0" t="n">
        <v>0.36</v>
      </c>
      <c r="F97" s="0" t="n">
        <v>2</v>
      </c>
      <c r="G97" s="0" t="n">
        <v>0.1</v>
      </c>
      <c r="H97" s="0" t="n">
        <v>3</v>
      </c>
    </row>
    <row r="98" customFormat="false" ht="18" hidden="false" customHeight="false" outlineLevel="0" collapsed="false">
      <c r="A98" s="0" t="n">
        <v>24</v>
      </c>
      <c r="B98" s="0" t="n">
        <v>4</v>
      </c>
      <c r="C98" s="0" t="n">
        <v>1</v>
      </c>
      <c r="D98" s="0" t="s">
        <v>27</v>
      </c>
      <c r="E98" s="0" t="n">
        <v>0.9</v>
      </c>
      <c r="F98" s="0" t="n">
        <v>3</v>
      </c>
      <c r="G98" s="0" t="n">
        <v>0.1</v>
      </c>
      <c r="H98" s="0" t="n">
        <v>3</v>
      </c>
    </row>
    <row r="99" customFormat="false" ht="18" hidden="false" customHeight="false" outlineLevel="0" collapsed="false">
      <c r="A99" s="0" t="n">
        <v>25</v>
      </c>
      <c r="B99" s="0" t="n">
        <v>1</v>
      </c>
      <c r="C99" s="0" t="s">
        <v>64</v>
      </c>
      <c r="D99" s="0" t="s">
        <v>65</v>
      </c>
      <c r="E99" s="0" t="n">
        <v>0.9</v>
      </c>
      <c r="F99" s="0" t="n">
        <v>3</v>
      </c>
      <c r="G99" s="0" t="n">
        <v>0.46</v>
      </c>
      <c r="H99" s="0" t="n">
        <v>2</v>
      </c>
    </row>
    <row r="100" customFormat="false" ht="18" hidden="false" customHeight="false" outlineLevel="0" collapsed="false">
      <c r="A100" s="0" t="n">
        <v>25</v>
      </c>
      <c r="B100" s="0" t="n">
        <v>2</v>
      </c>
      <c r="C100" s="0" t="s">
        <v>42</v>
      </c>
      <c r="D100" s="0" t="s">
        <v>71</v>
      </c>
      <c r="E100" s="0" t="n">
        <v>0.36</v>
      </c>
      <c r="F100" s="0" t="n">
        <v>2</v>
      </c>
      <c r="G100" s="0" t="n">
        <v>0.1</v>
      </c>
      <c r="H100" s="0" t="n">
        <v>3</v>
      </c>
    </row>
    <row r="101" customFormat="false" ht="18" hidden="false" customHeight="false" outlineLevel="0" collapsed="false">
      <c r="A101" s="0" t="n">
        <v>25</v>
      </c>
      <c r="B101" s="0" t="n">
        <v>3</v>
      </c>
      <c r="C101" s="0" t="s">
        <v>33</v>
      </c>
      <c r="D101" s="0" t="s">
        <v>68</v>
      </c>
      <c r="E101" s="0" t="n">
        <v>0.36</v>
      </c>
      <c r="F101" s="0" t="n">
        <v>2</v>
      </c>
      <c r="G101" s="0" t="n">
        <v>0.1</v>
      </c>
      <c r="H101" s="0" t="n">
        <v>3</v>
      </c>
    </row>
    <row r="102" customFormat="false" ht="18" hidden="false" customHeight="false" outlineLevel="0" collapsed="false">
      <c r="A102" s="0" t="n">
        <v>25</v>
      </c>
      <c r="B102" s="0" t="n">
        <v>4</v>
      </c>
      <c r="C102" s="0" t="n">
        <v>1</v>
      </c>
      <c r="D102" s="0" t="s">
        <v>30</v>
      </c>
      <c r="E102" s="0" t="n">
        <v>0.18</v>
      </c>
      <c r="F102" s="0" t="n">
        <v>1</v>
      </c>
      <c r="G102" s="0" t="n">
        <v>0.46</v>
      </c>
      <c r="H102" s="0" t="n">
        <v>2</v>
      </c>
    </row>
    <row r="103" customFormat="false" ht="18" hidden="false" customHeight="false" outlineLevel="0" collapsed="false">
      <c r="A103" s="0" t="n">
        <v>26</v>
      </c>
      <c r="B103" s="0" t="n">
        <v>1</v>
      </c>
      <c r="C103" s="0" t="s">
        <v>64</v>
      </c>
      <c r="D103" s="0" t="s">
        <v>65</v>
      </c>
      <c r="E103" s="0" t="n">
        <v>0.9</v>
      </c>
      <c r="F103" s="0" t="n">
        <v>3</v>
      </c>
      <c r="G103" s="0" t="n">
        <v>0.46</v>
      </c>
      <c r="H103" s="0" t="n">
        <v>2</v>
      </c>
    </row>
    <row r="104" customFormat="false" ht="18" hidden="false" customHeight="false" outlineLevel="0" collapsed="false">
      <c r="A104" s="0" t="n">
        <v>26</v>
      </c>
      <c r="B104" s="0" t="n">
        <v>2</v>
      </c>
      <c r="C104" s="0" t="s">
        <v>42</v>
      </c>
      <c r="D104" s="0" t="s">
        <v>71</v>
      </c>
      <c r="E104" s="0" t="n">
        <v>0.36</v>
      </c>
      <c r="F104" s="0" t="n">
        <v>2</v>
      </c>
      <c r="G104" s="0" t="n">
        <v>0.1</v>
      </c>
      <c r="H104" s="0" t="n">
        <v>3</v>
      </c>
    </row>
    <row r="105" customFormat="false" ht="18" hidden="false" customHeight="false" outlineLevel="0" collapsed="false">
      <c r="A105" s="0" t="n">
        <v>26</v>
      </c>
      <c r="B105" s="0" t="n">
        <v>3</v>
      </c>
      <c r="C105" s="0" t="s">
        <v>36</v>
      </c>
      <c r="D105" s="0" t="s">
        <v>69</v>
      </c>
      <c r="E105" s="0" t="n">
        <v>0.36</v>
      </c>
      <c r="F105" s="0" t="n">
        <v>2</v>
      </c>
      <c r="G105" s="0" t="n">
        <v>0.1</v>
      </c>
      <c r="H105" s="0" t="n">
        <v>3</v>
      </c>
    </row>
    <row r="106" customFormat="false" ht="18" hidden="false" customHeight="false" outlineLevel="0" collapsed="false">
      <c r="A106" s="0" t="n">
        <v>26</v>
      </c>
      <c r="B106" s="0" t="n">
        <v>4</v>
      </c>
      <c r="C106" s="0" t="n">
        <v>1</v>
      </c>
      <c r="D106" s="0" t="s">
        <v>20</v>
      </c>
      <c r="E106" s="0" t="n">
        <v>0.18</v>
      </c>
      <c r="F106" s="0" t="n">
        <v>1</v>
      </c>
      <c r="G106" s="0" t="n">
        <v>0.46</v>
      </c>
      <c r="H106" s="0" t="n">
        <v>2</v>
      </c>
    </row>
    <row r="107" customFormat="false" ht="18" hidden="false" customHeight="false" outlineLevel="0" collapsed="false">
      <c r="A107" s="0" t="n">
        <v>27</v>
      </c>
      <c r="B107" s="0" t="n">
        <v>1</v>
      </c>
      <c r="C107" s="0" t="s">
        <v>64</v>
      </c>
      <c r="D107" s="0" t="s">
        <v>65</v>
      </c>
      <c r="E107" s="0" t="n">
        <v>0.9</v>
      </c>
      <c r="F107" s="0" t="n">
        <v>3</v>
      </c>
      <c r="G107" s="0" t="n">
        <v>0.46</v>
      </c>
      <c r="H107" s="0" t="n">
        <v>2</v>
      </c>
    </row>
    <row r="108" customFormat="false" ht="18" hidden="false" customHeight="false" outlineLevel="0" collapsed="false">
      <c r="A108" s="0" t="n">
        <v>27</v>
      </c>
      <c r="B108" s="0" t="n">
        <v>2</v>
      </c>
      <c r="C108" s="0" t="s">
        <v>42</v>
      </c>
      <c r="D108" s="0" t="s">
        <v>71</v>
      </c>
      <c r="E108" s="0" t="n">
        <v>0.36</v>
      </c>
      <c r="F108" s="0" t="n">
        <v>2</v>
      </c>
      <c r="G108" s="0" t="n">
        <v>0.1</v>
      </c>
      <c r="H108" s="0" t="n">
        <v>3</v>
      </c>
    </row>
    <row r="109" customFormat="false" ht="18" hidden="false" customHeight="false" outlineLevel="0" collapsed="false">
      <c r="A109" s="0" t="n">
        <v>27</v>
      </c>
      <c r="B109" s="0" t="n">
        <v>3</v>
      </c>
      <c r="C109" s="0" t="s">
        <v>36</v>
      </c>
      <c r="D109" s="0" t="s">
        <v>69</v>
      </c>
      <c r="E109" s="0" t="n">
        <v>0.36</v>
      </c>
      <c r="F109" s="0" t="n">
        <v>2</v>
      </c>
      <c r="G109" s="0" t="n">
        <v>0.1</v>
      </c>
      <c r="H109" s="0" t="n">
        <v>3</v>
      </c>
    </row>
    <row r="110" customFormat="false" ht="18" hidden="false" customHeight="false" outlineLevel="0" collapsed="false">
      <c r="A110" s="0" t="n">
        <v>27</v>
      </c>
      <c r="B110" s="0" t="n">
        <v>4</v>
      </c>
      <c r="C110" s="0" t="n">
        <v>1</v>
      </c>
      <c r="D110" s="0" t="s">
        <v>24</v>
      </c>
      <c r="E110" s="0" t="n">
        <v>0.72</v>
      </c>
      <c r="F110" s="0" t="n">
        <v>3</v>
      </c>
      <c r="G110" s="0" t="n">
        <v>0.46</v>
      </c>
      <c r="H110" s="0" t="n">
        <v>2</v>
      </c>
    </row>
    <row r="111" customFormat="false" ht="18" hidden="false" customHeight="false" outlineLevel="0" collapsed="false">
      <c r="A111" s="0" t="n">
        <v>28</v>
      </c>
      <c r="B111" s="0" t="n">
        <v>1</v>
      </c>
      <c r="C111" s="0" t="s">
        <v>64</v>
      </c>
      <c r="D111" s="0" t="s">
        <v>65</v>
      </c>
      <c r="E111" s="0" t="n">
        <v>0.9</v>
      </c>
      <c r="F111" s="0" t="n">
        <v>3</v>
      </c>
      <c r="G111" s="0" t="n">
        <v>0.46</v>
      </c>
      <c r="H111" s="0" t="n">
        <v>2</v>
      </c>
    </row>
    <row r="112" customFormat="false" ht="18" hidden="false" customHeight="false" outlineLevel="0" collapsed="false">
      <c r="A112" s="0" t="n">
        <v>28</v>
      </c>
      <c r="B112" s="0" t="n">
        <v>2</v>
      </c>
      <c r="C112" s="0" t="s">
        <v>42</v>
      </c>
      <c r="D112" s="0" t="s">
        <v>71</v>
      </c>
      <c r="E112" s="0" t="n">
        <v>0.36</v>
      </c>
      <c r="F112" s="0" t="n">
        <v>2</v>
      </c>
      <c r="G112" s="0" t="n">
        <v>0.1</v>
      </c>
      <c r="H112" s="0" t="n">
        <v>3</v>
      </c>
    </row>
    <row r="113" customFormat="false" ht="18" hidden="false" customHeight="false" outlineLevel="0" collapsed="false">
      <c r="A113" s="0" t="n">
        <v>28</v>
      </c>
      <c r="B113" s="0" t="n">
        <v>3</v>
      </c>
      <c r="C113" s="0" t="s">
        <v>36</v>
      </c>
      <c r="D113" s="0" t="s">
        <v>69</v>
      </c>
      <c r="E113" s="0" t="n">
        <v>0.36</v>
      </c>
      <c r="F113" s="0" t="n">
        <v>2</v>
      </c>
      <c r="G113" s="0" t="n">
        <v>0.1</v>
      </c>
      <c r="H113" s="0" t="n">
        <v>3</v>
      </c>
    </row>
    <row r="114" customFormat="false" ht="18" hidden="false" customHeight="false" outlineLevel="0" collapsed="false">
      <c r="A114" s="0" t="n">
        <v>28</v>
      </c>
      <c r="B114" s="0" t="n">
        <v>4</v>
      </c>
      <c r="C114" s="0" t="n">
        <v>1</v>
      </c>
      <c r="D114" s="0" t="s">
        <v>27</v>
      </c>
      <c r="E114" s="0" t="n">
        <v>0.9</v>
      </c>
      <c r="F114" s="0" t="n">
        <v>3</v>
      </c>
      <c r="G114" s="0" t="n">
        <v>0.1</v>
      </c>
      <c r="H114" s="0" t="n">
        <v>3</v>
      </c>
    </row>
    <row r="115" customFormat="false" ht="18" hidden="false" customHeight="false" outlineLevel="0" collapsed="false">
      <c r="A115" s="0" t="n">
        <v>29</v>
      </c>
      <c r="B115" s="0" t="n">
        <v>1</v>
      </c>
      <c r="C115" s="0" t="s">
        <v>64</v>
      </c>
      <c r="D115" s="0" t="s">
        <v>65</v>
      </c>
      <c r="E115" s="0" t="n">
        <v>0.9</v>
      </c>
      <c r="F115" s="0" t="n">
        <v>3</v>
      </c>
      <c r="G115" s="0" t="n">
        <v>0.46</v>
      </c>
      <c r="H115" s="0" t="n">
        <v>2</v>
      </c>
    </row>
    <row r="116" customFormat="false" ht="18" hidden="false" customHeight="false" outlineLevel="0" collapsed="false">
      <c r="A116" s="0" t="n">
        <v>29</v>
      </c>
      <c r="B116" s="0" t="n">
        <v>2</v>
      </c>
      <c r="C116" s="0" t="s">
        <v>42</v>
      </c>
      <c r="D116" s="0" t="s">
        <v>71</v>
      </c>
      <c r="E116" s="0" t="n">
        <v>0.36</v>
      </c>
      <c r="F116" s="0" t="n">
        <v>2</v>
      </c>
      <c r="G116" s="0" t="n">
        <v>0.1</v>
      </c>
      <c r="H116" s="0" t="n">
        <v>3</v>
      </c>
    </row>
    <row r="117" customFormat="false" ht="18" hidden="false" customHeight="false" outlineLevel="0" collapsed="false">
      <c r="A117" s="0" t="n">
        <v>29</v>
      </c>
      <c r="B117" s="0" t="n">
        <v>3</v>
      </c>
      <c r="C117" s="0" t="s">
        <v>36</v>
      </c>
      <c r="D117" s="0" t="s">
        <v>69</v>
      </c>
      <c r="E117" s="0" t="n">
        <v>0.36</v>
      </c>
      <c r="F117" s="0" t="n">
        <v>2</v>
      </c>
      <c r="G117" s="0" t="n">
        <v>0.1</v>
      </c>
      <c r="H117" s="0" t="n">
        <v>3</v>
      </c>
    </row>
    <row r="118" customFormat="false" ht="18" hidden="false" customHeight="false" outlineLevel="0" collapsed="false">
      <c r="A118" s="0" t="n">
        <v>29</v>
      </c>
      <c r="B118" s="0" t="n">
        <v>4</v>
      </c>
      <c r="C118" s="0" t="n">
        <v>1</v>
      </c>
      <c r="D118" s="0" t="s">
        <v>30</v>
      </c>
      <c r="E118" s="0" t="n">
        <v>0.18</v>
      </c>
      <c r="F118" s="0" t="n">
        <v>1</v>
      </c>
      <c r="G118" s="0" t="n">
        <v>0.46</v>
      </c>
      <c r="H118" s="0" t="n">
        <v>2</v>
      </c>
    </row>
    <row r="119" customFormat="false" ht="18" hidden="false" customHeight="false" outlineLevel="0" collapsed="false">
      <c r="A119" s="0" t="n">
        <v>30</v>
      </c>
      <c r="B119" s="0" t="n">
        <v>1</v>
      </c>
      <c r="C119" s="0" t="s">
        <v>64</v>
      </c>
      <c r="D119" s="0" t="s">
        <v>65</v>
      </c>
      <c r="E119" s="0" t="n">
        <v>0.9</v>
      </c>
      <c r="F119" s="0" t="n">
        <v>3</v>
      </c>
      <c r="G119" s="0" t="n">
        <v>0.46</v>
      </c>
      <c r="H119" s="0" t="n">
        <v>2</v>
      </c>
    </row>
    <row r="120" customFormat="false" ht="18" hidden="false" customHeight="false" outlineLevel="0" collapsed="false">
      <c r="A120" s="0" t="n">
        <v>30</v>
      </c>
      <c r="B120" s="0" t="n">
        <v>2</v>
      </c>
      <c r="C120" s="0" t="s">
        <v>42</v>
      </c>
      <c r="D120" s="0" t="s">
        <v>71</v>
      </c>
      <c r="E120" s="0" t="n">
        <v>0.36</v>
      </c>
      <c r="F120" s="0" t="n">
        <v>2</v>
      </c>
      <c r="G120" s="0" t="n">
        <v>0.1</v>
      </c>
      <c r="H120" s="0" t="n">
        <v>3</v>
      </c>
    </row>
    <row r="121" customFormat="false" ht="18" hidden="false" customHeight="false" outlineLevel="0" collapsed="false">
      <c r="A121" s="0" t="n">
        <v>30</v>
      </c>
      <c r="B121" s="0" t="n">
        <v>3</v>
      </c>
      <c r="C121" s="0" t="s">
        <v>39</v>
      </c>
      <c r="D121" s="0" t="s">
        <v>70</v>
      </c>
      <c r="E121" s="0" t="n">
        <v>0.36</v>
      </c>
      <c r="F121" s="0" t="n">
        <v>2</v>
      </c>
      <c r="G121" s="0" t="n">
        <v>0.1</v>
      </c>
      <c r="H121" s="0" t="n">
        <v>3</v>
      </c>
    </row>
    <row r="122" customFormat="false" ht="18" hidden="false" customHeight="false" outlineLevel="0" collapsed="false">
      <c r="A122" s="0" t="n">
        <v>30</v>
      </c>
      <c r="B122" s="0" t="n">
        <v>4</v>
      </c>
      <c r="C122" s="0" t="n">
        <v>1</v>
      </c>
      <c r="D122" s="0" t="s">
        <v>20</v>
      </c>
      <c r="E122" s="0" t="n">
        <v>0.18</v>
      </c>
      <c r="F122" s="0" t="n">
        <v>1</v>
      </c>
      <c r="G122" s="0" t="n">
        <v>0.46</v>
      </c>
      <c r="H122" s="0" t="n">
        <v>2</v>
      </c>
    </row>
    <row r="123" customFormat="false" ht="18" hidden="false" customHeight="false" outlineLevel="0" collapsed="false">
      <c r="A123" s="0" t="n">
        <v>31</v>
      </c>
      <c r="B123" s="0" t="n">
        <v>1</v>
      </c>
      <c r="C123" s="0" t="s">
        <v>64</v>
      </c>
      <c r="D123" s="0" t="s">
        <v>65</v>
      </c>
      <c r="E123" s="0" t="n">
        <v>0.9</v>
      </c>
      <c r="F123" s="0" t="n">
        <v>3</v>
      </c>
      <c r="G123" s="0" t="n">
        <v>0.46</v>
      </c>
      <c r="H123" s="0" t="n">
        <v>2</v>
      </c>
    </row>
    <row r="124" customFormat="false" ht="18" hidden="false" customHeight="false" outlineLevel="0" collapsed="false">
      <c r="A124" s="0" t="n">
        <v>31</v>
      </c>
      <c r="B124" s="0" t="n">
        <v>2</v>
      </c>
      <c r="C124" s="0" t="s">
        <v>42</v>
      </c>
      <c r="D124" s="0" t="s">
        <v>71</v>
      </c>
      <c r="E124" s="0" t="n">
        <v>0.36</v>
      </c>
      <c r="F124" s="0" t="n">
        <v>2</v>
      </c>
      <c r="G124" s="0" t="n">
        <v>0.1</v>
      </c>
      <c r="H124" s="0" t="n">
        <v>3</v>
      </c>
    </row>
    <row r="125" customFormat="false" ht="18" hidden="false" customHeight="false" outlineLevel="0" collapsed="false">
      <c r="A125" s="0" t="n">
        <v>31</v>
      </c>
      <c r="B125" s="0" t="n">
        <v>3</v>
      </c>
      <c r="C125" s="0" t="s">
        <v>39</v>
      </c>
      <c r="D125" s="0" t="s">
        <v>70</v>
      </c>
      <c r="E125" s="0" t="n">
        <v>0.36</v>
      </c>
      <c r="F125" s="0" t="n">
        <v>2</v>
      </c>
      <c r="G125" s="0" t="n">
        <v>0.1</v>
      </c>
      <c r="H125" s="0" t="n">
        <v>3</v>
      </c>
    </row>
    <row r="126" customFormat="false" ht="18" hidden="false" customHeight="false" outlineLevel="0" collapsed="false">
      <c r="A126" s="0" t="n">
        <v>31</v>
      </c>
      <c r="B126" s="0" t="n">
        <v>4</v>
      </c>
      <c r="C126" s="0" t="n">
        <v>1</v>
      </c>
      <c r="D126" s="0" t="s">
        <v>24</v>
      </c>
      <c r="E126" s="0" t="n">
        <v>0.72</v>
      </c>
      <c r="F126" s="0" t="n">
        <v>3</v>
      </c>
      <c r="G126" s="0" t="n">
        <v>0.46</v>
      </c>
      <c r="H126" s="0" t="n">
        <v>2</v>
      </c>
    </row>
    <row r="127" customFormat="false" ht="18" hidden="false" customHeight="false" outlineLevel="0" collapsed="false">
      <c r="A127" s="0" t="n">
        <v>32</v>
      </c>
      <c r="B127" s="0" t="n">
        <v>1</v>
      </c>
      <c r="C127" s="0" t="s">
        <v>64</v>
      </c>
      <c r="D127" s="0" t="s">
        <v>65</v>
      </c>
      <c r="E127" s="0" t="n">
        <v>0.9</v>
      </c>
      <c r="F127" s="0" t="n">
        <v>3</v>
      </c>
      <c r="G127" s="0" t="n">
        <v>0.46</v>
      </c>
      <c r="H127" s="0" t="n">
        <v>2</v>
      </c>
    </row>
    <row r="128" customFormat="false" ht="18" hidden="false" customHeight="false" outlineLevel="0" collapsed="false">
      <c r="A128" s="0" t="n">
        <v>32</v>
      </c>
      <c r="B128" s="0" t="n">
        <v>2</v>
      </c>
      <c r="C128" s="0" t="s">
        <v>42</v>
      </c>
      <c r="D128" s="0" t="s">
        <v>71</v>
      </c>
      <c r="E128" s="0" t="n">
        <v>0.36</v>
      </c>
      <c r="F128" s="0" t="n">
        <v>2</v>
      </c>
      <c r="G128" s="0" t="n">
        <v>0.1</v>
      </c>
      <c r="H128" s="0" t="n">
        <v>3</v>
      </c>
    </row>
    <row r="129" customFormat="false" ht="18" hidden="false" customHeight="false" outlineLevel="0" collapsed="false">
      <c r="A129" s="0" t="n">
        <v>32</v>
      </c>
      <c r="B129" s="0" t="n">
        <v>3</v>
      </c>
      <c r="C129" s="0" t="s">
        <v>39</v>
      </c>
      <c r="D129" s="0" t="s">
        <v>70</v>
      </c>
      <c r="E129" s="0" t="n">
        <v>0.36</v>
      </c>
      <c r="F129" s="0" t="n">
        <v>2</v>
      </c>
      <c r="G129" s="0" t="n">
        <v>0.1</v>
      </c>
      <c r="H129" s="0" t="n">
        <v>3</v>
      </c>
    </row>
    <row r="130" customFormat="false" ht="18" hidden="false" customHeight="false" outlineLevel="0" collapsed="false">
      <c r="A130" s="0" t="n">
        <v>32</v>
      </c>
      <c r="B130" s="0" t="n">
        <v>4</v>
      </c>
      <c r="C130" s="0" t="n">
        <v>1</v>
      </c>
      <c r="D130" s="0" t="s">
        <v>27</v>
      </c>
      <c r="E130" s="0" t="n">
        <v>0.9</v>
      </c>
      <c r="F130" s="0" t="n">
        <v>3</v>
      </c>
      <c r="G130" s="0" t="n">
        <v>0.1</v>
      </c>
      <c r="H130" s="0" t="n">
        <v>3</v>
      </c>
    </row>
    <row r="131" customFormat="false" ht="18" hidden="false" customHeight="false" outlineLevel="0" collapsed="false">
      <c r="A131" s="0" t="n">
        <v>33</v>
      </c>
      <c r="B131" s="0" t="n">
        <v>1</v>
      </c>
      <c r="C131" s="0" t="s">
        <v>64</v>
      </c>
      <c r="D131" s="0" t="s">
        <v>65</v>
      </c>
      <c r="E131" s="0" t="n">
        <v>0.9</v>
      </c>
      <c r="F131" s="0" t="n">
        <v>3</v>
      </c>
      <c r="G131" s="0" t="n">
        <v>0.46</v>
      </c>
      <c r="H131" s="0" t="n">
        <v>2</v>
      </c>
    </row>
    <row r="132" customFormat="false" ht="18" hidden="false" customHeight="false" outlineLevel="0" collapsed="false">
      <c r="A132" s="0" t="n">
        <v>33</v>
      </c>
      <c r="B132" s="0" t="n">
        <v>2</v>
      </c>
      <c r="C132" s="0" t="s">
        <v>42</v>
      </c>
      <c r="D132" s="0" t="s">
        <v>71</v>
      </c>
      <c r="E132" s="0" t="n">
        <v>0.36</v>
      </c>
      <c r="F132" s="0" t="n">
        <v>2</v>
      </c>
      <c r="G132" s="0" t="n">
        <v>0.1</v>
      </c>
      <c r="H132" s="0" t="n">
        <v>3</v>
      </c>
    </row>
    <row r="133" customFormat="false" ht="18" hidden="false" customHeight="false" outlineLevel="0" collapsed="false">
      <c r="A133" s="0" t="n">
        <v>33</v>
      </c>
      <c r="B133" s="0" t="n">
        <v>3</v>
      </c>
      <c r="C133" s="0" t="s">
        <v>39</v>
      </c>
      <c r="D133" s="0" t="s">
        <v>70</v>
      </c>
      <c r="E133" s="0" t="n">
        <v>0.36</v>
      </c>
      <c r="F133" s="0" t="n">
        <v>2</v>
      </c>
      <c r="G133" s="0" t="n">
        <v>0.1</v>
      </c>
      <c r="H133" s="0" t="n">
        <v>3</v>
      </c>
    </row>
    <row r="134" customFormat="false" ht="18" hidden="false" customHeight="false" outlineLevel="0" collapsed="false">
      <c r="A134" s="0" t="n">
        <v>33</v>
      </c>
      <c r="B134" s="0" t="n">
        <v>4</v>
      </c>
      <c r="C134" s="0" t="n">
        <v>1</v>
      </c>
      <c r="D134" s="0" t="s">
        <v>30</v>
      </c>
      <c r="E134" s="0" t="n">
        <v>0.18</v>
      </c>
      <c r="F134" s="0" t="n">
        <v>1</v>
      </c>
      <c r="G134" s="0" t="n">
        <v>0.46</v>
      </c>
      <c r="H134" s="0" t="n">
        <v>2</v>
      </c>
    </row>
    <row r="135" customFormat="false" ht="18" hidden="false" customHeight="false" outlineLevel="0" collapsed="false">
      <c r="A135" s="0" t="n">
        <v>34</v>
      </c>
      <c r="B135" s="0" t="n">
        <v>1</v>
      </c>
      <c r="C135" s="0" t="s">
        <v>64</v>
      </c>
      <c r="D135" s="0" t="s">
        <v>65</v>
      </c>
      <c r="E135" s="0" t="n">
        <v>0.9</v>
      </c>
      <c r="F135" s="0" t="n">
        <v>3</v>
      </c>
      <c r="G135" s="0" t="n">
        <v>0.46</v>
      </c>
      <c r="H135" s="0" t="n">
        <v>2</v>
      </c>
    </row>
    <row r="136" customFormat="false" ht="18" hidden="false" customHeight="false" outlineLevel="0" collapsed="false">
      <c r="A136" s="0" t="n">
        <v>34</v>
      </c>
      <c r="B136" s="0" t="n">
        <v>2</v>
      </c>
      <c r="C136" s="0" t="s">
        <v>44</v>
      </c>
      <c r="D136" s="0" t="s">
        <v>72</v>
      </c>
      <c r="E136" s="0" t="n">
        <v>0.18</v>
      </c>
      <c r="F136" s="0" t="n">
        <v>1</v>
      </c>
      <c r="G136" s="0" t="n">
        <v>0.46</v>
      </c>
      <c r="H136" s="0" t="n">
        <v>2</v>
      </c>
    </row>
    <row r="137" customFormat="false" ht="18" hidden="false" customHeight="false" outlineLevel="0" collapsed="false">
      <c r="A137" s="0" t="n">
        <v>34</v>
      </c>
      <c r="B137" s="0" t="n">
        <v>3</v>
      </c>
      <c r="C137" s="0" t="s">
        <v>17</v>
      </c>
      <c r="D137" s="0" t="s">
        <v>67</v>
      </c>
      <c r="E137" s="0" t="n">
        <v>0.36</v>
      </c>
      <c r="F137" s="0" t="n">
        <v>2</v>
      </c>
      <c r="G137" s="0" t="n">
        <v>0.1</v>
      </c>
      <c r="H137" s="0" t="n">
        <v>3</v>
      </c>
    </row>
    <row r="138" customFormat="false" ht="18" hidden="false" customHeight="false" outlineLevel="0" collapsed="false">
      <c r="A138" s="0" t="n">
        <v>34</v>
      </c>
      <c r="B138" s="0" t="n">
        <v>4</v>
      </c>
      <c r="C138" s="0" t="n">
        <v>1</v>
      </c>
      <c r="D138" s="0" t="s">
        <v>20</v>
      </c>
      <c r="E138" s="0" t="n">
        <v>0.18</v>
      </c>
      <c r="F138" s="0" t="n">
        <v>1</v>
      </c>
      <c r="G138" s="0" t="n">
        <v>0.46</v>
      </c>
      <c r="H138" s="0" t="n">
        <v>2</v>
      </c>
    </row>
    <row r="139" customFormat="false" ht="18" hidden="false" customHeight="false" outlineLevel="0" collapsed="false">
      <c r="A139" s="0" t="n">
        <v>35</v>
      </c>
      <c r="B139" s="0" t="n">
        <v>1</v>
      </c>
      <c r="C139" s="0" t="s">
        <v>64</v>
      </c>
      <c r="D139" s="0" t="s">
        <v>65</v>
      </c>
      <c r="E139" s="0" t="n">
        <v>0.9</v>
      </c>
      <c r="F139" s="0" t="n">
        <v>3</v>
      </c>
      <c r="G139" s="0" t="n">
        <v>0.46</v>
      </c>
      <c r="H139" s="0" t="n">
        <v>2</v>
      </c>
    </row>
    <row r="140" customFormat="false" ht="18" hidden="false" customHeight="false" outlineLevel="0" collapsed="false">
      <c r="A140" s="0" t="n">
        <v>35</v>
      </c>
      <c r="B140" s="0" t="n">
        <v>2</v>
      </c>
      <c r="C140" s="0" t="s">
        <v>44</v>
      </c>
      <c r="D140" s="0" t="s">
        <v>72</v>
      </c>
      <c r="E140" s="0" t="n">
        <v>0.18</v>
      </c>
      <c r="F140" s="0" t="n">
        <v>1</v>
      </c>
      <c r="G140" s="0" t="n">
        <v>0.46</v>
      </c>
      <c r="H140" s="0" t="n">
        <v>2</v>
      </c>
    </row>
    <row r="141" customFormat="false" ht="18" hidden="false" customHeight="false" outlineLevel="0" collapsed="false">
      <c r="A141" s="0" t="n">
        <v>35</v>
      </c>
      <c r="B141" s="0" t="n">
        <v>3</v>
      </c>
      <c r="C141" s="0" t="s">
        <v>17</v>
      </c>
      <c r="D141" s="0" t="s">
        <v>67</v>
      </c>
      <c r="E141" s="0" t="n">
        <v>0.36</v>
      </c>
      <c r="F141" s="0" t="n">
        <v>2</v>
      </c>
      <c r="G141" s="0" t="n">
        <v>0.1</v>
      </c>
      <c r="H141" s="0" t="n">
        <v>3</v>
      </c>
    </row>
    <row r="142" customFormat="false" ht="18" hidden="false" customHeight="false" outlineLevel="0" collapsed="false">
      <c r="A142" s="0" t="n">
        <v>35</v>
      </c>
      <c r="B142" s="0" t="n">
        <v>4</v>
      </c>
      <c r="C142" s="0" t="n">
        <v>1</v>
      </c>
      <c r="D142" s="0" t="s">
        <v>24</v>
      </c>
      <c r="E142" s="0" t="n">
        <v>0.72</v>
      </c>
      <c r="F142" s="0" t="n">
        <v>3</v>
      </c>
      <c r="G142" s="0" t="n">
        <v>0.46</v>
      </c>
      <c r="H142" s="0" t="n">
        <v>2</v>
      </c>
    </row>
    <row r="143" customFormat="false" ht="18" hidden="false" customHeight="false" outlineLevel="0" collapsed="false">
      <c r="A143" s="0" t="n">
        <v>36</v>
      </c>
      <c r="B143" s="0" t="n">
        <v>1</v>
      </c>
      <c r="C143" s="0" t="s">
        <v>64</v>
      </c>
      <c r="D143" s="0" t="s">
        <v>65</v>
      </c>
      <c r="E143" s="0" t="n">
        <v>0.9</v>
      </c>
      <c r="F143" s="0" t="n">
        <v>3</v>
      </c>
      <c r="G143" s="0" t="n">
        <v>0.46</v>
      </c>
      <c r="H143" s="0" t="n">
        <v>2</v>
      </c>
    </row>
    <row r="144" customFormat="false" ht="18" hidden="false" customHeight="false" outlineLevel="0" collapsed="false">
      <c r="A144" s="0" t="n">
        <v>36</v>
      </c>
      <c r="B144" s="0" t="n">
        <v>2</v>
      </c>
      <c r="C144" s="0" t="s">
        <v>44</v>
      </c>
      <c r="D144" s="0" t="s">
        <v>72</v>
      </c>
      <c r="E144" s="0" t="n">
        <v>0.18</v>
      </c>
      <c r="F144" s="0" t="n">
        <v>1</v>
      </c>
      <c r="G144" s="0" t="n">
        <v>0.46</v>
      </c>
      <c r="H144" s="0" t="n">
        <v>2</v>
      </c>
    </row>
    <row r="145" customFormat="false" ht="18" hidden="false" customHeight="false" outlineLevel="0" collapsed="false">
      <c r="A145" s="0" t="n">
        <v>36</v>
      </c>
      <c r="B145" s="0" t="n">
        <v>3</v>
      </c>
      <c r="C145" s="0" t="s">
        <v>17</v>
      </c>
      <c r="D145" s="0" t="s">
        <v>67</v>
      </c>
      <c r="E145" s="0" t="n">
        <v>0.36</v>
      </c>
      <c r="F145" s="0" t="n">
        <v>2</v>
      </c>
      <c r="G145" s="0" t="n">
        <v>0.1</v>
      </c>
      <c r="H145" s="0" t="n">
        <v>3</v>
      </c>
    </row>
    <row r="146" customFormat="false" ht="18" hidden="false" customHeight="false" outlineLevel="0" collapsed="false">
      <c r="A146" s="0" t="n">
        <v>36</v>
      </c>
      <c r="B146" s="0" t="n">
        <v>4</v>
      </c>
      <c r="C146" s="0" t="n">
        <v>1</v>
      </c>
      <c r="D146" s="0" t="s">
        <v>27</v>
      </c>
      <c r="E146" s="0" t="n">
        <v>0.9</v>
      </c>
      <c r="F146" s="0" t="n">
        <v>3</v>
      </c>
      <c r="G146" s="0" t="n">
        <v>0.1</v>
      </c>
      <c r="H146" s="0" t="n">
        <v>3</v>
      </c>
    </row>
    <row r="147" customFormat="false" ht="18" hidden="false" customHeight="false" outlineLevel="0" collapsed="false">
      <c r="A147" s="0" t="n">
        <v>37</v>
      </c>
      <c r="B147" s="0" t="n">
        <v>1</v>
      </c>
      <c r="C147" s="0" t="s">
        <v>64</v>
      </c>
      <c r="D147" s="0" t="s">
        <v>65</v>
      </c>
      <c r="E147" s="0" t="n">
        <v>0.9</v>
      </c>
      <c r="F147" s="0" t="n">
        <v>3</v>
      </c>
      <c r="G147" s="0" t="n">
        <v>0.46</v>
      </c>
      <c r="H147" s="0" t="n">
        <v>2</v>
      </c>
    </row>
    <row r="148" customFormat="false" ht="18" hidden="false" customHeight="false" outlineLevel="0" collapsed="false">
      <c r="A148" s="0" t="n">
        <v>37</v>
      </c>
      <c r="B148" s="0" t="n">
        <v>2</v>
      </c>
      <c r="C148" s="0" t="s">
        <v>44</v>
      </c>
      <c r="D148" s="0" t="s">
        <v>72</v>
      </c>
      <c r="E148" s="0" t="n">
        <v>0.18</v>
      </c>
      <c r="F148" s="0" t="n">
        <v>1</v>
      </c>
      <c r="G148" s="0" t="n">
        <v>0.46</v>
      </c>
      <c r="H148" s="0" t="n">
        <v>2</v>
      </c>
    </row>
    <row r="149" customFormat="false" ht="18" hidden="false" customHeight="false" outlineLevel="0" collapsed="false">
      <c r="A149" s="0" t="n">
        <v>37</v>
      </c>
      <c r="B149" s="0" t="n">
        <v>3</v>
      </c>
      <c r="C149" s="0" t="s">
        <v>17</v>
      </c>
      <c r="D149" s="0" t="s">
        <v>67</v>
      </c>
      <c r="E149" s="0" t="n">
        <v>0.36</v>
      </c>
      <c r="F149" s="0" t="n">
        <v>2</v>
      </c>
      <c r="G149" s="0" t="n">
        <v>0.1</v>
      </c>
      <c r="H149" s="0" t="n">
        <v>3</v>
      </c>
    </row>
    <row r="150" customFormat="false" ht="18" hidden="false" customHeight="false" outlineLevel="0" collapsed="false">
      <c r="A150" s="0" t="n">
        <v>37</v>
      </c>
      <c r="B150" s="0" t="n">
        <v>4</v>
      </c>
      <c r="C150" s="0" t="n">
        <v>1</v>
      </c>
      <c r="D150" s="0" t="s">
        <v>30</v>
      </c>
      <c r="E150" s="0" t="n">
        <v>0.18</v>
      </c>
      <c r="F150" s="0" t="n">
        <v>1</v>
      </c>
      <c r="G150" s="0" t="n">
        <v>0.46</v>
      </c>
      <c r="H150" s="0" t="n">
        <v>2</v>
      </c>
    </row>
    <row r="151" customFormat="false" ht="18" hidden="false" customHeight="false" outlineLevel="0" collapsed="false">
      <c r="A151" s="0" t="n">
        <v>38</v>
      </c>
      <c r="B151" s="0" t="n">
        <v>1</v>
      </c>
      <c r="C151" s="0" t="s">
        <v>64</v>
      </c>
      <c r="D151" s="0" t="s">
        <v>65</v>
      </c>
      <c r="E151" s="0" t="n">
        <v>0.9</v>
      </c>
      <c r="F151" s="0" t="n">
        <v>3</v>
      </c>
      <c r="G151" s="0" t="n">
        <v>0.46</v>
      </c>
      <c r="H151" s="0" t="n">
        <v>2</v>
      </c>
    </row>
    <row r="152" customFormat="false" ht="18" hidden="false" customHeight="false" outlineLevel="0" collapsed="false">
      <c r="A152" s="0" t="n">
        <v>38</v>
      </c>
      <c r="B152" s="0" t="n">
        <v>2</v>
      </c>
      <c r="C152" s="0" t="s">
        <v>44</v>
      </c>
      <c r="D152" s="0" t="s">
        <v>72</v>
      </c>
      <c r="E152" s="0" t="n">
        <v>0.18</v>
      </c>
      <c r="F152" s="0" t="n">
        <v>1</v>
      </c>
      <c r="G152" s="0" t="n">
        <v>0.46</v>
      </c>
      <c r="H152" s="0" t="n">
        <v>2</v>
      </c>
    </row>
    <row r="153" customFormat="false" ht="18" hidden="false" customHeight="false" outlineLevel="0" collapsed="false">
      <c r="A153" s="0" t="n">
        <v>38</v>
      </c>
      <c r="B153" s="0" t="n">
        <v>3</v>
      </c>
      <c r="C153" s="0" t="s">
        <v>33</v>
      </c>
      <c r="D153" s="0" t="s">
        <v>68</v>
      </c>
      <c r="E153" s="0" t="n">
        <v>0.36</v>
      </c>
      <c r="F153" s="0" t="n">
        <v>2</v>
      </c>
      <c r="G153" s="0" t="n">
        <v>0.1</v>
      </c>
      <c r="H153" s="0" t="n">
        <v>3</v>
      </c>
    </row>
    <row r="154" customFormat="false" ht="18" hidden="false" customHeight="false" outlineLevel="0" collapsed="false">
      <c r="A154" s="0" t="n">
        <v>38</v>
      </c>
      <c r="B154" s="0" t="n">
        <v>4</v>
      </c>
      <c r="C154" s="0" t="n">
        <v>1</v>
      </c>
      <c r="D154" s="0" t="s">
        <v>20</v>
      </c>
      <c r="E154" s="0" t="n">
        <v>0.18</v>
      </c>
      <c r="F154" s="0" t="n">
        <v>1</v>
      </c>
      <c r="G154" s="0" t="n">
        <v>0.46</v>
      </c>
      <c r="H154" s="0" t="n">
        <v>2</v>
      </c>
    </row>
    <row r="155" customFormat="false" ht="18" hidden="false" customHeight="false" outlineLevel="0" collapsed="false">
      <c r="A155" s="0" t="n">
        <v>39</v>
      </c>
      <c r="B155" s="0" t="n">
        <v>1</v>
      </c>
      <c r="C155" s="0" t="s">
        <v>64</v>
      </c>
      <c r="D155" s="0" t="s">
        <v>65</v>
      </c>
      <c r="E155" s="0" t="n">
        <v>0.9</v>
      </c>
      <c r="F155" s="0" t="n">
        <v>3</v>
      </c>
      <c r="G155" s="0" t="n">
        <v>0.46</v>
      </c>
      <c r="H155" s="0" t="n">
        <v>2</v>
      </c>
    </row>
    <row r="156" customFormat="false" ht="18" hidden="false" customHeight="false" outlineLevel="0" collapsed="false">
      <c r="A156" s="0" t="n">
        <v>39</v>
      </c>
      <c r="B156" s="0" t="n">
        <v>2</v>
      </c>
      <c r="C156" s="0" t="s">
        <v>44</v>
      </c>
      <c r="D156" s="0" t="s">
        <v>72</v>
      </c>
      <c r="E156" s="0" t="n">
        <v>0.18</v>
      </c>
      <c r="F156" s="0" t="n">
        <v>1</v>
      </c>
      <c r="G156" s="0" t="n">
        <v>0.46</v>
      </c>
      <c r="H156" s="0" t="n">
        <v>2</v>
      </c>
    </row>
    <row r="157" customFormat="false" ht="18" hidden="false" customHeight="false" outlineLevel="0" collapsed="false">
      <c r="A157" s="0" t="n">
        <v>39</v>
      </c>
      <c r="B157" s="0" t="n">
        <v>3</v>
      </c>
      <c r="C157" s="0" t="s">
        <v>33</v>
      </c>
      <c r="D157" s="0" t="s">
        <v>68</v>
      </c>
      <c r="E157" s="0" t="n">
        <v>0.36</v>
      </c>
      <c r="F157" s="0" t="n">
        <v>2</v>
      </c>
      <c r="G157" s="0" t="n">
        <v>0.1</v>
      </c>
      <c r="H157" s="0" t="n">
        <v>3</v>
      </c>
    </row>
    <row r="158" customFormat="false" ht="18" hidden="false" customHeight="false" outlineLevel="0" collapsed="false">
      <c r="A158" s="0" t="n">
        <v>39</v>
      </c>
      <c r="B158" s="0" t="n">
        <v>4</v>
      </c>
      <c r="C158" s="0" t="n">
        <v>1</v>
      </c>
      <c r="D158" s="0" t="s">
        <v>24</v>
      </c>
      <c r="E158" s="0" t="n">
        <v>0.72</v>
      </c>
      <c r="F158" s="0" t="n">
        <v>3</v>
      </c>
      <c r="G158" s="0" t="n">
        <v>0.46</v>
      </c>
      <c r="H158" s="0" t="n">
        <v>2</v>
      </c>
    </row>
    <row r="159" customFormat="false" ht="18" hidden="false" customHeight="false" outlineLevel="0" collapsed="false">
      <c r="A159" s="0" t="n">
        <v>40</v>
      </c>
      <c r="B159" s="0" t="n">
        <v>1</v>
      </c>
      <c r="C159" s="0" t="s">
        <v>64</v>
      </c>
      <c r="D159" s="0" t="s">
        <v>65</v>
      </c>
      <c r="E159" s="0" t="n">
        <v>0.9</v>
      </c>
      <c r="F159" s="0" t="n">
        <v>3</v>
      </c>
      <c r="G159" s="0" t="n">
        <v>0.46</v>
      </c>
      <c r="H159" s="0" t="n">
        <v>2</v>
      </c>
    </row>
    <row r="160" customFormat="false" ht="18" hidden="false" customHeight="false" outlineLevel="0" collapsed="false">
      <c r="A160" s="0" t="n">
        <v>40</v>
      </c>
      <c r="B160" s="0" t="n">
        <v>2</v>
      </c>
      <c r="C160" s="0" t="s">
        <v>44</v>
      </c>
      <c r="D160" s="0" t="s">
        <v>72</v>
      </c>
      <c r="E160" s="0" t="n">
        <v>0.18</v>
      </c>
      <c r="F160" s="0" t="n">
        <v>1</v>
      </c>
      <c r="G160" s="0" t="n">
        <v>0.46</v>
      </c>
      <c r="H160" s="0" t="n">
        <v>2</v>
      </c>
    </row>
    <row r="161" customFormat="false" ht="18" hidden="false" customHeight="false" outlineLevel="0" collapsed="false">
      <c r="A161" s="0" t="n">
        <v>40</v>
      </c>
      <c r="B161" s="0" t="n">
        <v>3</v>
      </c>
      <c r="C161" s="0" t="s">
        <v>33</v>
      </c>
      <c r="D161" s="0" t="s">
        <v>68</v>
      </c>
      <c r="E161" s="0" t="n">
        <v>0.36</v>
      </c>
      <c r="F161" s="0" t="n">
        <v>2</v>
      </c>
      <c r="G161" s="0" t="n">
        <v>0.1</v>
      </c>
      <c r="H161" s="0" t="n">
        <v>3</v>
      </c>
    </row>
    <row r="162" customFormat="false" ht="18" hidden="false" customHeight="false" outlineLevel="0" collapsed="false">
      <c r="A162" s="0" t="n">
        <v>40</v>
      </c>
      <c r="B162" s="0" t="n">
        <v>4</v>
      </c>
      <c r="C162" s="0" t="n">
        <v>1</v>
      </c>
      <c r="D162" s="0" t="s">
        <v>27</v>
      </c>
      <c r="E162" s="0" t="n">
        <v>0.9</v>
      </c>
      <c r="F162" s="0" t="n">
        <v>3</v>
      </c>
      <c r="G162" s="0" t="n">
        <v>0.1</v>
      </c>
      <c r="H162" s="0" t="n">
        <v>3</v>
      </c>
    </row>
    <row r="163" customFormat="false" ht="18" hidden="false" customHeight="false" outlineLevel="0" collapsed="false">
      <c r="A163" s="0" t="n">
        <v>41</v>
      </c>
      <c r="B163" s="0" t="n">
        <v>1</v>
      </c>
      <c r="C163" s="0" t="s">
        <v>64</v>
      </c>
      <c r="D163" s="0" t="s">
        <v>65</v>
      </c>
      <c r="E163" s="0" t="n">
        <v>0.9</v>
      </c>
      <c r="F163" s="0" t="n">
        <v>3</v>
      </c>
      <c r="G163" s="0" t="n">
        <v>0.46</v>
      </c>
      <c r="H163" s="0" t="n">
        <v>2</v>
      </c>
    </row>
    <row r="164" customFormat="false" ht="18" hidden="false" customHeight="false" outlineLevel="0" collapsed="false">
      <c r="A164" s="0" t="n">
        <v>41</v>
      </c>
      <c r="B164" s="0" t="n">
        <v>2</v>
      </c>
      <c r="C164" s="0" t="s">
        <v>44</v>
      </c>
      <c r="D164" s="0" t="s">
        <v>72</v>
      </c>
      <c r="E164" s="0" t="n">
        <v>0.18</v>
      </c>
      <c r="F164" s="0" t="n">
        <v>1</v>
      </c>
      <c r="G164" s="0" t="n">
        <v>0.46</v>
      </c>
      <c r="H164" s="0" t="n">
        <v>2</v>
      </c>
    </row>
    <row r="165" customFormat="false" ht="18" hidden="false" customHeight="false" outlineLevel="0" collapsed="false">
      <c r="A165" s="0" t="n">
        <v>41</v>
      </c>
      <c r="B165" s="0" t="n">
        <v>3</v>
      </c>
      <c r="C165" s="0" t="s">
        <v>33</v>
      </c>
      <c r="D165" s="0" t="s">
        <v>68</v>
      </c>
      <c r="E165" s="0" t="n">
        <v>0.36</v>
      </c>
      <c r="F165" s="0" t="n">
        <v>2</v>
      </c>
      <c r="G165" s="0" t="n">
        <v>0.1</v>
      </c>
      <c r="H165" s="0" t="n">
        <v>3</v>
      </c>
    </row>
    <row r="166" customFormat="false" ht="18" hidden="false" customHeight="false" outlineLevel="0" collapsed="false">
      <c r="A166" s="0" t="n">
        <v>41</v>
      </c>
      <c r="B166" s="0" t="n">
        <v>4</v>
      </c>
      <c r="C166" s="0" t="n">
        <v>1</v>
      </c>
      <c r="D166" s="0" t="s">
        <v>30</v>
      </c>
      <c r="E166" s="0" t="n">
        <v>0.18</v>
      </c>
      <c r="F166" s="0" t="n">
        <v>1</v>
      </c>
      <c r="G166" s="0" t="n">
        <v>0.46</v>
      </c>
      <c r="H166" s="0" t="n">
        <v>2</v>
      </c>
    </row>
    <row r="167" customFormat="false" ht="18" hidden="false" customHeight="false" outlineLevel="0" collapsed="false">
      <c r="A167" s="0" t="n">
        <v>42</v>
      </c>
      <c r="B167" s="0" t="n">
        <v>1</v>
      </c>
      <c r="C167" s="0" t="s">
        <v>64</v>
      </c>
      <c r="D167" s="0" t="s">
        <v>65</v>
      </c>
      <c r="E167" s="0" t="n">
        <v>0.9</v>
      </c>
      <c r="F167" s="0" t="n">
        <v>3</v>
      </c>
      <c r="G167" s="0" t="n">
        <v>0.46</v>
      </c>
      <c r="H167" s="0" t="n">
        <v>2</v>
      </c>
    </row>
    <row r="168" customFormat="false" ht="18" hidden="false" customHeight="false" outlineLevel="0" collapsed="false">
      <c r="A168" s="0" t="n">
        <v>42</v>
      </c>
      <c r="B168" s="0" t="n">
        <v>2</v>
      </c>
      <c r="C168" s="0" t="s">
        <v>44</v>
      </c>
      <c r="D168" s="0" t="s">
        <v>72</v>
      </c>
      <c r="E168" s="0" t="n">
        <v>0.18</v>
      </c>
      <c r="F168" s="0" t="n">
        <v>1</v>
      </c>
      <c r="G168" s="0" t="n">
        <v>0.46</v>
      </c>
      <c r="H168" s="0" t="n">
        <v>2</v>
      </c>
    </row>
    <row r="169" customFormat="false" ht="18" hidden="false" customHeight="false" outlineLevel="0" collapsed="false">
      <c r="A169" s="0" t="n">
        <v>42</v>
      </c>
      <c r="B169" s="0" t="n">
        <v>3</v>
      </c>
      <c r="C169" s="0" t="s">
        <v>36</v>
      </c>
      <c r="D169" s="0" t="s">
        <v>69</v>
      </c>
      <c r="E169" s="0" t="n">
        <v>0.36</v>
      </c>
      <c r="F169" s="0" t="n">
        <v>2</v>
      </c>
      <c r="G169" s="0" t="n">
        <v>0.1</v>
      </c>
      <c r="H169" s="0" t="n">
        <v>3</v>
      </c>
    </row>
    <row r="170" customFormat="false" ht="18" hidden="false" customHeight="false" outlineLevel="0" collapsed="false">
      <c r="A170" s="0" t="n">
        <v>42</v>
      </c>
      <c r="B170" s="0" t="n">
        <v>4</v>
      </c>
      <c r="C170" s="0" t="n">
        <v>1</v>
      </c>
      <c r="D170" s="0" t="s">
        <v>20</v>
      </c>
      <c r="E170" s="0" t="n">
        <v>0.18</v>
      </c>
      <c r="F170" s="0" t="n">
        <v>1</v>
      </c>
      <c r="G170" s="0" t="n">
        <v>0.46</v>
      </c>
      <c r="H170" s="0" t="n">
        <v>2</v>
      </c>
    </row>
    <row r="171" customFormat="false" ht="18" hidden="false" customHeight="false" outlineLevel="0" collapsed="false">
      <c r="A171" s="0" t="n">
        <v>43</v>
      </c>
      <c r="B171" s="0" t="n">
        <v>1</v>
      </c>
      <c r="C171" s="0" t="s">
        <v>64</v>
      </c>
      <c r="D171" s="0" t="s">
        <v>65</v>
      </c>
      <c r="E171" s="0" t="n">
        <v>0.9</v>
      </c>
      <c r="F171" s="0" t="n">
        <v>3</v>
      </c>
      <c r="G171" s="0" t="n">
        <v>0.46</v>
      </c>
      <c r="H171" s="0" t="n">
        <v>2</v>
      </c>
    </row>
    <row r="172" customFormat="false" ht="18" hidden="false" customHeight="false" outlineLevel="0" collapsed="false">
      <c r="A172" s="0" t="n">
        <v>43</v>
      </c>
      <c r="B172" s="0" t="n">
        <v>2</v>
      </c>
      <c r="C172" s="0" t="s">
        <v>44</v>
      </c>
      <c r="D172" s="0" t="s">
        <v>72</v>
      </c>
      <c r="E172" s="0" t="n">
        <v>0.18</v>
      </c>
      <c r="F172" s="0" t="n">
        <v>1</v>
      </c>
      <c r="G172" s="0" t="n">
        <v>0.46</v>
      </c>
      <c r="H172" s="0" t="n">
        <v>2</v>
      </c>
    </row>
    <row r="173" customFormat="false" ht="18" hidden="false" customHeight="false" outlineLevel="0" collapsed="false">
      <c r="A173" s="0" t="n">
        <v>43</v>
      </c>
      <c r="B173" s="0" t="n">
        <v>3</v>
      </c>
      <c r="C173" s="0" t="s">
        <v>36</v>
      </c>
      <c r="D173" s="0" t="s">
        <v>69</v>
      </c>
      <c r="E173" s="0" t="n">
        <v>0.36</v>
      </c>
      <c r="F173" s="0" t="n">
        <v>2</v>
      </c>
      <c r="G173" s="0" t="n">
        <v>0.1</v>
      </c>
      <c r="H173" s="0" t="n">
        <v>3</v>
      </c>
    </row>
    <row r="174" customFormat="false" ht="18" hidden="false" customHeight="false" outlineLevel="0" collapsed="false">
      <c r="A174" s="0" t="n">
        <v>43</v>
      </c>
      <c r="B174" s="0" t="n">
        <v>4</v>
      </c>
      <c r="C174" s="0" t="n">
        <v>1</v>
      </c>
      <c r="D174" s="0" t="s">
        <v>24</v>
      </c>
      <c r="E174" s="0" t="n">
        <v>0.72</v>
      </c>
      <c r="F174" s="0" t="n">
        <v>3</v>
      </c>
      <c r="G174" s="0" t="n">
        <v>0.46</v>
      </c>
      <c r="H174" s="0" t="n">
        <v>2</v>
      </c>
    </row>
    <row r="175" customFormat="false" ht="18" hidden="false" customHeight="false" outlineLevel="0" collapsed="false">
      <c r="A175" s="0" t="n">
        <v>44</v>
      </c>
      <c r="B175" s="0" t="n">
        <v>1</v>
      </c>
      <c r="C175" s="0" t="s">
        <v>64</v>
      </c>
      <c r="D175" s="0" t="s">
        <v>65</v>
      </c>
      <c r="E175" s="0" t="n">
        <v>0.9</v>
      </c>
      <c r="F175" s="0" t="n">
        <v>3</v>
      </c>
      <c r="G175" s="0" t="n">
        <v>0.46</v>
      </c>
      <c r="H175" s="0" t="n">
        <v>2</v>
      </c>
    </row>
    <row r="176" customFormat="false" ht="18" hidden="false" customHeight="false" outlineLevel="0" collapsed="false">
      <c r="A176" s="0" t="n">
        <v>44</v>
      </c>
      <c r="B176" s="0" t="n">
        <v>2</v>
      </c>
      <c r="C176" s="0" t="s">
        <v>44</v>
      </c>
      <c r="D176" s="0" t="s">
        <v>72</v>
      </c>
      <c r="E176" s="0" t="n">
        <v>0.18</v>
      </c>
      <c r="F176" s="0" t="n">
        <v>1</v>
      </c>
      <c r="G176" s="0" t="n">
        <v>0.46</v>
      </c>
      <c r="H176" s="0" t="n">
        <v>2</v>
      </c>
    </row>
    <row r="177" customFormat="false" ht="18" hidden="false" customHeight="false" outlineLevel="0" collapsed="false">
      <c r="A177" s="0" t="n">
        <v>44</v>
      </c>
      <c r="B177" s="0" t="n">
        <v>3</v>
      </c>
      <c r="C177" s="0" t="s">
        <v>36</v>
      </c>
      <c r="D177" s="0" t="s">
        <v>69</v>
      </c>
      <c r="E177" s="0" t="n">
        <v>0.36</v>
      </c>
      <c r="F177" s="0" t="n">
        <v>2</v>
      </c>
      <c r="G177" s="0" t="n">
        <v>0.1</v>
      </c>
      <c r="H177" s="0" t="n">
        <v>3</v>
      </c>
    </row>
    <row r="178" customFormat="false" ht="18" hidden="false" customHeight="false" outlineLevel="0" collapsed="false">
      <c r="A178" s="0" t="n">
        <v>44</v>
      </c>
      <c r="B178" s="0" t="n">
        <v>4</v>
      </c>
      <c r="C178" s="0" t="n">
        <v>1</v>
      </c>
      <c r="D178" s="0" t="s">
        <v>27</v>
      </c>
      <c r="E178" s="0" t="n">
        <v>0.9</v>
      </c>
      <c r="F178" s="0" t="n">
        <v>3</v>
      </c>
      <c r="G178" s="0" t="n">
        <v>0.1</v>
      </c>
      <c r="H178" s="0" t="n">
        <v>3</v>
      </c>
    </row>
    <row r="179" customFormat="false" ht="18" hidden="false" customHeight="false" outlineLevel="0" collapsed="false">
      <c r="A179" s="0" t="n">
        <v>45</v>
      </c>
      <c r="B179" s="0" t="n">
        <v>1</v>
      </c>
      <c r="C179" s="0" t="s">
        <v>64</v>
      </c>
      <c r="D179" s="0" t="s">
        <v>65</v>
      </c>
      <c r="E179" s="0" t="n">
        <v>0.9</v>
      </c>
      <c r="F179" s="0" t="n">
        <v>3</v>
      </c>
      <c r="G179" s="0" t="n">
        <v>0.46</v>
      </c>
      <c r="H179" s="0" t="n">
        <v>2</v>
      </c>
    </row>
    <row r="180" customFormat="false" ht="18" hidden="false" customHeight="false" outlineLevel="0" collapsed="false">
      <c r="A180" s="0" t="n">
        <v>45</v>
      </c>
      <c r="B180" s="0" t="n">
        <v>2</v>
      </c>
      <c r="C180" s="0" t="s">
        <v>44</v>
      </c>
      <c r="D180" s="0" t="s">
        <v>72</v>
      </c>
      <c r="E180" s="0" t="n">
        <v>0.18</v>
      </c>
      <c r="F180" s="0" t="n">
        <v>1</v>
      </c>
      <c r="G180" s="0" t="n">
        <v>0.46</v>
      </c>
      <c r="H180" s="0" t="n">
        <v>2</v>
      </c>
    </row>
    <row r="181" customFormat="false" ht="18" hidden="false" customHeight="false" outlineLevel="0" collapsed="false">
      <c r="A181" s="0" t="n">
        <v>45</v>
      </c>
      <c r="B181" s="0" t="n">
        <v>3</v>
      </c>
      <c r="C181" s="0" t="s">
        <v>36</v>
      </c>
      <c r="D181" s="0" t="s">
        <v>69</v>
      </c>
      <c r="E181" s="0" t="n">
        <v>0.36</v>
      </c>
      <c r="F181" s="0" t="n">
        <v>2</v>
      </c>
      <c r="G181" s="0" t="n">
        <v>0.1</v>
      </c>
      <c r="H181" s="0" t="n">
        <v>3</v>
      </c>
    </row>
    <row r="182" customFormat="false" ht="18" hidden="false" customHeight="false" outlineLevel="0" collapsed="false">
      <c r="A182" s="0" t="n">
        <v>45</v>
      </c>
      <c r="B182" s="0" t="n">
        <v>4</v>
      </c>
      <c r="C182" s="0" t="n">
        <v>1</v>
      </c>
      <c r="D182" s="0" t="s">
        <v>30</v>
      </c>
      <c r="E182" s="0" t="n">
        <v>0.18</v>
      </c>
      <c r="F182" s="0" t="n">
        <v>1</v>
      </c>
      <c r="G182" s="0" t="n">
        <v>0.46</v>
      </c>
      <c r="H182" s="0" t="n">
        <v>2</v>
      </c>
    </row>
    <row r="183" customFormat="false" ht="18" hidden="false" customHeight="false" outlineLevel="0" collapsed="false">
      <c r="A183" s="0" t="n">
        <v>46</v>
      </c>
      <c r="B183" s="0" t="n">
        <v>1</v>
      </c>
      <c r="C183" s="0" t="s">
        <v>64</v>
      </c>
      <c r="D183" s="0" t="s">
        <v>65</v>
      </c>
      <c r="E183" s="0" t="n">
        <v>0.9</v>
      </c>
      <c r="F183" s="0" t="n">
        <v>3</v>
      </c>
      <c r="G183" s="0" t="n">
        <v>0.46</v>
      </c>
      <c r="H183" s="0" t="n">
        <v>2</v>
      </c>
    </row>
    <row r="184" customFormat="false" ht="18" hidden="false" customHeight="false" outlineLevel="0" collapsed="false">
      <c r="A184" s="0" t="n">
        <v>46</v>
      </c>
      <c r="B184" s="0" t="n">
        <v>2</v>
      </c>
      <c r="C184" s="0" t="s">
        <v>44</v>
      </c>
      <c r="D184" s="0" t="s">
        <v>72</v>
      </c>
      <c r="E184" s="0" t="n">
        <v>0.18</v>
      </c>
      <c r="F184" s="0" t="n">
        <v>1</v>
      </c>
      <c r="G184" s="0" t="n">
        <v>0.46</v>
      </c>
      <c r="H184" s="0" t="n">
        <v>2</v>
      </c>
    </row>
    <row r="185" customFormat="false" ht="18" hidden="false" customHeight="false" outlineLevel="0" collapsed="false">
      <c r="A185" s="0" t="n">
        <v>46</v>
      </c>
      <c r="B185" s="0" t="n">
        <v>3</v>
      </c>
      <c r="C185" s="0" t="s">
        <v>39</v>
      </c>
      <c r="D185" s="0" t="s">
        <v>70</v>
      </c>
      <c r="E185" s="0" t="n">
        <v>0.36</v>
      </c>
      <c r="F185" s="0" t="n">
        <v>2</v>
      </c>
      <c r="G185" s="0" t="n">
        <v>0.1</v>
      </c>
      <c r="H185" s="0" t="n">
        <v>3</v>
      </c>
    </row>
    <row r="186" customFormat="false" ht="18" hidden="false" customHeight="false" outlineLevel="0" collapsed="false">
      <c r="A186" s="0" t="n">
        <v>46</v>
      </c>
      <c r="B186" s="0" t="n">
        <v>4</v>
      </c>
      <c r="C186" s="0" t="n">
        <v>1</v>
      </c>
      <c r="D186" s="0" t="s">
        <v>20</v>
      </c>
      <c r="E186" s="0" t="n">
        <v>0.18</v>
      </c>
      <c r="F186" s="0" t="n">
        <v>1</v>
      </c>
      <c r="G186" s="0" t="n">
        <v>0.46</v>
      </c>
      <c r="H186" s="0" t="n">
        <v>2</v>
      </c>
    </row>
    <row r="187" customFormat="false" ht="18" hidden="false" customHeight="false" outlineLevel="0" collapsed="false">
      <c r="A187" s="0" t="n">
        <v>47</v>
      </c>
      <c r="B187" s="0" t="n">
        <v>1</v>
      </c>
      <c r="C187" s="0" t="s">
        <v>64</v>
      </c>
      <c r="D187" s="0" t="s">
        <v>65</v>
      </c>
      <c r="E187" s="0" t="n">
        <v>0.9</v>
      </c>
      <c r="F187" s="0" t="n">
        <v>3</v>
      </c>
      <c r="G187" s="0" t="n">
        <v>0.46</v>
      </c>
      <c r="H187" s="0" t="n">
        <v>2</v>
      </c>
    </row>
    <row r="188" customFormat="false" ht="18" hidden="false" customHeight="false" outlineLevel="0" collapsed="false">
      <c r="A188" s="0" t="n">
        <v>47</v>
      </c>
      <c r="B188" s="0" t="n">
        <v>2</v>
      </c>
      <c r="C188" s="0" t="s">
        <v>44</v>
      </c>
      <c r="D188" s="0" t="s">
        <v>72</v>
      </c>
      <c r="E188" s="0" t="n">
        <v>0.18</v>
      </c>
      <c r="F188" s="0" t="n">
        <v>1</v>
      </c>
      <c r="G188" s="0" t="n">
        <v>0.46</v>
      </c>
      <c r="H188" s="0" t="n">
        <v>2</v>
      </c>
    </row>
    <row r="189" customFormat="false" ht="18" hidden="false" customHeight="false" outlineLevel="0" collapsed="false">
      <c r="A189" s="0" t="n">
        <v>47</v>
      </c>
      <c r="B189" s="0" t="n">
        <v>3</v>
      </c>
      <c r="C189" s="0" t="s">
        <v>39</v>
      </c>
      <c r="D189" s="0" t="s">
        <v>70</v>
      </c>
      <c r="E189" s="0" t="n">
        <v>0.36</v>
      </c>
      <c r="F189" s="0" t="n">
        <v>2</v>
      </c>
      <c r="G189" s="0" t="n">
        <v>0.1</v>
      </c>
      <c r="H189" s="0" t="n">
        <v>3</v>
      </c>
    </row>
    <row r="190" customFormat="false" ht="18" hidden="false" customHeight="false" outlineLevel="0" collapsed="false">
      <c r="A190" s="0" t="n">
        <v>47</v>
      </c>
      <c r="B190" s="0" t="n">
        <v>4</v>
      </c>
      <c r="C190" s="0" t="n">
        <v>1</v>
      </c>
      <c r="D190" s="0" t="s">
        <v>24</v>
      </c>
      <c r="E190" s="0" t="n">
        <v>0.72</v>
      </c>
      <c r="F190" s="0" t="n">
        <v>3</v>
      </c>
      <c r="G190" s="0" t="n">
        <v>0.46</v>
      </c>
      <c r="H190" s="0" t="n">
        <v>2</v>
      </c>
    </row>
    <row r="191" customFormat="false" ht="18" hidden="false" customHeight="false" outlineLevel="0" collapsed="false">
      <c r="A191" s="0" t="n">
        <v>48</v>
      </c>
      <c r="B191" s="0" t="n">
        <v>1</v>
      </c>
      <c r="C191" s="0" t="s">
        <v>64</v>
      </c>
      <c r="D191" s="0" t="s">
        <v>65</v>
      </c>
      <c r="E191" s="0" t="n">
        <v>0.9</v>
      </c>
      <c r="F191" s="0" t="n">
        <v>3</v>
      </c>
      <c r="G191" s="0" t="n">
        <v>0.46</v>
      </c>
      <c r="H191" s="0" t="n">
        <v>2</v>
      </c>
    </row>
    <row r="192" customFormat="false" ht="18" hidden="false" customHeight="false" outlineLevel="0" collapsed="false">
      <c r="A192" s="0" t="n">
        <v>48</v>
      </c>
      <c r="B192" s="0" t="n">
        <v>2</v>
      </c>
      <c r="C192" s="0" t="s">
        <v>44</v>
      </c>
      <c r="D192" s="0" t="s">
        <v>72</v>
      </c>
      <c r="E192" s="0" t="n">
        <v>0.18</v>
      </c>
      <c r="F192" s="0" t="n">
        <v>1</v>
      </c>
      <c r="G192" s="0" t="n">
        <v>0.46</v>
      </c>
      <c r="H192" s="0" t="n">
        <v>2</v>
      </c>
    </row>
    <row r="193" customFormat="false" ht="18" hidden="false" customHeight="false" outlineLevel="0" collapsed="false">
      <c r="A193" s="0" t="n">
        <v>48</v>
      </c>
      <c r="B193" s="0" t="n">
        <v>3</v>
      </c>
      <c r="C193" s="0" t="s">
        <v>39</v>
      </c>
      <c r="D193" s="0" t="s">
        <v>70</v>
      </c>
      <c r="E193" s="0" t="n">
        <v>0.36</v>
      </c>
      <c r="F193" s="0" t="n">
        <v>2</v>
      </c>
      <c r="G193" s="0" t="n">
        <v>0.1</v>
      </c>
      <c r="H193" s="0" t="n">
        <v>3</v>
      </c>
    </row>
    <row r="194" customFormat="false" ht="18" hidden="false" customHeight="false" outlineLevel="0" collapsed="false">
      <c r="A194" s="0" t="n">
        <v>48</v>
      </c>
      <c r="B194" s="0" t="n">
        <v>4</v>
      </c>
      <c r="C194" s="0" t="n">
        <v>1</v>
      </c>
      <c r="D194" s="0" t="s">
        <v>27</v>
      </c>
      <c r="E194" s="0" t="n">
        <v>0.9</v>
      </c>
      <c r="F194" s="0" t="n">
        <v>3</v>
      </c>
      <c r="G194" s="0" t="n">
        <v>0.1</v>
      </c>
      <c r="H194" s="0" t="n">
        <v>3</v>
      </c>
    </row>
    <row r="195" customFormat="false" ht="18" hidden="false" customHeight="false" outlineLevel="0" collapsed="false">
      <c r="A195" s="0" t="n">
        <v>49</v>
      </c>
      <c r="B195" s="0" t="n">
        <v>1</v>
      </c>
      <c r="C195" s="0" t="s">
        <v>64</v>
      </c>
      <c r="D195" s="0" t="s">
        <v>65</v>
      </c>
      <c r="E195" s="0" t="n">
        <v>0.9</v>
      </c>
      <c r="F195" s="0" t="n">
        <v>3</v>
      </c>
      <c r="G195" s="0" t="n">
        <v>0.46</v>
      </c>
      <c r="H195" s="0" t="n">
        <v>2</v>
      </c>
    </row>
    <row r="196" customFormat="false" ht="18" hidden="false" customHeight="false" outlineLevel="0" collapsed="false">
      <c r="A196" s="0" t="n">
        <v>49</v>
      </c>
      <c r="B196" s="0" t="n">
        <v>2</v>
      </c>
      <c r="C196" s="0" t="s">
        <v>44</v>
      </c>
      <c r="D196" s="0" t="s">
        <v>72</v>
      </c>
      <c r="E196" s="0" t="n">
        <v>0.18</v>
      </c>
      <c r="F196" s="0" t="n">
        <v>1</v>
      </c>
      <c r="G196" s="0" t="n">
        <v>0.46</v>
      </c>
      <c r="H196" s="0" t="n">
        <v>2</v>
      </c>
    </row>
    <row r="197" customFormat="false" ht="18" hidden="false" customHeight="false" outlineLevel="0" collapsed="false">
      <c r="A197" s="0" t="n">
        <v>49</v>
      </c>
      <c r="B197" s="0" t="n">
        <v>3</v>
      </c>
      <c r="C197" s="0" t="s">
        <v>39</v>
      </c>
      <c r="D197" s="0" t="s">
        <v>70</v>
      </c>
      <c r="E197" s="0" t="n">
        <v>0.36</v>
      </c>
      <c r="F197" s="0" t="n">
        <v>2</v>
      </c>
      <c r="G197" s="0" t="n">
        <v>0.1</v>
      </c>
      <c r="H197" s="0" t="n">
        <v>3</v>
      </c>
    </row>
    <row r="198" customFormat="false" ht="18" hidden="false" customHeight="false" outlineLevel="0" collapsed="false">
      <c r="A198" s="0" t="n">
        <v>49</v>
      </c>
      <c r="B198" s="0" t="n">
        <v>4</v>
      </c>
      <c r="C198" s="0" t="n">
        <v>1</v>
      </c>
      <c r="D198" s="0" t="s">
        <v>30</v>
      </c>
      <c r="E198" s="0" t="n">
        <v>0.18</v>
      </c>
      <c r="F198" s="0" t="n">
        <v>1</v>
      </c>
      <c r="G198" s="0" t="n">
        <v>0.46</v>
      </c>
      <c r="H198" s="0" t="n">
        <v>2</v>
      </c>
    </row>
    <row r="199" customFormat="false" ht="18" hidden="false" customHeight="false" outlineLevel="0" collapsed="false">
      <c r="A199" s="0" t="n">
        <v>50</v>
      </c>
      <c r="B199" s="0" t="n">
        <v>1</v>
      </c>
      <c r="C199" s="0" t="s">
        <v>64</v>
      </c>
      <c r="D199" s="0" t="s">
        <v>65</v>
      </c>
      <c r="E199" s="0" t="n">
        <v>0.9</v>
      </c>
      <c r="F199" s="0" t="n">
        <v>3</v>
      </c>
      <c r="G199" s="0" t="n">
        <v>0.46</v>
      </c>
      <c r="H199" s="0" t="n">
        <v>2</v>
      </c>
    </row>
    <row r="200" customFormat="false" ht="18" hidden="false" customHeight="false" outlineLevel="0" collapsed="false">
      <c r="A200" s="0" t="n">
        <v>50</v>
      </c>
      <c r="B200" s="0" t="n">
        <v>2</v>
      </c>
      <c r="C200" s="0" t="s">
        <v>46</v>
      </c>
      <c r="D200" s="0" t="s">
        <v>70</v>
      </c>
      <c r="E200" s="0" t="n">
        <v>0.36</v>
      </c>
      <c r="F200" s="0" t="n">
        <v>2</v>
      </c>
      <c r="G200" s="0" t="n">
        <v>0.1</v>
      </c>
      <c r="H200" s="0" t="n">
        <v>3</v>
      </c>
    </row>
    <row r="201" customFormat="false" ht="18" hidden="false" customHeight="false" outlineLevel="0" collapsed="false">
      <c r="A201" s="0" t="n">
        <v>50</v>
      </c>
      <c r="B201" s="0" t="n">
        <v>3</v>
      </c>
      <c r="C201" s="0" t="s">
        <v>17</v>
      </c>
      <c r="D201" s="0" t="s">
        <v>67</v>
      </c>
      <c r="E201" s="0" t="n">
        <v>0.36</v>
      </c>
      <c r="F201" s="0" t="n">
        <v>2</v>
      </c>
      <c r="G201" s="0" t="n">
        <v>0.1</v>
      </c>
      <c r="H201" s="0" t="n">
        <v>3</v>
      </c>
    </row>
    <row r="202" customFormat="false" ht="18" hidden="false" customHeight="false" outlineLevel="0" collapsed="false">
      <c r="A202" s="0" t="n">
        <v>50</v>
      </c>
      <c r="B202" s="0" t="n">
        <v>4</v>
      </c>
      <c r="C202" s="0" t="n">
        <v>1</v>
      </c>
      <c r="D202" s="0" t="s">
        <v>20</v>
      </c>
      <c r="E202" s="0" t="n">
        <v>0.18</v>
      </c>
      <c r="F202" s="0" t="n">
        <v>1</v>
      </c>
      <c r="G202" s="0" t="n">
        <v>0.46</v>
      </c>
      <c r="H202" s="0" t="n">
        <v>2</v>
      </c>
    </row>
    <row r="203" customFormat="false" ht="18" hidden="false" customHeight="false" outlineLevel="0" collapsed="false">
      <c r="A203" s="0" t="n">
        <v>51</v>
      </c>
      <c r="B203" s="0" t="n">
        <v>1</v>
      </c>
      <c r="C203" s="0" t="s">
        <v>64</v>
      </c>
      <c r="D203" s="0" t="s">
        <v>65</v>
      </c>
      <c r="E203" s="0" t="n">
        <v>0.9</v>
      </c>
      <c r="F203" s="0" t="n">
        <v>3</v>
      </c>
      <c r="G203" s="0" t="n">
        <v>0.46</v>
      </c>
      <c r="H203" s="0" t="n">
        <v>2</v>
      </c>
    </row>
    <row r="204" customFormat="false" ht="18" hidden="false" customHeight="false" outlineLevel="0" collapsed="false">
      <c r="A204" s="0" t="n">
        <v>51</v>
      </c>
      <c r="B204" s="0" t="n">
        <v>2</v>
      </c>
      <c r="C204" s="0" t="s">
        <v>46</v>
      </c>
      <c r="D204" s="0" t="s">
        <v>70</v>
      </c>
      <c r="E204" s="0" t="n">
        <v>0.36</v>
      </c>
      <c r="F204" s="0" t="n">
        <v>2</v>
      </c>
      <c r="G204" s="0" t="n">
        <v>0.1</v>
      </c>
      <c r="H204" s="0" t="n">
        <v>3</v>
      </c>
    </row>
    <row r="205" customFormat="false" ht="18" hidden="false" customHeight="false" outlineLevel="0" collapsed="false">
      <c r="A205" s="0" t="n">
        <v>51</v>
      </c>
      <c r="B205" s="0" t="n">
        <v>3</v>
      </c>
      <c r="C205" s="0" t="s">
        <v>17</v>
      </c>
      <c r="D205" s="0" t="s">
        <v>67</v>
      </c>
      <c r="E205" s="0" t="n">
        <v>0.36</v>
      </c>
      <c r="F205" s="0" t="n">
        <v>2</v>
      </c>
      <c r="G205" s="0" t="n">
        <v>0.1</v>
      </c>
      <c r="H205" s="0" t="n">
        <v>3</v>
      </c>
    </row>
    <row r="206" customFormat="false" ht="18" hidden="false" customHeight="false" outlineLevel="0" collapsed="false">
      <c r="A206" s="0" t="n">
        <v>51</v>
      </c>
      <c r="B206" s="0" t="n">
        <v>4</v>
      </c>
      <c r="C206" s="0" t="n">
        <v>1</v>
      </c>
      <c r="D206" s="0" t="s">
        <v>24</v>
      </c>
      <c r="E206" s="0" t="n">
        <v>0.72</v>
      </c>
      <c r="F206" s="0" t="n">
        <v>3</v>
      </c>
      <c r="G206" s="0" t="n">
        <v>0.46</v>
      </c>
      <c r="H206" s="0" t="n">
        <v>2</v>
      </c>
    </row>
    <row r="207" customFormat="false" ht="18" hidden="false" customHeight="false" outlineLevel="0" collapsed="false">
      <c r="A207" s="0" t="n">
        <v>52</v>
      </c>
      <c r="B207" s="0" t="n">
        <v>1</v>
      </c>
      <c r="C207" s="0" t="s">
        <v>64</v>
      </c>
      <c r="D207" s="0" t="s">
        <v>65</v>
      </c>
      <c r="E207" s="0" t="n">
        <v>0.9</v>
      </c>
      <c r="F207" s="0" t="n">
        <v>3</v>
      </c>
      <c r="G207" s="0" t="n">
        <v>0.46</v>
      </c>
      <c r="H207" s="0" t="n">
        <v>2</v>
      </c>
    </row>
    <row r="208" customFormat="false" ht="18" hidden="false" customHeight="false" outlineLevel="0" collapsed="false">
      <c r="A208" s="0" t="n">
        <v>52</v>
      </c>
      <c r="B208" s="0" t="n">
        <v>2</v>
      </c>
      <c r="C208" s="0" t="s">
        <v>46</v>
      </c>
      <c r="D208" s="0" t="s">
        <v>70</v>
      </c>
      <c r="E208" s="0" t="n">
        <v>0.36</v>
      </c>
      <c r="F208" s="0" t="n">
        <v>2</v>
      </c>
      <c r="G208" s="0" t="n">
        <v>0.1</v>
      </c>
      <c r="H208" s="0" t="n">
        <v>3</v>
      </c>
    </row>
    <row r="209" customFormat="false" ht="18" hidden="false" customHeight="false" outlineLevel="0" collapsed="false">
      <c r="A209" s="0" t="n">
        <v>52</v>
      </c>
      <c r="B209" s="0" t="n">
        <v>3</v>
      </c>
      <c r="C209" s="0" t="s">
        <v>17</v>
      </c>
      <c r="D209" s="0" t="s">
        <v>67</v>
      </c>
      <c r="E209" s="0" t="n">
        <v>0.36</v>
      </c>
      <c r="F209" s="0" t="n">
        <v>2</v>
      </c>
      <c r="G209" s="0" t="n">
        <v>0.1</v>
      </c>
      <c r="H209" s="0" t="n">
        <v>3</v>
      </c>
    </row>
    <row r="210" customFormat="false" ht="18" hidden="false" customHeight="false" outlineLevel="0" collapsed="false">
      <c r="A210" s="0" t="n">
        <v>52</v>
      </c>
      <c r="B210" s="0" t="n">
        <v>4</v>
      </c>
      <c r="C210" s="0" t="n">
        <v>1</v>
      </c>
      <c r="D210" s="0" t="s">
        <v>27</v>
      </c>
      <c r="E210" s="0" t="n">
        <v>0.9</v>
      </c>
      <c r="F210" s="0" t="n">
        <v>3</v>
      </c>
      <c r="G210" s="0" t="n">
        <v>0.1</v>
      </c>
      <c r="H210" s="0" t="n">
        <v>3</v>
      </c>
    </row>
    <row r="211" customFormat="false" ht="18" hidden="false" customHeight="false" outlineLevel="0" collapsed="false">
      <c r="A211" s="0" t="n">
        <v>53</v>
      </c>
      <c r="B211" s="0" t="n">
        <v>1</v>
      </c>
      <c r="C211" s="0" t="s">
        <v>64</v>
      </c>
      <c r="D211" s="0" t="s">
        <v>65</v>
      </c>
      <c r="E211" s="0" t="n">
        <v>0.9</v>
      </c>
      <c r="F211" s="0" t="n">
        <v>3</v>
      </c>
      <c r="G211" s="0" t="n">
        <v>0.46</v>
      </c>
      <c r="H211" s="0" t="n">
        <v>2</v>
      </c>
    </row>
    <row r="212" customFormat="false" ht="18" hidden="false" customHeight="false" outlineLevel="0" collapsed="false">
      <c r="A212" s="0" t="n">
        <v>53</v>
      </c>
      <c r="B212" s="0" t="n">
        <v>2</v>
      </c>
      <c r="C212" s="0" t="s">
        <v>46</v>
      </c>
      <c r="D212" s="0" t="s">
        <v>70</v>
      </c>
      <c r="E212" s="0" t="n">
        <v>0.36</v>
      </c>
      <c r="F212" s="0" t="n">
        <v>2</v>
      </c>
      <c r="G212" s="0" t="n">
        <v>0.1</v>
      </c>
      <c r="H212" s="0" t="n">
        <v>3</v>
      </c>
    </row>
    <row r="213" customFormat="false" ht="18" hidden="false" customHeight="false" outlineLevel="0" collapsed="false">
      <c r="A213" s="0" t="n">
        <v>53</v>
      </c>
      <c r="B213" s="0" t="n">
        <v>3</v>
      </c>
      <c r="C213" s="0" t="s">
        <v>17</v>
      </c>
      <c r="D213" s="0" t="s">
        <v>67</v>
      </c>
      <c r="E213" s="0" t="n">
        <v>0.36</v>
      </c>
      <c r="F213" s="0" t="n">
        <v>2</v>
      </c>
      <c r="G213" s="0" t="n">
        <v>0.1</v>
      </c>
      <c r="H213" s="0" t="n">
        <v>3</v>
      </c>
    </row>
    <row r="214" customFormat="false" ht="18" hidden="false" customHeight="false" outlineLevel="0" collapsed="false">
      <c r="A214" s="0" t="n">
        <v>53</v>
      </c>
      <c r="B214" s="0" t="n">
        <v>4</v>
      </c>
      <c r="C214" s="0" t="n">
        <v>1</v>
      </c>
      <c r="D214" s="0" t="s">
        <v>30</v>
      </c>
      <c r="E214" s="0" t="n">
        <v>0.18</v>
      </c>
      <c r="F214" s="0" t="n">
        <v>1</v>
      </c>
      <c r="G214" s="0" t="n">
        <v>0.46</v>
      </c>
      <c r="H214" s="0" t="n">
        <v>2</v>
      </c>
    </row>
    <row r="215" customFormat="false" ht="18" hidden="false" customHeight="false" outlineLevel="0" collapsed="false">
      <c r="A215" s="0" t="n">
        <v>54</v>
      </c>
      <c r="B215" s="0" t="n">
        <v>1</v>
      </c>
      <c r="C215" s="0" t="s">
        <v>64</v>
      </c>
      <c r="D215" s="0" t="s">
        <v>65</v>
      </c>
      <c r="E215" s="0" t="n">
        <v>0.9</v>
      </c>
      <c r="F215" s="0" t="n">
        <v>3</v>
      </c>
      <c r="G215" s="0" t="n">
        <v>0.46</v>
      </c>
      <c r="H215" s="0" t="n">
        <v>2</v>
      </c>
    </row>
    <row r="216" customFormat="false" ht="18" hidden="false" customHeight="false" outlineLevel="0" collapsed="false">
      <c r="A216" s="0" t="n">
        <v>54</v>
      </c>
      <c r="B216" s="0" t="n">
        <v>2</v>
      </c>
      <c r="C216" s="0" t="s">
        <v>46</v>
      </c>
      <c r="D216" s="0" t="s">
        <v>70</v>
      </c>
      <c r="E216" s="0" t="n">
        <v>0.36</v>
      </c>
      <c r="F216" s="0" t="n">
        <v>2</v>
      </c>
      <c r="G216" s="0" t="n">
        <v>0.1</v>
      </c>
      <c r="H216" s="0" t="n">
        <v>3</v>
      </c>
    </row>
    <row r="217" customFormat="false" ht="18" hidden="false" customHeight="false" outlineLevel="0" collapsed="false">
      <c r="A217" s="0" t="n">
        <v>54</v>
      </c>
      <c r="B217" s="0" t="n">
        <v>3</v>
      </c>
      <c r="C217" s="0" t="s">
        <v>33</v>
      </c>
      <c r="D217" s="0" t="s">
        <v>68</v>
      </c>
      <c r="E217" s="0" t="n">
        <v>0.36</v>
      </c>
      <c r="F217" s="0" t="n">
        <v>2</v>
      </c>
      <c r="G217" s="0" t="n">
        <v>0.1</v>
      </c>
      <c r="H217" s="0" t="n">
        <v>3</v>
      </c>
    </row>
    <row r="218" customFormat="false" ht="18" hidden="false" customHeight="false" outlineLevel="0" collapsed="false">
      <c r="A218" s="0" t="n">
        <v>54</v>
      </c>
      <c r="B218" s="0" t="n">
        <v>4</v>
      </c>
      <c r="C218" s="0" t="n">
        <v>1</v>
      </c>
      <c r="D218" s="0" t="s">
        <v>20</v>
      </c>
      <c r="E218" s="0" t="n">
        <v>0.18</v>
      </c>
      <c r="F218" s="0" t="n">
        <v>1</v>
      </c>
      <c r="G218" s="0" t="n">
        <v>0.46</v>
      </c>
      <c r="H218" s="0" t="n">
        <v>2</v>
      </c>
    </row>
    <row r="219" customFormat="false" ht="18" hidden="false" customHeight="false" outlineLevel="0" collapsed="false">
      <c r="A219" s="0" t="n">
        <v>55</v>
      </c>
      <c r="B219" s="0" t="n">
        <v>1</v>
      </c>
      <c r="C219" s="0" t="s">
        <v>64</v>
      </c>
      <c r="D219" s="0" t="s">
        <v>65</v>
      </c>
      <c r="E219" s="0" t="n">
        <v>0.9</v>
      </c>
      <c r="F219" s="0" t="n">
        <v>3</v>
      </c>
      <c r="G219" s="0" t="n">
        <v>0.46</v>
      </c>
      <c r="H219" s="0" t="n">
        <v>2</v>
      </c>
    </row>
    <row r="220" customFormat="false" ht="18" hidden="false" customHeight="false" outlineLevel="0" collapsed="false">
      <c r="A220" s="0" t="n">
        <v>55</v>
      </c>
      <c r="B220" s="0" t="n">
        <v>2</v>
      </c>
      <c r="C220" s="0" t="s">
        <v>46</v>
      </c>
      <c r="D220" s="0" t="s">
        <v>70</v>
      </c>
      <c r="E220" s="0" t="n">
        <v>0.36</v>
      </c>
      <c r="F220" s="0" t="n">
        <v>2</v>
      </c>
      <c r="G220" s="0" t="n">
        <v>0.1</v>
      </c>
      <c r="H220" s="0" t="n">
        <v>3</v>
      </c>
    </row>
    <row r="221" customFormat="false" ht="18" hidden="false" customHeight="false" outlineLevel="0" collapsed="false">
      <c r="A221" s="0" t="n">
        <v>55</v>
      </c>
      <c r="B221" s="0" t="n">
        <v>3</v>
      </c>
      <c r="C221" s="0" t="s">
        <v>33</v>
      </c>
      <c r="D221" s="0" t="s">
        <v>68</v>
      </c>
      <c r="E221" s="0" t="n">
        <v>0.36</v>
      </c>
      <c r="F221" s="0" t="n">
        <v>2</v>
      </c>
      <c r="G221" s="0" t="n">
        <v>0.1</v>
      </c>
      <c r="H221" s="0" t="n">
        <v>3</v>
      </c>
    </row>
    <row r="222" customFormat="false" ht="18" hidden="false" customHeight="false" outlineLevel="0" collapsed="false">
      <c r="A222" s="0" t="n">
        <v>55</v>
      </c>
      <c r="B222" s="0" t="n">
        <v>4</v>
      </c>
      <c r="C222" s="0" t="n">
        <v>1</v>
      </c>
      <c r="D222" s="0" t="s">
        <v>24</v>
      </c>
      <c r="E222" s="0" t="n">
        <v>0.72</v>
      </c>
      <c r="F222" s="0" t="n">
        <v>3</v>
      </c>
      <c r="G222" s="0" t="n">
        <v>0.46</v>
      </c>
      <c r="H222" s="0" t="n">
        <v>2</v>
      </c>
    </row>
    <row r="223" customFormat="false" ht="18" hidden="false" customHeight="false" outlineLevel="0" collapsed="false">
      <c r="A223" s="0" t="n">
        <v>56</v>
      </c>
      <c r="B223" s="0" t="n">
        <v>1</v>
      </c>
      <c r="C223" s="0" t="s">
        <v>64</v>
      </c>
      <c r="D223" s="0" t="s">
        <v>65</v>
      </c>
      <c r="E223" s="0" t="n">
        <v>0.9</v>
      </c>
      <c r="F223" s="0" t="n">
        <v>3</v>
      </c>
      <c r="G223" s="0" t="n">
        <v>0.46</v>
      </c>
      <c r="H223" s="0" t="n">
        <v>2</v>
      </c>
    </row>
    <row r="224" customFormat="false" ht="18" hidden="false" customHeight="false" outlineLevel="0" collapsed="false">
      <c r="A224" s="0" t="n">
        <v>56</v>
      </c>
      <c r="B224" s="0" t="n">
        <v>2</v>
      </c>
      <c r="C224" s="0" t="s">
        <v>46</v>
      </c>
      <c r="D224" s="0" t="s">
        <v>70</v>
      </c>
      <c r="E224" s="0" t="n">
        <v>0.36</v>
      </c>
      <c r="F224" s="0" t="n">
        <v>2</v>
      </c>
      <c r="G224" s="0" t="n">
        <v>0.1</v>
      </c>
      <c r="H224" s="0" t="n">
        <v>3</v>
      </c>
    </row>
    <row r="225" customFormat="false" ht="18" hidden="false" customHeight="false" outlineLevel="0" collapsed="false">
      <c r="A225" s="0" t="n">
        <v>56</v>
      </c>
      <c r="B225" s="0" t="n">
        <v>3</v>
      </c>
      <c r="C225" s="0" t="s">
        <v>33</v>
      </c>
      <c r="D225" s="0" t="s">
        <v>68</v>
      </c>
      <c r="E225" s="0" t="n">
        <v>0.36</v>
      </c>
      <c r="F225" s="0" t="n">
        <v>2</v>
      </c>
      <c r="G225" s="0" t="n">
        <v>0.1</v>
      </c>
      <c r="H225" s="0" t="n">
        <v>3</v>
      </c>
    </row>
    <row r="226" customFormat="false" ht="18" hidden="false" customHeight="false" outlineLevel="0" collapsed="false">
      <c r="A226" s="0" t="n">
        <v>56</v>
      </c>
      <c r="B226" s="0" t="n">
        <v>4</v>
      </c>
      <c r="C226" s="0" t="n">
        <v>1</v>
      </c>
      <c r="D226" s="0" t="s">
        <v>27</v>
      </c>
      <c r="E226" s="0" t="n">
        <v>0.9</v>
      </c>
      <c r="F226" s="0" t="n">
        <v>3</v>
      </c>
      <c r="G226" s="0" t="n">
        <v>0.1</v>
      </c>
      <c r="H226" s="0" t="n">
        <v>3</v>
      </c>
    </row>
    <row r="227" customFormat="false" ht="18" hidden="false" customHeight="false" outlineLevel="0" collapsed="false">
      <c r="A227" s="0" t="n">
        <v>57</v>
      </c>
      <c r="B227" s="0" t="n">
        <v>1</v>
      </c>
      <c r="C227" s="0" t="s">
        <v>64</v>
      </c>
      <c r="D227" s="0" t="s">
        <v>65</v>
      </c>
      <c r="E227" s="0" t="n">
        <v>0.9</v>
      </c>
      <c r="F227" s="0" t="n">
        <v>3</v>
      </c>
      <c r="G227" s="0" t="n">
        <v>0.46</v>
      </c>
      <c r="H227" s="0" t="n">
        <v>2</v>
      </c>
    </row>
    <row r="228" customFormat="false" ht="18" hidden="false" customHeight="false" outlineLevel="0" collapsed="false">
      <c r="A228" s="0" t="n">
        <v>57</v>
      </c>
      <c r="B228" s="0" t="n">
        <v>2</v>
      </c>
      <c r="C228" s="0" t="s">
        <v>46</v>
      </c>
      <c r="D228" s="0" t="s">
        <v>70</v>
      </c>
      <c r="E228" s="0" t="n">
        <v>0.36</v>
      </c>
      <c r="F228" s="0" t="n">
        <v>2</v>
      </c>
      <c r="G228" s="0" t="n">
        <v>0.1</v>
      </c>
      <c r="H228" s="0" t="n">
        <v>3</v>
      </c>
    </row>
    <row r="229" customFormat="false" ht="18" hidden="false" customHeight="false" outlineLevel="0" collapsed="false">
      <c r="A229" s="0" t="n">
        <v>57</v>
      </c>
      <c r="B229" s="0" t="n">
        <v>3</v>
      </c>
      <c r="C229" s="0" t="s">
        <v>33</v>
      </c>
      <c r="D229" s="0" t="s">
        <v>68</v>
      </c>
      <c r="E229" s="0" t="n">
        <v>0.36</v>
      </c>
      <c r="F229" s="0" t="n">
        <v>2</v>
      </c>
      <c r="G229" s="0" t="n">
        <v>0.1</v>
      </c>
      <c r="H229" s="0" t="n">
        <v>3</v>
      </c>
    </row>
    <row r="230" customFormat="false" ht="18" hidden="false" customHeight="false" outlineLevel="0" collapsed="false">
      <c r="A230" s="0" t="n">
        <v>57</v>
      </c>
      <c r="B230" s="0" t="n">
        <v>4</v>
      </c>
      <c r="C230" s="0" t="n">
        <v>1</v>
      </c>
      <c r="D230" s="0" t="s">
        <v>30</v>
      </c>
      <c r="E230" s="0" t="n">
        <v>0.18</v>
      </c>
      <c r="F230" s="0" t="n">
        <v>1</v>
      </c>
      <c r="G230" s="0" t="n">
        <v>0.46</v>
      </c>
      <c r="H230" s="0" t="n">
        <v>2</v>
      </c>
    </row>
    <row r="231" customFormat="false" ht="18" hidden="false" customHeight="false" outlineLevel="0" collapsed="false">
      <c r="A231" s="0" t="n">
        <v>58</v>
      </c>
      <c r="B231" s="0" t="n">
        <v>1</v>
      </c>
      <c r="C231" s="0" t="s">
        <v>64</v>
      </c>
      <c r="D231" s="0" t="s">
        <v>65</v>
      </c>
      <c r="E231" s="0" t="n">
        <v>0.9</v>
      </c>
      <c r="F231" s="0" t="n">
        <v>3</v>
      </c>
      <c r="G231" s="0" t="n">
        <v>0.46</v>
      </c>
      <c r="H231" s="0" t="n">
        <v>2</v>
      </c>
    </row>
    <row r="232" customFormat="false" ht="18" hidden="false" customHeight="false" outlineLevel="0" collapsed="false">
      <c r="A232" s="0" t="n">
        <v>58</v>
      </c>
      <c r="B232" s="0" t="n">
        <v>2</v>
      </c>
      <c r="C232" s="0" t="s">
        <v>46</v>
      </c>
      <c r="D232" s="0" t="s">
        <v>70</v>
      </c>
      <c r="E232" s="0" t="n">
        <v>0.36</v>
      </c>
      <c r="F232" s="0" t="n">
        <v>2</v>
      </c>
      <c r="G232" s="0" t="n">
        <v>0.1</v>
      </c>
      <c r="H232" s="0" t="n">
        <v>3</v>
      </c>
    </row>
    <row r="233" customFormat="false" ht="18" hidden="false" customHeight="false" outlineLevel="0" collapsed="false">
      <c r="A233" s="0" t="n">
        <v>58</v>
      </c>
      <c r="B233" s="0" t="n">
        <v>3</v>
      </c>
      <c r="C233" s="0" t="s">
        <v>36</v>
      </c>
      <c r="D233" s="0" t="s">
        <v>69</v>
      </c>
      <c r="E233" s="0" t="n">
        <v>0.36</v>
      </c>
      <c r="F233" s="0" t="n">
        <v>2</v>
      </c>
      <c r="G233" s="0" t="n">
        <v>0.1</v>
      </c>
      <c r="H233" s="0" t="n">
        <v>3</v>
      </c>
    </row>
    <row r="234" customFormat="false" ht="18" hidden="false" customHeight="false" outlineLevel="0" collapsed="false">
      <c r="A234" s="0" t="n">
        <v>58</v>
      </c>
      <c r="B234" s="0" t="n">
        <v>4</v>
      </c>
      <c r="C234" s="0" t="n">
        <v>1</v>
      </c>
      <c r="D234" s="0" t="s">
        <v>20</v>
      </c>
      <c r="E234" s="0" t="n">
        <v>0.18</v>
      </c>
      <c r="F234" s="0" t="n">
        <v>1</v>
      </c>
      <c r="G234" s="0" t="n">
        <v>0.46</v>
      </c>
      <c r="H234" s="0" t="n">
        <v>2</v>
      </c>
    </row>
    <row r="235" customFormat="false" ht="18" hidden="false" customHeight="false" outlineLevel="0" collapsed="false">
      <c r="A235" s="0" t="n">
        <v>59</v>
      </c>
      <c r="B235" s="0" t="n">
        <v>1</v>
      </c>
      <c r="C235" s="0" t="s">
        <v>64</v>
      </c>
      <c r="D235" s="0" t="s">
        <v>65</v>
      </c>
      <c r="E235" s="0" t="n">
        <v>0.9</v>
      </c>
      <c r="F235" s="0" t="n">
        <v>3</v>
      </c>
      <c r="G235" s="0" t="n">
        <v>0.46</v>
      </c>
      <c r="H235" s="0" t="n">
        <v>2</v>
      </c>
    </row>
    <row r="236" customFormat="false" ht="18" hidden="false" customHeight="false" outlineLevel="0" collapsed="false">
      <c r="A236" s="0" t="n">
        <v>59</v>
      </c>
      <c r="B236" s="0" t="n">
        <v>2</v>
      </c>
      <c r="C236" s="0" t="s">
        <v>46</v>
      </c>
      <c r="D236" s="0" t="s">
        <v>70</v>
      </c>
      <c r="E236" s="0" t="n">
        <v>0.36</v>
      </c>
      <c r="F236" s="0" t="n">
        <v>2</v>
      </c>
      <c r="G236" s="0" t="n">
        <v>0.1</v>
      </c>
      <c r="H236" s="0" t="n">
        <v>3</v>
      </c>
    </row>
    <row r="237" customFormat="false" ht="18" hidden="false" customHeight="false" outlineLevel="0" collapsed="false">
      <c r="A237" s="0" t="n">
        <v>59</v>
      </c>
      <c r="B237" s="0" t="n">
        <v>3</v>
      </c>
      <c r="C237" s="0" t="s">
        <v>36</v>
      </c>
      <c r="D237" s="0" t="s">
        <v>69</v>
      </c>
      <c r="E237" s="0" t="n">
        <v>0.36</v>
      </c>
      <c r="F237" s="0" t="n">
        <v>2</v>
      </c>
      <c r="G237" s="0" t="n">
        <v>0.1</v>
      </c>
      <c r="H237" s="0" t="n">
        <v>3</v>
      </c>
    </row>
    <row r="238" customFormat="false" ht="18" hidden="false" customHeight="false" outlineLevel="0" collapsed="false">
      <c r="A238" s="0" t="n">
        <v>59</v>
      </c>
      <c r="B238" s="0" t="n">
        <v>4</v>
      </c>
      <c r="C238" s="0" t="n">
        <v>1</v>
      </c>
      <c r="D238" s="0" t="s">
        <v>24</v>
      </c>
      <c r="E238" s="0" t="n">
        <v>0.72</v>
      </c>
      <c r="F238" s="0" t="n">
        <v>3</v>
      </c>
      <c r="G238" s="0" t="n">
        <v>0.46</v>
      </c>
      <c r="H238" s="0" t="n">
        <v>2</v>
      </c>
    </row>
    <row r="239" customFormat="false" ht="18" hidden="false" customHeight="false" outlineLevel="0" collapsed="false">
      <c r="A239" s="0" t="n">
        <v>60</v>
      </c>
      <c r="B239" s="0" t="n">
        <v>1</v>
      </c>
      <c r="C239" s="0" t="s">
        <v>64</v>
      </c>
      <c r="D239" s="0" t="s">
        <v>65</v>
      </c>
      <c r="E239" s="0" t="n">
        <v>0.9</v>
      </c>
      <c r="F239" s="0" t="n">
        <v>3</v>
      </c>
      <c r="G239" s="0" t="n">
        <v>0.46</v>
      </c>
      <c r="H239" s="0" t="n">
        <v>2</v>
      </c>
    </row>
    <row r="240" customFormat="false" ht="18" hidden="false" customHeight="false" outlineLevel="0" collapsed="false">
      <c r="A240" s="0" t="n">
        <v>60</v>
      </c>
      <c r="B240" s="0" t="n">
        <v>2</v>
      </c>
      <c r="C240" s="0" t="s">
        <v>46</v>
      </c>
      <c r="D240" s="0" t="s">
        <v>70</v>
      </c>
      <c r="E240" s="0" t="n">
        <v>0.36</v>
      </c>
      <c r="F240" s="0" t="n">
        <v>2</v>
      </c>
      <c r="G240" s="0" t="n">
        <v>0.1</v>
      </c>
      <c r="H240" s="0" t="n">
        <v>3</v>
      </c>
    </row>
    <row r="241" customFormat="false" ht="18" hidden="false" customHeight="false" outlineLevel="0" collapsed="false">
      <c r="A241" s="0" t="n">
        <v>60</v>
      </c>
      <c r="B241" s="0" t="n">
        <v>3</v>
      </c>
      <c r="C241" s="0" t="s">
        <v>36</v>
      </c>
      <c r="D241" s="0" t="s">
        <v>69</v>
      </c>
      <c r="E241" s="0" t="n">
        <v>0.36</v>
      </c>
      <c r="F241" s="0" t="n">
        <v>2</v>
      </c>
      <c r="G241" s="0" t="n">
        <v>0.1</v>
      </c>
      <c r="H241" s="0" t="n">
        <v>3</v>
      </c>
    </row>
    <row r="242" customFormat="false" ht="18" hidden="false" customHeight="false" outlineLevel="0" collapsed="false">
      <c r="A242" s="0" t="n">
        <v>60</v>
      </c>
      <c r="B242" s="0" t="n">
        <v>4</v>
      </c>
      <c r="C242" s="0" t="n">
        <v>1</v>
      </c>
      <c r="D242" s="0" t="s">
        <v>27</v>
      </c>
      <c r="E242" s="0" t="n">
        <v>0.9</v>
      </c>
      <c r="F242" s="0" t="n">
        <v>3</v>
      </c>
      <c r="G242" s="0" t="n">
        <v>0.1</v>
      </c>
      <c r="H242" s="0" t="n">
        <v>3</v>
      </c>
    </row>
    <row r="243" customFormat="false" ht="18" hidden="false" customHeight="false" outlineLevel="0" collapsed="false">
      <c r="A243" s="0" t="n">
        <v>61</v>
      </c>
      <c r="B243" s="0" t="n">
        <v>1</v>
      </c>
      <c r="C243" s="0" t="s">
        <v>64</v>
      </c>
      <c r="D243" s="0" t="s">
        <v>65</v>
      </c>
      <c r="E243" s="0" t="n">
        <v>0.9</v>
      </c>
      <c r="F243" s="0" t="n">
        <v>3</v>
      </c>
      <c r="G243" s="0" t="n">
        <v>0.46</v>
      </c>
      <c r="H243" s="0" t="n">
        <v>2</v>
      </c>
    </row>
    <row r="244" customFormat="false" ht="18" hidden="false" customHeight="false" outlineLevel="0" collapsed="false">
      <c r="A244" s="0" t="n">
        <v>61</v>
      </c>
      <c r="B244" s="0" t="n">
        <v>2</v>
      </c>
      <c r="C244" s="0" t="s">
        <v>46</v>
      </c>
      <c r="D244" s="0" t="s">
        <v>70</v>
      </c>
      <c r="E244" s="0" t="n">
        <v>0.36</v>
      </c>
      <c r="F244" s="0" t="n">
        <v>2</v>
      </c>
      <c r="G244" s="0" t="n">
        <v>0.1</v>
      </c>
      <c r="H244" s="0" t="n">
        <v>3</v>
      </c>
    </row>
    <row r="245" customFormat="false" ht="18" hidden="false" customHeight="false" outlineLevel="0" collapsed="false">
      <c r="A245" s="0" t="n">
        <v>61</v>
      </c>
      <c r="B245" s="0" t="n">
        <v>3</v>
      </c>
      <c r="C245" s="0" t="s">
        <v>36</v>
      </c>
      <c r="D245" s="0" t="s">
        <v>69</v>
      </c>
      <c r="E245" s="0" t="n">
        <v>0.36</v>
      </c>
      <c r="F245" s="0" t="n">
        <v>2</v>
      </c>
      <c r="G245" s="0" t="n">
        <v>0.1</v>
      </c>
      <c r="H245" s="0" t="n">
        <v>3</v>
      </c>
    </row>
    <row r="246" customFormat="false" ht="18" hidden="false" customHeight="false" outlineLevel="0" collapsed="false">
      <c r="A246" s="0" t="n">
        <v>61</v>
      </c>
      <c r="B246" s="0" t="n">
        <v>4</v>
      </c>
      <c r="C246" s="0" t="n">
        <v>1</v>
      </c>
      <c r="D246" s="0" t="s">
        <v>30</v>
      </c>
      <c r="E246" s="0" t="n">
        <v>0.18</v>
      </c>
      <c r="F246" s="0" t="n">
        <v>1</v>
      </c>
      <c r="G246" s="0" t="n">
        <v>0.46</v>
      </c>
      <c r="H246" s="0" t="n">
        <v>2</v>
      </c>
    </row>
    <row r="247" customFormat="false" ht="18" hidden="false" customHeight="false" outlineLevel="0" collapsed="false">
      <c r="A247" s="0" t="n">
        <v>62</v>
      </c>
      <c r="B247" s="0" t="n">
        <v>1</v>
      </c>
      <c r="C247" s="0" t="s">
        <v>64</v>
      </c>
      <c r="D247" s="0" t="s">
        <v>65</v>
      </c>
      <c r="E247" s="0" t="n">
        <v>0.9</v>
      </c>
      <c r="F247" s="0" t="n">
        <v>3</v>
      </c>
      <c r="G247" s="0" t="n">
        <v>0.46</v>
      </c>
      <c r="H247" s="0" t="n">
        <v>2</v>
      </c>
    </row>
    <row r="248" customFormat="false" ht="18" hidden="false" customHeight="false" outlineLevel="0" collapsed="false">
      <c r="A248" s="0" t="n">
        <v>62</v>
      </c>
      <c r="B248" s="0" t="n">
        <v>2</v>
      </c>
      <c r="C248" s="0" t="s">
        <v>46</v>
      </c>
      <c r="D248" s="0" t="s">
        <v>70</v>
      </c>
      <c r="E248" s="0" t="n">
        <v>0.36</v>
      </c>
      <c r="F248" s="0" t="n">
        <v>2</v>
      </c>
      <c r="G248" s="0" t="n">
        <v>0.1</v>
      </c>
      <c r="H248" s="0" t="n">
        <v>3</v>
      </c>
    </row>
    <row r="249" customFormat="false" ht="18" hidden="false" customHeight="false" outlineLevel="0" collapsed="false">
      <c r="A249" s="0" t="n">
        <v>62</v>
      </c>
      <c r="B249" s="0" t="n">
        <v>3</v>
      </c>
      <c r="C249" s="0" t="s">
        <v>39</v>
      </c>
      <c r="D249" s="0" t="s">
        <v>70</v>
      </c>
      <c r="E249" s="0" t="n">
        <v>0.36</v>
      </c>
      <c r="F249" s="0" t="n">
        <v>2</v>
      </c>
      <c r="G249" s="0" t="n">
        <v>0.1</v>
      </c>
      <c r="H249" s="0" t="n">
        <v>3</v>
      </c>
    </row>
    <row r="250" customFormat="false" ht="18" hidden="false" customHeight="false" outlineLevel="0" collapsed="false">
      <c r="A250" s="0" t="n">
        <v>62</v>
      </c>
      <c r="B250" s="0" t="n">
        <v>4</v>
      </c>
      <c r="C250" s="0" t="n">
        <v>1</v>
      </c>
      <c r="D250" s="0" t="s">
        <v>20</v>
      </c>
      <c r="E250" s="0" t="n">
        <v>0.18</v>
      </c>
      <c r="F250" s="0" t="n">
        <v>1</v>
      </c>
      <c r="G250" s="0" t="n">
        <v>0.46</v>
      </c>
      <c r="H250" s="0" t="n">
        <v>2</v>
      </c>
    </row>
    <row r="251" customFormat="false" ht="18" hidden="false" customHeight="false" outlineLevel="0" collapsed="false">
      <c r="A251" s="0" t="n">
        <v>63</v>
      </c>
      <c r="B251" s="0" t="n">
        <v>1</v>
      </c>
      <c r="C251" s="0" t="s">
        <v>64</v>
      </c>
      <c r="D251" s="0" t="s">
        <v>65</v>
      </c>
      <c r="E251" s="0" t="n">
        <v>0.9</v>
      </c>
      <c r="F251" s="0" t="n">
        <v>3</v>
      </c>
      <c r="G251" s="0" t="n">
        <v>0.46</v>
      </c>
      <c r="H251" s="0" t="n">
        <v>2</v>
      </c>
    </row>
    <row r="252" customFormat="false" ht="18" hidden="false" customHeight="false" outlineLevel="0" collapsed="false">
      <c r="A252" s="0" t="n">
        <v>63</v>
      </c>
      <c r="B252" s="0" t="n">
        <v>2</v>
      </c>
      <c r="C252" s="0" t="s">
        <v>46</v>
      </c>
      <c r="D252" s="0" t="s">
        <v>70</v>
      </c>
      <c r="E252" s="0" t="n">
        <v>0.36</v>
      </c>
      <c r="F252" s="0" t="n">
        <v>2</v>
      </c>
      <c r="G252" s="0" t="n">
        <v>0.1</v>
      </c>
      <c r="H252" s="0" t="n">
        <v>3</v>
      </c>
    </row>
    <row r="253" customFormat="false" ht="18" hidden="false" customHeight="false" outlineLevel="0" collapsed="false">
      <c r="A253" s="0" t="n">
        <v>63</v>
      </c>
      <c r="B253" s="0" t="n">
        <v>3</v>
      </c>
      <c r="C253" s="0" t="s">
        <v>39</v>
      </c>
      <c r="D253" s="0" t="s">
        <v>70</v>
      </c>
      <c r="E253" s="0" t="n">
        <v>0.36</v>
      </c>
      <c r="F253" s="0" t="n">
        <v>2</v>
      </c>
      <c r="G253" s="0" t="n">
        <v>0.1</v>
      </c>
      <c r="H253" s="0" t="n">
        <v>3</v>
      </c>
    </row>
    <row r="254" customFormat="false" ht="18" hidden="false" customHeight="false" outlineLevel="0" collapsed="false">
      <c r="A254" s="0" t="n">
        <v>63</v>
      </c>
      <c r="B254" s="0" t="n">
        <v>4</v>
      </c>
      <c r="C254" s="0" t="n">
        <v>1</v>
      </c>
      <c r="D254" s="0" t="s">
        <v>24</v>
      </c>
      <c r="E254" s="0" t="n">
        <v>0.72</v>
      </c>
      <c r="F254" s="0" t="n">
        <v>3</v>
      </c>
      <c r="G254" s="0" t="n">
        <v>0.46</v>
      </c>
      <c r="H254" s="0" t="n">
        <v>2</v>
      </c>
    </row>
    <row r="255" customFormat="false" ht="18" hidden="false" customHeight="false" outlineLevel="0" collapsed="false">
      <c r="A255" s="0" t="n">
        <v>64</v>
      </c>
      <c r="B255" s="0" t="n">
        <v>1</v>
      </c>
      <c r="C255" s="0" t="s">
        <v>64</v>
      </c>
      <c r="D255" s="0" t="s">
        <v>65</v>
      </c>
      <c r="E255" s="0" t="n">
        <v>0.9</v>
      </c>
      <c r="F255" s="0" t="n">
        <v>3</v>
      </c>
      <c r="G255" s="0" t="n">
        <v>0.46</v>
      </c>
      <c r="H255" s="0" t="n">
        <v>2</v>
      </c>
    </row>
    <row r="256" customFormat="false" ht="18" hidden="false" customHeight="false" outlineLevel="0" collapsed="false">
      <c r="A256" s="0" t="n">
        <v>64</v>
      </c>
      <c r="B256" s="0" t="n">
        <v>2</v>
      </c>
      <c r="C256" s="0" t="s">
        <v>46</v>
      </c>
      <c r="D256" s="0" t="s">
        <v>70</v>
      </c>
      <c r="E256" s="0" t="n">
        <v>0.36</v>
      </c>
      <c r="F256" s="0" t="n">
        <v>2</v>
      </c>
      <c r="G256" s="0" t="n">
        <v>0.1</v>
      </c>
      <c r="H256" s="0" t="n">
        <v>3</v>
      </c>
    </row>
    <row r="257" customFormat="false" ht="18" hidden="false" customHeight="false" outlineLevel="0" collapsed="false">
      <c r="A257" s="0" t="n">
        <v>64</v>
      </c>
      <c r="B257" s="0" t="n">
        <v>3</v>
      </c>
      <c r="C257" s="0" t="s">
        <v>39</v>
      </c>
      <c r="D257" s="0" t="s">
        <v>70</v>
      </c>
      <c r="E257" s="0" t="n">
        <v>0.36</v>
      </c>
      <c r="F257" s="0" t="n">
        <v>2</v>
      </c>
      <c r="G257" s="0" t="n">
        <v>0.1</v>
      </c>
      <c r="H257" s="0" t="n">
        <v>3</v>
      </c>
    </row>
    <row r="258" customFormat="false" ht="18" hidden="false" customHeight="false" outlineLevel="0" collapsed="false">
      <c r="A258" s="0" t="n">
        <v>64</v>
      </c>
      <c r="B258" s="0" t="n">
        <v>4</v>
      </c>
      <c r="C258" s="0" t="n">
        <v>1</v>
      </c>
      <c r="D258" s="0" t="s">
        <v>27</v>
      </c>
      <c r="E258" s="0" t="n">
        <v>0.9</v>
      </c>
      <c r="F258" s="0" t="n">
        <v>3</v>
      </c>
      <c r="G258" s="0" t="n">
        <v>0.1</v>
      </c>
      <c r="H258" s="0" t="n">
        <v>3</v>
      </c>
    </row>
    <row r="259" customFormat="false" ht="18" hidden="false" customHeight="false" outlineLevel="0" collapsed="false">
      <c r="A259" s="0" t="n">
        <v>65</v>
      </c>
      <c r="B259" s="0" t="n">
        <v>1</v>
      </c>
      <c r="C259" s="0" t="s">
        <v>64</v>
      </c>
      <c r="D259" s="0" t="s">
        <v>65</v>
      </c>
      <c r="E259" s="0" t="n">
        <v>0.9</v>
      </c>
      <c r="F259" s="0" t="n">
        <v>3</v>
      </c>
      <c r="G259" s="0" t="n">
        <v>0.46</v>
      </c>
      <c r="H259" s="0" t="n">
        <v>2</v>
      </c>
    </row>
    <row r="260" customFormat="false" ht="18" hidden="false" customHeight="false" outlineLevel="0" collapsed="false">
      <c r="A260" s="0" t="n">
        <v>65</v>
      </c>
      <c r="B260" s="0" t="n">
        <v>2</v>
      </c>
      <c r="C260" s="0" t="s">
        <v>46</v>
      </c>
      <c r="D260" s="0" t="s">
        <v>70</v>
      </c>
      <c r="E260" s="0" t="n">
        <v>0.36</v>
      </c>
      <c r="F260" s="0" t="n">
        <v>2</v>
      </c>
      <c r="G260" s="0" t="n">
        <v>0.1</v>
      </c>
      <c r="H260" s="0" t="n">
        <v>3</v>
      </c>
    </row>
    <row r="261" customFormat="false" ht="18" hidden="false" customHeight="false" outlineLevel="0" collapsed="false">
      <c r="A261" s="0" t="n">
        <v>65</v>
      </c>
      <c r="B261" s="0" t="n">
        <v>3</v>
      </c>
      <c r="C261" s="0" t="s">
        <v>39</v>
      </c>
      <c r="D261" s="0" t="s">
        <v>70</v>
      </c>
      <c r="E261" s="0" t="n">
        <v>0.36</v>
      </c>
      <c r="F261" s="0" t="n">
        <v>2</v>
      </c>
      <c r="G261" s="0" t="n">
        <v>0.1</v>
      </c>
      <c r="H261" s="0" t="n">
        <v>3</v>
      </c>
    </row>
    <row r="262" customFormat="false" ht="18" hidden="false" customHeight="false" outlineLevel="0" collapsed="false">
      <c r="A262" s="0" t="n">
        <v>65</v>
      </c>
      <c r="B262" s="0" t="n">
        <v>4</v>
      </c>
      <c r="C262" s="0" t="n">
        <v>1</v>
      </c>
      <c r="D262" s="0" t="s">
        <v>30</v>
      </c>
      <c r="E262" s="0" t="n">
        <v>0.18</v>
      </c>
      <c r="F262" s="0" t="n">
        <v>1</v>
      </c>
      <c r="G262" s="0" t="n">
        <v>0.46</v>
      </c>
      <c r="H262" s="0"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8" zeroHeight="false" outlineLevelRow="0" outlineLevelCol="0"/>
  <sheetData>
    <row r="1" customFormat="false" ht="18" hidden="false" customHeight="false" outlineLevel="0" collapsed="false">
      <c r="A1" s="12" t="s">
        <v>73</v>
      </c>
      <c r="B1" s="11"/>
    </row>
    <row r="2" customFormat="false" ht="18" hidden="false" customHeight="false" outlineLevel="0" collapsed="false">
      <c r="A2" s="0" t="s">
        <v>2</v>
      </c>
      <c r="B2" s="4" t="s">
        <v>74</v>
      </c>
    </row>
    <row r="3" customFormat="false" ht="18" hidden="false" customHeight="false" outlineLevel="0" collapsed="false">
      <c r="A3" s="0" t="s">
        <v>3</v>
      </c>
      <c r="B3" s="0" t="s">
        <v>75</v>
      </c>
    </row>
    <row r="4" customFormat="false" ht="18" hidden="false" customHeight="false" outlineLevel="0" collapsed="false">
      <c r="A4" s="0" t="s">
        <v>4</v>
      </c>
      <c r="B4" s="0" t="s">
        <v>76</v>
      </c>
    </row>
    <row r="5" customFormat="false" ht="18" hidden="false" customHeight="false" outlineLevel="0" collapsed="false">
      <c r="A5" s="0" t="s">
        <v>5</v>
      </c>
      <c r="B5" s="0" t="s">
        <v>77</v>
      </c>
    </row>
    <row r="7" customFormat="false" ht="18" hidden="false" customHeight="false" outlineLevel="0" collapsed="false">
      <c r="A7" s="0" t="s">
        <v>78</v>
      </c>
      <c r="B7" s="0" t="s">
        <v>51</v>
      </c>
    </row>
    <row r="8" customFormat="false" ht="18" hidden="false" customHeight="false" outlineLevel="0" collapsed="false">
      <c r="A8" s="0" t="s">
        <v>79</v>
      </c>
      <c r="B8" s="0" t="s">
        <v>53</v>
      </c>
    </row>
    <row r="10" customFormat="false" ht="18" hidden="false" customHeight="false" outlineLevel="0" collapsed="false">
      <c r="A10" s="4" t="s">
        <v>80</v>
      </c>
    </row>
    <row r="11" customFormat="false" ht="18" hidden="false" customHeight="false" outlineLevel="0" collapsed="false">
      <c r="A11" s="0" t="s">
        <v>81</v>
      </c>
      <c r="B11" s="0" t="s">
        <v>82</v>
      </c>
    </row>
    <row r="12" customFormat="false" ht="18" hidden="false" customHeight="false" outlineLevel="0" collapsed="false">
      <c r="A12" s="0" t="s">
        <v>83</v>
      </c>
      <c r="B12" s="0" t="s">
        <v>84</v>
      </c>
    </row>
    <row r="13" customFormat="false" ht="18" hidden="false" customHeight="false" outlineLevel="0" collapsed="false">
      <c r="A13" s="0" t="s">
        <v>85</v>
      </c>
      <c r="B13" s="0" t="s">
        <v>86</v>
      </c>
    </row>
    <row r="14" customFormat="false" ht="18" hidden="false" customHeight="false" outlineLevel="0" collapsed="false">
      <c r="A14" s="0" t="s">
        <v>87</v>
      </c>
      <c r="B14" s="0" t="s">
        <v>88</v>
      </c>
    </row>
    <row r="15" customFormat="false" ht="18" hidden="false" customHeight="false" outlineLevel="0" collapsed="false">
      <c r="A15" s="0" t="s">
        <v>89</v>
      </c>
      <c r="B15" s="0" t="s">
        <v>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2025-07-22T13:50:52Z</dcterms:created>
  <dc:creator>user</dc:creator>
  <dc:description/>
  <dc:language>en-US</dc:language>
  <cp:lastModifiedBy>吉也 伊藤</cp:lastModifiedBy>
  <dcterms:modified xsi:type="dcterms:W3CDTF">2026-04-16T07:25:49Z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