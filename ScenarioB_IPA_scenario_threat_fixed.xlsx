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0" yWindow="1540" windowWidth="18770" windowHeight="10460" tabRatio="600" firstSheet="0" activeTab="0" autoFilterDateGrouping="1"/>
  </bookViews>
  <sheets>
    <sheet xmlns:r="http://schemas.openxmlformats.org/officeDocument/2006/relationships" name="ScenarioB_Attack_Paths_IPA_2025" sheetId="1" state="visible" r:id="rId1"/>
    <sheet xmlns:r="http://schemas.openxmlformats.org/officeDocument/2006/relationships" name="SPRV_Mi_to_IPA" sheetId="2" state="visible" r:id="rId2"/>
    <sheet xmlns:r="http://schemas.openxmlformats.org/officeDocument/2006/relationships" name="IPA_Risk_Rules" sheetId="3" state="visible" r:id="rId3"/>
    <sheet xmlns:r="http://schemas.openxmlformats.org/officeDocument/2006/relationships" name="SPRV_Source_For_Formulas" sheetId="4" state="visible" r:id="rId4"/>
    <sheet xmlns:r="http://schemas.openxmlformats.org/officeDocument/2006/relationships" name="Transfer_Readme" sheetId="5" state="visible" r:id="rId5"/>
  </sheets>
  <definedNames>
    <definedName name="_xlnm._FilterDatabase" localSheetId="0" hidden="1">'ScenarioB_Attack_Paths_IPA_2025'!$A$1:$AP$1</definedName>
  </definedNames>
  <calcPr calcId="191029" fullCalcOnLoad="1"/>
</workbook>
</file>

<file path=xl/styles.xml><?xml version="1.0" encoding="utf-8"?>
<styleSheet xmlns="http://schemas.openxmlformats.org/spreadsheetml/2006/main">
  <numFmts count="0"/>
  <fonts count="5">
    <font>
      <name val="游ゴシック"/>
      <charset val="128"/>
      <family val="2"/>
      <color theme="1"/>
      <sz val="11"/>
      <scheme val="minor"/>
    </font>
    <font>
      <name val="游ゴシック"/>
      <charset val="128"/>
      <family val="2"/>
      <sz val="6"/>
      <scheme val="minor"/>
    </font>
    <font>
      <name val="游ゴシック"/>
      <charset val="128"/>
      <family val="3"/>
      <b val="1"/>
      <sz val="11"/>
    </font>
    <font>
      <name val="游ゴシック"/>
      <charset val="128"/>
      <family val="3"/>
      <b val="1"/>
      <sz val="11"/>
    </font>
    <font>
      <name val="游ゴシック"/>
      <charset val="128"/>
      <family val="3"/>
      <sz val="11"/>
    </font>
  </fonts>
  <fills count="6">
    <fill>
      <patternFill/>
    </fill>
    <fill>
      <patternFill patternType="gray125"/>
    </fill>
    <fill>
      <patternFill patternType="solid">
        <fgColor rgb="FFFFF2CC"/>
      </patternFill>
    </fill>
    <fill>
      <patternFill patternType="solid">
        <fgColor rgb="FFD9EAF7"/>
      </patternFill>
    </fill>
    <fill>
      <patternFill patternType="solid">
        <fgColor rgb="FFFFF2CC"/>
      </patternFill>
    </fill>
    <fill>
      <patternFill patternType="solid">
        <fgColor rgb="00FFF2CC"/>
      </patternFill>
    </fill>
  </fills>
  <borders count="1">
    <border>
      <left/>
      <right/>
      <top/>
      <bottom/>
      <diagonal/>
    </border>
  </borders>
  <cellStyleXfs count="1">
    <xf numFmtId="0" fontId="0" fillId="0" borderId="0" applyAlignment="1">
      <alignment vertical="center"/>
    </xf>
  </cellStyleXfs>
  <cellXfs count="10">
    <xf numFmtId="0" fontId="0" fillId="0" borderId="0" applyAlignment="1" pivotButton="0" quotePrefix="0" xfId="0">
      <alignment vertical="center"/>
    </xf>
    <xf numFmtId="0" fontId="0" fillId="0" borderId="0" pivotButton="0" quotePrefix="0" xfId="0"/>
    <xf numFmtId="0" fontId="2" fillId="2" borderId="0" pivotButton="0" quotePrefix="0" xfId="0"/>
    <xf numFmtId="0" fontId="0" fillId="4" borderId="0" applyAlignment="1" pivotButton="0" quotePrefix="0" xfId="0">
      <alignment vertical="center"/>
    </xf>
    <xf numFmtId="0" fontId="0" fillId="4" borderId="0" applyAlignment="1" pivotButton="0" quotePrefix="0" xfId="0">
      <alignment horizontal="center" vertical="center"/>
    </xf>
    <xf numFmtId="0" fontId="3" fillId="3" borderId="0" pivotButton="0" quotePrefix="0" xfId="0"/>
    <xf numFmtId="0" fontId="3" fillId="0" borderId="0" pivotButton="0" quotePrefix="0" xfId="0"/>
    <xf numFmtId="0" fontId="4" fillId="0" borderId="0" pivotButton="0" quotePrefix="0" xfId="0"/>
    <xf numFmtId="0" fontId="0" fillId="5" borderId="0" applyAlignment="1" pivotButton="0" quotePrefix="0" xfId="0">
      <alignment vertical="center"/>
    </xf>
    <xf numFmtId="0" fontId="0" fillId="5" borderId="0" applyAlignment="1" pivotButton="0" quotePrefix="0" xfId="0">
      <alignment horizontal="center" vertical="center"/>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Q65"/>
  <sheetViews>
    <sheetView tabSelected="1" topLeftCell="AD1" workbookViewId="0">
      <selection activeCell="AC4" sqref="AC4"/>
    </sheetView>
  </sheetViews>
  <sheetFormatPr baseColWidth="8" defaultRowHeight="18"/>
  <cols>
    <col width="27.33203125" customWidth="1" style="1" min="3" max="3"/>
    <col width="25.83203125" customWidth="1" style="1" min="4" max="4"/>
    <col width="17.5" customWidth="1" style="1" min="11" max="11"/>
    <col width="27.25" customWidth="1" style="1" min="12" max="12"/>
    <col width="27.9140625" customWidth="1" style="1" min="20" max="20"/>
    <col width="25.83203125" customWidth="1" style="1" min="21" max="21"/>
    <col width="31.9140625" customWidth="1" style="1" min="29" max="29"/>
    <col width="54.25" customWidth="1" style="1" min="30" max="30"/>
  </cols>
  <sheetData>
    <row r="1">
      <c r="A1" s="0" t="inlineStr">
        <is>
          <t>No</t>
        </is>
      </c>
      <c r="B1" s="0" t="inlineStr">
        <is>
          <t>Step1_TechniqueID</t>
        </is>
      </c>
      <c r="C1" s="0" t="inlineStr">
        <is>
          <t>Step1_TargetAsset</t>
        </is>
      </c>
      <c r="D1" s="0" t="inlineStr">
        <is>
          <t>description</t>
        </is>
      </c>
      <c r="E1" s="0" t="inlineStr">
        <is>
          <t>Business Impact</t>
        </is>
      </c>
      <c r="F1" s="0" t="inlineStr">
        <is>
          <t>Threat</t>
        </is>
      </c>
      <c r="G1" s="0" t="inlineStr">
        <is>
          <t>Mitigation</t>
        </is>
      </c>
      <c r="H1" s="0" t="inlineStr">
        <is>
          <t>Vulnerability</t>
        </is>
      </c>
      <c r="I1" s="0" t="inlineStr">
        <is>
          <t>Risk Score</t>
        </is>
      </c>
      <c r="J1" s="0" t="inlineStr">
        <is>
          <t>対策根拠（既知脆弱性）</t>
        </is>
      </c>
      <c r="K1" s="0" t="inlineStr">
        <is>
          <t>Step2_TechniqueID</t>
        </is>
      </c>
      <c r="L1" s="0" t="inlineStr">
        <is>
          <t>Step2_TargetAsset</t>
        </is>
      </c>
      <c r="M1" s="0" t="inlineStr">
        <is>
          <t>description</t>
        </is>
      </c>
      <c r="N1" s="0" t="inlineStr">
        <is>
          <t>Business Impact</t>
        </is>
      </c>
      <c r="O1" s="0" t="inlineStr">
        <is>
          <t>Threat</t>
        </is>
      </c>
      <c r="P1" s="0" t="inlineStr">
        <is>
          <t>Mitigation</t>
        </is>
      </c>
      <c r="Q1" s="0" t="inlineStr">
        <is>
          <t>Vulnerability</t>
        </is>
      </c>
      <c r="R1" s="0" t="inlineStr">
        <is>
          <t>Risk Score</t>
        </is>
      </c>
      <c r="S1" s="0" t="inlineStr">
        <is>
          <t>対策根拠</t>
        </is>
      </c>
      <c r="T1" s="0" t="inlineStr">
        <is>
          <t>Step3_TechniqueID</t>
        </is>
      </c>
      <c r="U1" s="0" t="inlineStr">
        <is>
          <t>Step3_TargetAsset</t>
        </is>
      </c>
      <c r="V1" s="0" t="inlineStr">
        <is>
          <t>description</t>
        </is>
      </c>
      <c r="W1" s="0" t="inlineStr">
        <is>
          <t>Business Impact</t>
        </is>
      </c>
      <c r="X1" s="0" t="inlineStr">
        <is>
          <t>Threat</t>
        </is>
      </c>
      <c r="Y1" s="0" t="inlineStr">
        <is>
          <t>Mitigation</t>
        </is>
      </c>
      <c r="Z1" s="0" t="inlineStr">
        <is>
          <t>Vulnerability</t>
        </is>
      </c>
      <c r="AA1" s="0" t="inlineStr">
        <is>
          <t>Risk Score</t>
        </is>
      </c>
      <c r="AB1" s="0" t="inlineStr">
        <is>
          <t>対策根拠</t>
        </is>
      </c>
      <c r="AC1" s="0" t="inlineStr">
        <is>
          <t>Step4_TechniqueID</t>
        </is>
      </c>
      <c r="AD1" s="0" t="inlineStr">
        <is>
          <t>Step4_TargetAsset</t>
        </is>
      </c>
      <c r="AE1" s="0" t="inlineStr">
        <is>
          <t>description</t>
        </is>
      </c>
      <c r="AF1" s="0" t="inlineStr">
        <is>
          <t>Business Impact</t>
        </is>
      </c>
      <c r="AG1" s="0" t="inlineStr">
        <is>
          <t>Threat</t>
        </is>
      </c>
      <c r="AH1" s="0" t="inlineStr">
        <is>
          <t>Mitigation</t>
        </is>
      </c>
      <c r="AI1" s="0" t="inlineStr">
        <is>
          <t>Vulnerability</t>
        </is>
      </c>
      <c r="AJ1" s="0" t="inlineStr">
        <is>
          <t>Risk Score</t>
        </is>
      </c>
      <c r="AK1" s="0" t="inlineStr">
        <is>
          <t>対策根拠</t>
        </is>
      </c>
      <c r="AL1" s="0" t="inlineStr">
        <is>
          <t>Business Impact</t>
        </is>
      </c>
      <c r="AM1" s="0" t="inlineStr">
        <is>
          <t>Threat</t>
        </is>
      </c>
      <c r="AN1" s="0" t="inlineStr">
        <is>
          <t>Mitigation</t>
        </is>
      </c>
      <c r="AO1" s="0" t="inlineStr">
        <is>
          <t>Vulnerability</t>
        </is>
      </c>
      <c r="AP1" s="0" t="inlineStr">
        <is>
          <t>Risk Score</t>
        </is>
      </c>
      <c r="AQ1" s="0" t="inlineStr">
        <is>
          <t>判定根拠</t>
        </is>
      </c>
    </row>
    <row r="2">
      <c r="A2" s="0" t="n">
        <v>1</v>
      </c>
      <c r="B2" s="3">
        <f>SPRV_Source_For_Formulas!D2</f>
        <v/>
      </c>
      <c r="C2" s="0" t="inlineStr">
        <is>
          <t>VDI Auth server</t>
        </is>
      </c>
      <c r="D2"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2" s="0" t="n">
        <v>3</v>
      </c>
      <c r="F2" s="8" t="n">
        <v>2</v>
      </c>
      <c r="G2" s="3">
        <f>IF(SPRV_Source_For_Formulas!G2&lt;=0.2,3,IF(SPRV_Source_For_Formulas!G2&lt;=0.5,2,1))</f>
        <v/>
      </c>
      <c r="H2" s="8">
        <f>4-G2</f>
        <v/>
      </c>
      <c r="I2" s="9">
        <f>IF(AND(E2=3,F2*H2&gt;=6),"A",IF(AND(E2=3,F2*H2&gt;=3),"B",IF(AND(E2=3,F2*H2&gt;=1),"C","")))</f>
        <v/>
      </c>
      <c r="J2"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2" s="3">
        <f>SPRV_Source_For_Formulas!D3</f>
        <v/>
      </c>
      <c r="L2" s="0" t="inlineStr">
        <is>
          <t>VDI Auth server</t>
        </is>
      </c>
      <c r="M2" s="0" t="inlineStr">
        <is>
          <t>不正クラウドインスタンスを生成 し、VDI環境全体の制御奪取や横展開を図る</t>
        </is>
      </c>
      <c r="N2" s="0" t="n">
        <v>3</v>
      </c>
      <c r="O2" s="8" t="n">
        <v>2</v>
      </c>
      <c r="P2" s="3">
        <f>IF(SPRV_Source_For_Formulas!G3&lt;=0.2,3,IF(SPRV_Source_For_Formulas!G3&lt;=0.5,2,1))</f>
        <v/>
      </c>
      <c r="Q2" s="8">
        <f>4-P2</f>
        <v/>
      </c>
      <c r="R2" s="9">
        <f>IF(AND(N2=3,O2*Q2&gt;=6),"A",IF(AND(N2=3,O2*Q2&gt;=3),"B",IF(AND(N2=3,O2*Q2&gt;=1),"C","")))</f>
        <v/>
      </c>
      <c r="S2"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2" s="3">
        <f>SPRV_Source_For_Formulas!D4</f>
        <v/>
      </c>
      <c r="U2" s="0" t="inlineStr">
        <is>
          <t>VDI server</t>
        </is>
      </c>
      <c r="V2"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2" s="0" t="n">
        <v>3</v>
      </c>
      <c r="X2" s="8" t="n">
        <v>2</v>
      </c>
      <c r="Y2" s="3">
        <f>IF(SPRV_Source_For_Formulas!G4&lt;=0.2,3,IF(SPRV_Source_For_Formulas!G4&lt;=0.5,2,1))</f>
        <v/>
      </c>
      <c r="Z2" s="8">
        <f>4-Y2</f>
        <v/>
      </c>
      <c r="AA2" s="9">
        <f>IF(AND(W2=3,X2*Z2&gt;=6),"A",IF(AND(W2=3,X2*Z2&gt;=3),"B",IF(AND(W2=3,X2*Z2&gt;=1),"C","")))</f>
        <v/>
      </c>
      <c r="AB2" s="0" t="inlineStr">
        <is>
          <t>| 評価観点           | 状況・施策内容                                          | 評価     |
| -------------- | ------------------------------------------------ | ------ |
| 認証管理（MFA, STS） | 管理操作にMFA必須、STSトークン利用。攻撃者が認証を突破した場合は正規操作に見える点が残る。 | ★★★（3） |
| ログ監査・改ざん防止     | CloudTrail＋WORMで保存されているが、リアルタイム監視が不完全。           | ★★☆（2） |
| 管理コマンドの承認フロー   | 一部は二重承認あり。ただし運用効率優先で例外許可が散見。                     | ★★☆（2） |
| IaCによる設定固定     | Terraform導入済だが、一部手動操作が許容されている。                   | ★★☆（2） |
| SSPM・逸脱検知      | CSPM導入済、SSPMは未導入。異常なAPI操作の自動検知は一部不足。             | ★★☆（2） |
| 監査と外部確認        | 月次の内部監査あり。外部監査は年1回。管理コマンドの網羅的確認までは実施されていない。      | ★★☆（2） |→ 総合評価：2.1 → 切り下げて「レベル2」</t>
        </is>
      </c>
      <c r="AC2" s="3">
        <f>SPRV_Source_For_Formulas!D5</f>
        <v/>
      </c>
      <c r="AD2" s="0" t="inlineStr">
        <is>
          <t>My Number Administrative System on GovCloud</t>
        </is>
      </c>
      <c r="AE2" s="0" t="inlineStr">
        <is>
          <t>クラウド上の権限昇格・API権限を濫用し、コンピューティングリソース（仮想マシンやPaaS）を乗っ取って暗号資産マイニングやDDoSリレーに悪用。</t>
        </is>
      </c>
      <c r="AF2" s="0" t="n">
        <v>3</v>
      </c>
      <c r="AG2" s="8" t="n">
        <v>2</v>
      </c>
      <c r="AH2" s="3">
        <f>IF(SPRV_Source_For_Formulas!G5&lt;=0.2,3,IF(SPRV_Source_For_Formulas!G5&lt;=0.5,2,1))</f>
        <v/>
      </c>
      <c r="AI2" s="8">
        <f>4-AH2</f>
        <v/>
      </c>
      <c r="AJ2" s="9">
        <f>IF(AND(AF2=3,AG2*AI2&gt;=6),"A",IF(AND(AF2=3,AG2*AI2&gt;=3),"B",IF(AND(AF2=3,AG2*AI2&gt;=1),"C","")))</f>
        <v/>
      </c>
      <c r="AK2" s="0" t="inlineStr">
        <is>
          <t>β’モデル＋ガバメントクラウド資料にてIAM最小権限、API監査、CSPM運用が整備されていれば、有効性は高い。ただし初期検知遅延やアラート無視等には注意が必要。</t>
        </is>
      </c>
      <c r="AL2" s="8">
        <f>MAX(E2,N2,W2,AF2)</f>
        <v/>
      </c>
      <c r="AM2" s="8" t="n">
        <v>2</v>
      </c>
      <c r="AN2" s="8">
        <f>MAX(G2,P2,Y2,AH2)</f>
        <v/>
      </c>
      <c r="AO2" s="8">
        <f>4-AN2</f>
        <v/>
      </c>
      <c r="AP2" s="8">
        <f>IF(AND(AL2=3,AM2*AO2&gt;=6),"A",IF(AND(AL2=3,AM2*AO2&gt;=3),"B",IF(AND(AL2=3,AM2*AO2&gt;=1),"C","")))</f>
        <v/>
      </c>
      <c r="AQ2" s="8">
        <f>"Scenario-level Threat=2; Step1="&amp;I2&amp;" Step2="&amp;R2&amp;" Step3="&amp;AA2&amp;" Step4="&amp;AJ2&amp;" ; Overall Threat fixed=2, Max Mitigation="&amp;AN2&amp;" =&gt; Overall="&amp;AP2</f>
        <v/>
      </c>
    </row>
    <row r="3">
      <c r="A3" s="0" t="n">
        <v>2</v>
      </c>
      <c r="B3" s="3">
        <f>SPRV_Source_For_Formulas!D6</f>
        <v/>
      </c>
      <c r="C3" s="0" t="inlineStr">
        <is>
          <t>VDI Auth server</t>
        </is>
      </c>
      <c r="D3"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3" s="0" t="n">
        <v>3</v>
      </c>
      <c r="F3" s="8" t="n">
        <v>2</v>
      </c>
      <c r="G3" s="3">
        <f>IF(SPRV_Source_For_Formulas!G6&lt;=0.2,3,IF(SPRV_Source_For_Formulas!G6&lt;=0.5,2,1))</f>
        <v/>
      </c>
      <c r="H3" s="8">
        <f>4-G3</f>
        <v/>
      </c>
      <c r="I3" s="9">
        <f>IF(AND(E3=3,F3*H3&gt;=6),"A",IF(AND(E3=3,F3*H3&gt;=3),"B",IF(AND(E3=3,F3*H3&gt;=1),"C","")))</f>
        <v/>
      </c>
      <c r="J3"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3" s="3">
        <f>SPRV_Source_For_Formulas!D7</f>
        <v/>
      </c>
      <c r="L3" s="0" t="inlineStr">
        <is>
          <t>VDI Auth server</t>
        </is>
      </c>
      <c r="M3" s="0" t="inlineStr">
        <is>
          <t>不正クラウドインスタンスを生成 し、VDI環境全体の制御奪取や横展開を図る</t>
        </is>
      </c>
      <c r="N3" s="0" t="n">
        <v>3</v>
      </c>
      <c r="O3" s="8" t="n">
        <v>2</v>
      </c>
      <c r="P3" s="3">
        <f>IF(SPRV_Source_For_Formulas!G7&lt;=0.2,3,IF(SPRV_Source_For_Formulas!G7&lt;=0.5,2,1))</f>
        <v/>
      </c>
      <c r="Q3" s="8">
        <f>4-P3</f>
        <v/>
      </c>
      <c r="R3" s="9">
        <f>IF(AND(N3=3,O3*Q3&gt;=6),"A",IF(AND(N3=3,O3*Q3&gt;=3),"B",IF(AND(N3=3,O3*Q3&gt;=1),"C","")))</f>
        <v/>
      </c>
      <c r="S3"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3" s="3">
        <f>SPRV_Source_For_Formulas!D8</f>
        <v/>
      </c>
      <c r="U3" s="0" t="inlineStr">
        <is>
          <t>VDI server</t>
        </is>
      </c>
      <c r="V3"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3" s="0" t="n">
        <v>3</v>
      </c>
      <c r="X3" s="8" t="n">
        <v>2</v>
      </c>
      <c r="Y3" s="3">
        <f>IF(SPRV_Source_For_Formulas!G8&lt;=0.2,3,IF(SPRV_Source_For_Formulas!G8&lt;=0.5,2,1))</f>
        <v/>
      </c>
      <c r="Z3" s="8">
        <f>4-Y3</f>
        <v/>
      </c>
      <c r="AA3" s="9">
        <f>IF(AND(W3=3,X3*Z3&gt;=6),"A",IF(AND(W3=3,X3*Z3&gt;=3),"B",IF(AND(W3=3,X3*Z3&gt;=1),"C","")))</f>
        <v/>
      </c>
      <c r="AB3" s="0" t="inlineStr">
        <is>
          <t>| 評価観点           | 状況・施策内容                                          | 評価     |
| -------------- | ------------------------------------------------ | ------ |
| 認証管理（MFA, STS） | 管理操作にMFA必須、STSトークン利用。攻撃者が認証を突破した場合は正規操作に見える点が残る。 | ★★★（3） |
| ログ監査・改ざん防止     | CloudTrail＋WORMで保存されているが、リアルタイム監視が不完全。           | ★★☆（2） |
| 管理コマンドの承認フロー   | 一部は二重承認あり。ただし運用効率優先で例外許可が散見。                     | ★★☆（2） |
| IaCによる設定固定     | Terraform導入済だが、一部手動操作が許容されている。                   | ★★☆（2） |
| SSPM・逸脱検知      | CSPM導入済、SSPMは未導入。異常なAPI操作の自動検知は一部不足。             | ★★☆（2） |
| 監査と外部確認        | 月次の内部監査あり。外部監査は年1回。管理コマンドの網羅的確認までは実施されていない。      | ★★☆（2） |→ 総合評価：2.1 → 切り下げて「レベル2」</t>
        </is>
      </c>
      <c r="AC3" s="3">
        <f>SPRV_Source_For_Formulas!D9</f>
        <v/>
      </c>
      <c r="AD3" s="0" t="inlineStr">
        <is>
          <t>My Number Administrative System on GovCloud</t>
        </is>
      </c>
      <c r="AE3" s="0" t="inlineStr">
        <is>
          <t>仮想マシンに対するアクセス権を不正取得し、演算リソースを密かに使用して不正目的（例：マイニング、リバースシェル）に利用。</t>
        </is>
      </c>
      <c r="AF3" s="0" t="n">
        <v>3</v>
      </c>
      <c r="AG3" s="8" t="n">
        <v>2</v>
      </c>
      <c r="AH3" s="3">
        <f>IF(SPRV_Source_For_Formulas!G9&lt;=0.2,3,IF(SPRV_Source_For_Formulas!G9&lt;=0.5,2,1))</f>
        <v/>
      </c>
      <c r="AI3" s="8">
        <f>4-AH3</f>
        <v/>
      </c>
      <c r="AJ3" s="9">
        <f>IF(AND(AF3=3,AG3*AI3&gt;=6),"A",IF(AND(AF3=3,AG3*AI3&gt;=3),"B",IF(AND(AF3=3,AG3*AI3&gt;=1),"C","")))</f>
        <v/>
      </c>
      <c r="AK3" s="0" t="inlineStr">
        <is>
          <t>仮想マシンに対するネットワーク分離、IAM制御、ログ監視により不正操作の抑止・検知が可能。推奨対策と合致。</t>
        </is>
      </c>
      <c r="AL3" s="8">
        <f>MAX(E3,N3,W3,AF3)</f>
        <v/>
      </c>
      <c r="AM3" s="8" t="n">
        <v>2</v>
      </c>
      <c r="AN3" s="8">
        <f>MAX(G3,P3,Y3,AH3)</f>
        <v/>
      </c>
      <c r="AO3" s="8">
        <f>4-AN3</f>
        <v/>
      </c>
      <c r="AP3" s="8">
        <f>IF(AND(AL3=3,AM3*AO3&gt;=6),"A",IF(AND(AL3=3,AM3*AO3&gt;=3),"B",IF(AND(AL3=3,AM3*AO3&gt;=1),"C","")))</f>
        <v/>
      </c>
      <c r="AQ3" s="8">
        <f>"Scenario-level Threat=2; Step1="&amp;I3&amp;" Step2="&amp;R3&amp;" Step3="&amp;AA3&amp;" Step4="&amp;AJ3&amp;" ; Overall Threat fixed=2, Max Mitigation="&amp;AN3&amp;" =&gt; Overall="&amp;AP3</f>
        <v/>
      </c>
    </row>
    <row r="4">
      <c r="A4" s="0" t="n">
        <v>3</v>
      </c>
      <c r="B4" s="3">
        <f>SPRV_Source_For_Formulas!D10</f>
        <v/>
      </c>
      <c r="C4" s="0" t="inlineStr">
        <is>
          <t>VDI Auth server</t>
        </is>
      </c>
      <c r="D4"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4" s="0" t="n">
        <v>3</v>
      </c>
      <c r="F4" s="8" t="n">
        <v>2</v>
      </c>
      <c r="G4" s="3">
        <f>IF(SPRV_Source_For_Formulas!G10&lt;=0.2,3,IF(SPRV_Source_For_Formulas!G10&lt;=0.5,2,1))</f>
        <v/>
      </c>
      <c r="H4" s="8">
        <f>4-G4</f>
        <v/>
      </c>
      <c r="I4" s="9">
        <f>IF(AND(E4=3,F4*H4&gt;=6),"A",IF(AND(E4=3,F4*H4&gt;=3),"B",IF(AND(E4=3,F4*H4&gt;=1),"C","")))</f>
        <v/>
      </c>
      <c r="J4"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4" s="3">
        <f>SPRV_Source_For_Formulas!D11</f>
        <v/>
      </c>
      <c r="L4" s="0" t="inlineStr">
        <is>
          <t>VDI Auth server</t>
        </is>
      </c>
      <c r="M4" s="0" t="inlineStr">
        <is>
          <t>不正クラウドインスタンスを生成 し、VDI環境全体の制御奪取や横展開を図る</t>
        </is>
      </c>
      <c r="N4" s="0" t="n">
        <v>3</v>
      </c>
      <c r="O4" s="8" t="n">
        <v>2</v>
      </c>
      <c r="P4" s="3">
        <f>IF(SPRV_Source_For_Formulas!G11&lt;=0.2,3,IF(SPRV_Source_For_Formulas!G11&lt;=0.5,2,1))</f>
        <v/>
      </c>
      <c r="Q4" s="8">
        <f>4-P4</f>
        <v/>
      </c>
      <c r="R4" s="9">
        <f>IF(AND(N4=3,O4*Q4&gt;=6),"A",IF(AND(N4=3,O4*Q4&gt;=3),"B",IF(AND(N4=3,O4*Q4&gt;=1),"C","")))</f>
        <v/>
      </c>
      <c r="S4"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4" s="3">
        <f>SPRV_Source_For_Formulas!D12</f>
        <v/>
      </c>
      <c r="U4" s="0" t="inlineStr">
        <is>
          <t>VDI server</t>
        </is>
      </c>
      <c r="V4"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4" s="0" t="n">
        <v>3</v>
      </c>
      <c r="X4" s="8" t="n">
        <v>2</v>
      </c>
      <c r="Y4" s="3">
        <f>IF(SPRV_Source_For_Formulas!G12&lt;=0.2,3,IF(SPRV_Source_For_Formulas!G12&lt;=0.5,2,1))</f>
        <v/>
      </c>
      <c r="Z4" s="8">
        <f>4-Y4</f>
        <v/>
      </c>
      <c r="AA4" s="9">
        <f>IF(AND(W4=3,X4*Z4&gt;=6),"A",IF(AND(W4=3,X4*Z4&gt;=3),"B",IF(AND(W4=3,X4*Z4&gt;=1),"C","")))</f>
        <v/>
      </c>
      <c r="AB4" s="0" t="inlineStr">
        <is>
          <t>| 評価観点           | 状況・施策内容                                          | 評価     |
| -------------- | ------------------------------------------------ | ------ |
| 認証管理（MFA, STS） | 管理操作にMFA必須、STSトークン利用。攻撃者が認証を突破した場合は正規操作に見える点が残る。 | ★★★（3） |
| ログ監査・改ざん防止     | CloudTrail＋WORMで保存されているが、リアルタイム監視が不完全。           | ★★☆（2） |
| 管理コマンドの承認フロー   | 一部は二重承認あり。ただし運用効率優先で例外許可が散見。                     | ★★☆（2） |
| IaCによる設定固定     | Terraform導入済だが、一部手動操作が許容されている。                   | ★★☆（2） |
| SSPM・逸脱検知      | CSPM導入済、SSPMは未導入。異常なAPI操作の自動検知は一部不足。             | ★★☆（2） |
| 監査と外部確認        | 月次の内部監査あり。外部監査は年1回。管理コマンドの網羅的確認までは実施されていない。      | ★★☆（2） |→ 総合評価：2.1 → 切り下げて「レベル2」</t>
        </is>
      </c>
      <c r="AC4" s="3">
        <f>SPRV_Source_For_Formulas!D13</f>
        <v/>
      </c>
      <c r="AD4" s="0" t="inlineStr">
        <is>
          <t>My Number Administrative System on GovCloud</t>
        </is>
      </c>
      <c r="AE4"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4" s="0" t="n">
        <v>3</v>
      </c>
      <c r="AG4" s="8" t="n">
        <v>2</v>
      </c>
      <c r="AH4" s="3">
        <f>IF(SPRV_Source_For_Formulas!G13&lt;=0.2,3,IF(SPRV_Source_For_Formulas!G13&lt;=0.5,2,1))</f>
        <v/>
      </c>
      <c r="AI4" s="8">
        <f>4-AH4</f>
        <v/>
      </c>
      <c r="AJ4" s="9">
        <f>IF(AND(AF4=3,AG4*AI4&gt;=6),"A",IF(AND(AF4=3,AG4*AI4&gt;=3),"B",IF(AND(AF4=3,AG4*AI4&gt;=1),"C","")))</f>
        <v/>
      </c>
      <c r="AK4"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4" s="8">
        <f>MAX(E4,N4,W4,AF4)</f>
        <v/>
      </c>
      <c r="AM4" s="8" t="n">
        <v>2</v>
      </c>
      <c r="AN4" s="8">
        <f>MAX(G4,P4,Y4,AH4)</f>
        <v/>
      </c>
      <c r="AO4" s="8">
        <f>4-AN4</f>
        <v/>
      </c>
      <c r="AP4" s="8">
        <f>IF(AND(AL4=3,AM4*AO4&gt;=6),"A",IF(AND(AL4=3,AM4*AO4&gt;=3),"B",IF(AND(AL4=3,AM4*AO4&gt;=1),"C","")))</f>
        <v/>
      </c>
      <c r="AQ4" s="8">
        <f>"Scenario-level Threat=2; Step1="&amp;I4&amp;" Step2="&amp;R4&amp;" Step3="&amp;AA4&amp;" Step4="&amp;AJ4&amp;" ; Overall Threat fixed=2, Max Mitigation="&amp;AN4&amp;" =&gt; Overall="&amp;AP4</f>
        <v/>
      </c>
    </row>
    <row r="5">
      <c r="A5" s="0" t="n">
        <v>4</v>
      </c>
      <c r="B5" s="3">
        <f>SPRV_Source_For_Formulas!D14</f>
        <v/>
      </c>
      <c r="C5" s="0" t="inlineStr">
        <is>
          <t>VDI Auth server</t>
        </is>
      </c>
      <c r="D5"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5" s="0" t="n">
        <v>3</v>
      </c>
      <c r="F5" s="8" t="n">
        <v>2</v>
      </c>
      <c r="G5" s="3">
        <f>IF(SPRV_Source_For_Formulas!G14&lt;=0.2,3,IF(SPRV_Source_For_Formulas!G14&lt;=0.5,2,1))</f>
        <v/>
      </c>
      <c r="H5" s="8">
        <f>4-G5</f>
        <v/>
      </c>
      <c r="I5" s="9">
        <f>IF(AND(E5=3,F5*H5&gt;=6),"A",IF(AND(E5=3,F5*H5&gt;=3),"B",IF(AND(E5=3,F5*H5&gt;=1),"C","")))</f>
        <v/>
      </c>
      <c r="J5"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5" s="3">
        <f>SPRV_Source_For_Formulas!D15</f>
        <v/>
      </c>
      <c r="L5" s="0" t="inlineStr">
        <is>
          <t>VDI Auth server</t>
        </is>
      </c>
      <c r="M5" s="0" t="inlineStr">
        <is>
          <t>不正クラウドインスタンスを生成 し、VDI環境全体の制御奪取や横展開を図る</t>
        </is>
      </c>
      <c r="N5" s="0" t="n">
        <v>3</v>
      </c>
      <c r="O5" s="8" t="n">
        <v>2</v>
      </c>
      <c r="P5" s="3">
        <f>IF(SPRV_Source_For_Formulas!G15&lt;=0.2,3,IF(SPRV_Source_For_Formulas!G15&lt;=0.5,2,1))</f>
        <v/>
      </c>
      <c r="Q5" s="8">
        <f>4-P5</f>
        <v/>
      </c>
      <c r="R5" s="9">
        <f>IF(AND(N5=3,O5*Q5&gt;=6),"A",IF(AND(N5=3,O5*Q5&gt;=3),"B",IF(AND(N5=3,O5*Q5&gt;=1),"C","")))</f>
        <v/>
      </c>
      <c r="S5"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5" s="3">
        <f>SPRV_Source_For_Formulas!D16</f>
        <v/>
      </c>
      <c r="U5" s="0" t="inlineStr">
        <is>
          <t>VDI server</t>
        </is>
      </c>
      <c r="V5"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5" s="0" t="n">
        <v>3</v>
      </c>
      <c r="X5" s="8" t="n">
        <v>2</v>
      </c>
      <c r="Y5" s="3">
        <f>IF(SPRV_Source_For_Formulas!G16&lt;=0.2,3,IF(SPRV_Source_For_Formulas!G16&lt;=0.5,2,1))</f>
        <v/>
      </c>
      <c r="Z5" s="8">
        <f>4-Y5</f>
        <v/>
      </c>
      <c r="AA5" s="9">
        <f>IF(AND(W5=3,X5*Z5&gt;=6),"A",IF(AND(W5=3,X5*Z5&gt;=3),"B",IF(AND(W5=3,X5*Z5&gt;=1),"C","")))</f>
        <v/>
      </c>
      <c r="AB5" s="0" t="inlineStr">
        <is>
          <t>| 評価観点           | 状況・施策内容                                          | 評価     |
| -------------- | ------------------------------------------------ | ------ |
| 認証管理（MFA, STS） | 管理操作にMFA必須、STSトークン利用。攻撃者が認証を突破した場合は正規操作に見える点が残る。 | ★★★（3） |
| ログ監査・改ざん防止     | CloudTrail＋WORMで保存されているが、リアルタイム監視が不完全。           | ★★☆（2） |
| 管理コマンドの承認フロー   | 一部は二重承認あり。ただし運用効率優先で例外許可が散見。                     | ★★☆（2） |
| IaCによる設定固定     | Terraform導入済だが、一部手動操作が許容されている。                   | ★★☆（2） |
| SSPM・逸脱検知      | CSPM導入済、SSPMは未導入。異常なAPI操作の自動検知は一部不足。             | ★★☆（2） |
| 監査と外部確認        | 月次の内部監査あり。外部監査は年1回。管理コマンドの網羅的確認までは実施されていない。      | ★★☆（2） |→ 総合評価：2.1 → 切り下げて「レベル2」</t>
        </is>
      </c>
      <c r="AC5" s="3">
        <f>SPRV_Source_For_Formulas!D17</f>
        <v/>
      </c>
      <c r="AD5" s="0" t="inlineStr">
        <is>
          <t>My Number Administrative System on GovCloud</t>
        </is>
      </c>
      <c r="AE5"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5" s="0" t="n">
        <v>3</v>
      </c>
      <c r="AG5" s="8" t="n">
        <v>2</v>
      </c>
      <c r="AH5" s="3">
        <f>IF(SPRV_Source_For_Formulas!G17&lt;=0.2,3,IF(SPRV_Source_For_Formulas!G17&lt;=0.5,2,1))</f>
        <v/>
      </c>
      <c r="AI5" s="8">
        <f>4-AH5</f>
        <v/>
      </c>
      <c r="AJ5" s="9">
        <f>IF(AND(AF5=3,AG5*AI5&gt;=6),"A",IF(AND(AF5=3,AG5*AI5&gt;=3),"B",IF(AND(AF5=3,AG5*AI5&gt;=1),"C","")))</f>
        <v/>
      </c>
      <c r="AK5"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5" s="8">
        <f>MAX(E5,N5,W5,AF5)</f>
        <v/>
      </c>
      <c r="AM5" s="8" t="n">
        <v>2</v>
      </c>
      <c r="AN5" s="8">
        <f>MAX(G5,P5,Y5,AH5)</f>
        <v/>
      </c>
      <c r="AO5" s="8">
        <f>4-AN5</f>
        <v/>
      </c>
      <c r="AP5" s="8">
        <f>IF(AND(AL5=3,AM5*AO5&gt;=6),"A",IF(AND(AL5=3,AM5*AO5&gt;=3),"B",IF(AND(AL5=3,AM5*AO5&gt;=1),"C","")))</f>
        <v/>
      </c>
      <c r="AQ5" s="8">
        <f>"Scenario-level Threat=2; Step1="&amp;I5&amp;" Step2="&amp;R5&amp;" Step3="&amp;AA5&amp;" Step4="&amp;AJ5&amp;" ; Overall Threat fixed=2, Max Mitigation="&amp;AN5&amp;" =&gt; Overall="&amp;AP5</f>
        <v/>
      </c>
    </row>
    <row r="6">
      <c r="A6" s="0" t="n">
        <v>5</v>
      </c>
      <c r="B6" s="3">
        <f>SPRV_Source_For_Formulas!D18</f>
        <v/>
      </c>
      <c r="C6" s="0" t="inlineStr">
        <is>
          <t>VDI Auth server</t>
        </is>
      </c>
      <c r="D6"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6" s="0" t="n">
        <v>3</v>
      </c>
      <c r="F6" s="8" t="n">
        <v>2</v>
      </c>
      <c r="G6" s="3">
        <f>IF(SPRV_Source_For_Formulas!G18&lt;=0.2,3,IF(SPRV_Source_For_Formulas!G18&lt;=0.5,2,1))</f>
        <v/>
      </c>
      <c r="H6" s="8">
        <f>4-G6</f>
        <v/>
      </c>
      <c r="I6" s="9">
        <f>IF(AND(E6=3,F6*H6&gt;=6),"A",IF(AND(E6=3,F6*H6&gt;=3),"B",IF(AND(E6=3,F6*H6&gt;=1),"C","")))</f>
        <v/>
      </c>
      <c r="J6"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6" s="3">
        <f>SPRV_Source_For_Formulas!D19</f>
        <v/>
      </c>
      <c r="L6" s="0" t="inlineStr">
        <is>
          <t>VDI Auth server</t>
        </is>
      </c>
      <c r="M6" s="0" t="inlineStr">
        <is>
          <t>不正クラウドインスタンスを生成 し、VDI環境全体の制御奪取や横展開を図る</t>
        </is>
      </c>
      <c r="N6" s="0" t="n">
        <v>3</v>
      </c>
      <c r="O6" s="8" t="n">
        <v>2</v>
      </c>
      <c r="P6" s="3">
        <f>IF(SPRV_Source_For_Formulas!G19&lt;=0.2,3,IF(SPRV_Source_For_Formulas!G19&lt;=0.5,2,1))</f>
        <v/>
      </c>
      <c r="Q6" s="8">
        <f>4-P6</f>
        <v/>
      </c>
      <c r="R6" s="9">
        <f>IF(AND(N6=3,O6*Q6&gt;=6),"A",IF(AND(N6=3,O6*Q6&gt;=3),"B",IF(AND(N6=3,O6*Q6&gt;=1),"C","")))</f>
        <v/>
      </c>
      <c r="S6"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6" s="3">
        <f>SPRV_Source_For_Formulas!D20</f>
        <v/>
      </c>
      <c r="U6" s="0" t="inlineStr">
        <is>
          <t>VDI server</t>
        </is>
      </c>
      <c r="V6"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6" s="0" t="n">
        <v>3</v>
      </c>
      <c r="X6" s="8" t="n">
        <v>2</v>
      </c>
      <c r="Y6" s="3">
        <f>IF(SPRV_Source_For_Formulas!G20&lt;=0.2,3,IF(SPRV_Source_For_Formulas!G20&lt;=0.5,2,1))</f>
        <v/>
      </c>
      <c r="Z6" s="8">
        <f>4-Y6</f>
        <v/>
      </c>
      <c r="AA6" s="9">
        <f>IF(AND(W6=3,X6*Z6&gt;=6),"A",IF(AND(W6=3,X6*Z6&gt;=3),"B",IF(AND(W6=3,X6*Z6&gt;=1),"C","")))</f>
        <v/>
      </c>
      <c r="AB6" s="0" t="inlineStr">
        <is>
          <t>| 評価観点             | 状況・施策内容                                         | 評価     |
| ---------------- | ----------------------------------------------- | ------ |
| Secretsアクセス制御    | IAMで細粒度制御は導入済。ただし一部広範囲ロールが残存。                   | ★★☆（2） |
| 暗号化とKMSキー管理      | KMSで暗号化され、鍵は別IAMで管理。                            | ★★★（3） |
| アクセス監査と検知        | CloudTrail＋SIEMで監査可能だが、Secrets読み取りアラートが遅延検知ベース。 | ★★☆（2） |
| Secretsローテーション運用 | 一部自動化済み（APIキー等）、DB認証情報は手動更新が残る。                 | ★★☆（2） |
| SSPM・逸脱検知        | CSPM導入済、SSPMは未導入で逸脱検知は限定的。                      | ★★☆（2） |
| 承認フロー・監査         | 外部委託者操作は承認必須。内部管理者操作は承認不要ケースあり。                 | ★★☆（2） |→ 総合評価：2.2 → 切り下げて「レベル2」</t>
        </is>
      </c>
      <c r="AC6" s="3">
        <f>SPRV_Source_For_Formulas!D21</f>
        <v/>
      </c>
      <c r="AD6" s="0" t="inlineStr">
        <is>
          <t>My Number Administrative System on GovCloud</t>
        </is>
      </c>
      <c r="AE6" s="0" t="inlineStr">
        <is>
          <t>クラウドサービス全体の乗っ取り。</t>
        </is>
      </c>
      <c r="AF6" s="0" t="n">
        <v>3</v>
      </c>
      <c r="AG6" s="8" t="n">
        <v>2</v>
      </c>
      <c r="AH6" s="3">
        <f>IF(SPRV_Source_For_Formulas!G21&lt;=0.2,3,IF(SPRV_Source_For_Formulas!G21&lt;=0.5,2,1))</f>
        <v/>
      </c>
      <c r="AI6" s="8">
        <f>4-AH6</f>
        <v/>
      </c>
      <c r="AJ6" s="9">
        <f>IF(AND(AF6=3,AG6*AI6&gt;=6),"A",IF(AND(AF6=3,AG6*AI6&gt;=3),"B",IF(AND(AF6=3,AG6*AI6&gt;=1),"C","")))</f>
        <v/>
      </c>
      <c r="AK6" s="0" t="inlineStr">
        <is>
          <t>β’モデル＋ガバメントクラウド資料にてIAM最小権限、API監査、CSPM運用が整備されていれば、有効性は高い。ただし初期検知遅延やアラート無視等には注意が必要。</t>
        </is>
      </c>
      <c r="AL6" s="8">
        <f>MAX(E6,N6,W6,AF6)</f>
        <v/>
      </c>
      <c r="AM6" s="8" t="n">
        <v>2</v>
      </c>
      <c r="AN6" s="8">
        <f>MAX(G6,P6,Y6,AH6)</f>
        <v/>
      </c>
      <c r="AO6" s="8">
        <f>4-AN6</f>
        <v/>
      </c>
      <c r="AP6" s="8">
        <f>IF(AND(AL6=3,AM6*AO6&gt;=6),"A",IF(AND(AL6=3,AM6*AO6&gt;=3),"B",IF(AND(AL6=3,AM6*AO6&gt;=1),"C","")))</f>
        <v/>
      </c>
      <c r="AQ6" s="8">
        <f>"Scenario-level Threat=2; Step1="&amp;I6&amp;" Step2="&amp;R6&amp;" Step3="&amp;AA6&amp;" Step4="&amp;AJ6&amp;" ; Overall Threat fixed=2, Max Mitigation="&amp;AN6&amp;" =&gt; Overall="&amp;AP6</f>
        <v/>
      </c>
    </row>
    <row r="7">
      <c r="A7" s="0" t="n">
        <v>6</v>
      </c>
      <c r="B7" s="3">
        <f>SPRV_Source_For_Formulas!D22</f>
        <v/>
      </c>
      <c r="C7" s="0" t="inlineStr">
        <is>
          <t>VDI Auth server</t>
        </is>
      </c>
      <c r="D7"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7" s="0" t="n">
        <v>3</v>
      </c>
      <c r="F7" s="8" t="n">
        <v>2</v>
      </c>
      <c r="G7" s="3">
        <f>IF(SPRV_Source_For_Formulas!G22&lt;=0.2,3,IF(SPRV_Source_For_Formulas!G22&lt;=0.5,2,1))</f>
        <v/>
      </c>
      <c r="H7" s="8">
        <f>4-G7</f>
        <v/>
      </c>
      <c r="I7" s="9">
        <f>IF(AND(E7=3,F7*H7&gt;=6),"A",IF(AND(E7=3,F7*H7&gt;=3),"B",IF(AND(E7=3,F7*H7&gt;=1),"C","")))</f>
        <v/>
      </c>
      <c r="J7"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7" s="3">
        <f>SPRV_Source_For_Formulas!D23</f>
        <v/>
      </c>
      <c r="L7" s="0" t="inlineStr">
        <is>
          <t>VDI Auth server</t>
        </is>
      </c>
      <c r="M7" s="0" t="inlineStr">
        <is>
          <t>不正クラウドインスタンスを生成 し、VDI環境全体の制御奪取や横展開を図る</t>
        </is>
      </c>
      <c r="N7" s="0" t="n">
        <v>3</v>
      </c>
      <c r="O7" s="8" t="n">
        <v>2</v>
      </c>
      <c r="P7" s="3">
        <f>IF(SPRV_Source_For_Formulas!G23&lt;=0.2,3,IF(SPRV_Source_For_Formulas!G23&lt;=0.5,2,1))</f>
        <v/>
      </c>
      <c r="Q7" s="8">
        <f>4-P7</f>
        <v/>
      </c>
      <c r="R7" s="9">
        <f>IF(AND(N7=3,O7*Q7&gt;=6),"A",IF(AND(N7=3,O7*Q7&gt;=3),"B",IF(AND(N7=3,O7*Q7&gt;=1),"C","")))</f>
        <v/>
      </c>
      <c r="S7"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7" s="3">
        <f>SPRV_Source_For_Formulas!D24</f>
        <v/>
      </c>
      <c r="U7" s="0" t="inlineStr">
        <is>
          <t>VDI server</t>
        </is>
      </c>
      <c r="V7"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7" s="0" t="n">
        <v>3</v>
      </c>
      <c r="X7" s="8" t="n">
        <v>2</v>
      </c>
      <c r="Y7" s="3">
        <f>IF(SPRV_Source_For_Formulas!G24&lt;=0.2,3,IF(SPRV_Source_For_Formulas!G24&lt;=0.5,2,1))</f>
        <v/>
      </c>
      <c r="Z7" s="8">
        <f>4-Y7</f>
        <v/>
      </c>
      <c r="AA7" s="9">
        <f>IF(AND(W7=3,X7*Z7&gt;=6),"A",IF(AND(W7=3,X7*Z7&gt;=3),"B",IF(AND(W7=3,X7*Z7&gt;=1),"C","")))</f>
        <v/>
      </c>
      <c r="AB7" s="0" t="inlineStr">
        <is>
          <t>| 評価観点             | 状況・施策内容                                         | 評価     |
| ---------------- | ----------------------------------------------- | ------ |
| Secretsアクセス制御    | IAMで細粒度制御は導入済。ただし一部広範囲ロールが残存。                   | ★★☆（2） |
| 暗号化とKMSキー管理      | KMSで暗号化され、鍵は別IAMで管理。                            | ★★★（3） |
| アクセス監査と検知        | CloudTrail＋SIEMで監査可能だが、Secrets読み取りアラートが遅延検知ベース。 | ★★☆（2） |
| Secretsローテーション運用 | 一部自動化済み（APIキー等）、DB認証情報は手動更新が残る。                 | ★★☆（2） |
| SSPM・逸脱検知        | CSPM導入済、SSPMは未導入で逸脱検知は限定的。                      | ★★☆（2） |
| 承認フロー・監査         | 外部委託者操作は承認必須。内部管理者操作は承認不要ケースあり。                 | ★★☆（2） |→ 総合評価：2.2 → 切り下げて「レベル2」</t>
        </is>
      </c>
      <c r="AC7" s="3">
        <f>SPRV_Source_For_Formulas!D25</f>
        <v/>
      </c>
      <c r="AD7" s="0" t="inlineStr">
        <is>
          <t>My Number Administrative System on GovCloud</t>
        </is>
      </c>
      <c r="AE7" s="0" t="inlineStr">
        <is>
          <t>漏洩した認証情報や横展開で取得した権限を用いて、GovCloud上の仮想マシンを不正利用（例：暗号資産マイニング）。</t>
        </is>
      </c>
      <c r="AF7" s="0" t="n">
        <v>3</v>
      </c>
      <c r="AG7" s="8" t="n">
        <v>2</v>
      </c>
      <c r="AH7" s="3">
        <f>IF(SPRV_Source_For_Formulas!G25&lt;=0.2,3,IF(SPRV_Source_For_Formulas!G25&lt;=0.5,2,1))</f>
        <v/>
      </c>
      <c r="AI7" s="8">
        <f>4-AH7</f>
        <v/>
      </c>
      <c r="AJ7" s="9">
        <f>IF(AND(AF7=3,AG7*AI7&gt;=6),"A",IF(AND(AF7=3,AG7*AI7&gt;=3),"B",IF(AND(AF7=3,AG7*AI7&gt;=1),"C","")))</f>
        <v/>
      </c>
      <c r="AK7" s="0" t="inlineStr">
        <is>
          <t>仮想マシンに対するネットワーク分離、IAM制御、ログ監視により不正操作の抑止・検知が可能。推奨対策と合致。</t>
        </is>
      </c>
      <c r="AL7" s="8">
        <f>MAX(E7,N7,W7,AF7)</f>
        <v/>
      </c>
      <c r="AM7" s="8" t="n">
        <v>2</v>
      </c>
      <c r="AN7" s="8">
        <f>MAX(G7,P7,Y7,AH7)</f>
        <v/>
      </c>
      <c r="AO7" s="8">
        <f>4-AN7</f>
        <v/>
      </c>
      <c r="AP7" s="8">
        <f>IF(AND(AL7=3,AM7*AO7&gt;=6),"A",IF(AND(AL7=3,AM7*AO7&gt;=3),"B",IF(AND(AL7=3,AM7*AO7&gt;=1),"C","")))</f>
        <v/>
      </c>
      <c r="AQ7" s="8">
        <f>"Scenario-level Threat=2; Step1="&amp;I7&amp;" Step2="&amp;R7&amp;" Step3="&amp;AA7&amp;" Step4="&amp;AJ7&amp;" ; Overall Threat fixed=2, Max Mitigation="&amp;AN7&amp;" =&gt; Overall="&amp;AP7</f>
        <v/>
      </c>
    </row>
    <row r="8">
      <c r="A8" s="0" t="n">
        <v>7</v>
      </c>
      <c r="B8" s="3">
        <f>SPRV_Source_For_Formulas!D26</f>
        <v/>
      </c>
      <c r="C8" s="0" t="inlineStr">
        <is>
          <t>VDI Auth server</t>
        </is>
      </c>
      <c r="D8"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8" s="0" t="n">
        <v>3</v>
      </c>
      <c r="F8" s="8" t="n">
        <v>2</v>
      </c>
      <c r="G8" s="3">
        <f>IF(SPRV_Source_For_Formulas!G26&lt;=0.2,3,IF(SPRV_Source_For_Formulas!G26&lt;=0.5,2,1))</f>
        <v/>
      </c>
      <c r="H8" s="8">
        <f>4-G8</f>
        <v/>
      </c>
      <c r="I8" s="9">
        <f>IF(AND(E8=3,F8*H8&gt;=6),"A",IF(AND(E8=3,F8*H8&gt;=3),"B",IF(AND(E8=3,F8*H8&gt;=1),"C","")))</f>
        <v/>
      </c>
      <c r="J8"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8" s="3">
        <f>SPRV_Source_For_Formulas!D27</f>
        <v/>
      </c>
      <c r="L8" s="0" t="inlineStr">
        <is>
          <t>VDI Auth server</t>
        </is>
      </c>
      <c r="M8" s="0" t="inlineStr">
        <is>
          <t>不正クラウドインスタンスを生成 し、VDI環境全体の制御奪取や横展開を図る</t>
        </is>
      </c>
      <c r="N8" s="0" t="n">
        <v>3</v>
      </c>
      <c r="O8" s="8" t="n">
        <v>2</v>
      </c>
      <c r="P8" s="3">
        <f>IF(SPRV_Source_For_Formulas!G27&lt;=0.2,3,IF(SPRV_Source_For_Formulas!G27&lt;=0.5,2,1))</f>
        <v/>
      </c>
      <c r="Q8" s="8">
        <f>4-P8</f>
        <v/>
      </c>
      <c r="R8" s="9">
        <f>IF(AND(N8=3,O8*Q8&gt;=6),"A",IF(AND(N8=3,O8*Q8&gt;=3),"B",IF(AND(N8=3,O8*Q8&gt;=1),"C","")))</f>
        <v/>
      </c>
      <c r="S8"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8" s="3">
        <f>SPRV_Source_For_Formulas!D28</f>
        <v/>
      </c>
      <c r="U8" s="0" t="inlineStr">
        <is>
          <t>VDI server</t>
        </is>
      </c>
      <c r="V8"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8" s="0" t="n">
        <v>3</v>
      </c>
      <c r="X8" s="8" t="n">
        <v>2</v>
      </c>
      <c r="Y8" s="3">
        <f>IF(SPRV_Source_For_Formulas!G28&lt;=0.2,3,IF(SPRV_Source_For_Formulas!G28&lt;=0.5,2,1))</f>
        <v/>
      </c>
      <c r="Z8" s="8">
        <f>4-Y8</f>
        <v/>
      </c>
      <c r="AA8" s="9">
        <f>IF(AND(W8=3,X8*Z8&gt;=6),"A",IF(AND(W8=3,X8*Z8&gt;=3),"B",IF(AND(W8=3,X8*Z8&gt;=1),"C","")))</f>
        <v/>
      </c>
      <c r="AB8" s="0" t="inlineStr">
        <is>
          <t>| 評価観点             | 状況・施策内容                                         | 評価     |
| ---------------- | ----------------------------------------------- | ------ |
| Secretsアクセス制御    | IAMで細粒度制御は導入済。ただし一部広範囲ロールが残存。                   | ★★☆（2） |
| 暗号化とKMSキー管理      | KMSで暗号化され、鍵は別IAMで管理。                            | ★★★（3） |
| アクセス監査と検知        | CloudTrail＋SIEMで監査可能だが、Secrets読み取りアラートが遅延検知ベース。 | ★★☆（2） |
| Secretsローテーション運用 | 一部自動化済み（APIキー等）、DB認証情報は手動更新が残る。                 | ★★☆（2） |
| SSPM・逸脱検知        | CSPM導入済、SSPMは未導入で逸脱検知は限定的。                      | ★★☆（2） |
| 承認フロー・監査         | 外部委託者操作は承認必須。内部管理者操作は承認不要ケースあり。                 | ★★☆（2） |→ 総合評価：2.2 → 切り下げて「レベル2」</t>
        </is>
      </c>
      <c r="AC8" s="3">
        <f>SPRV_Source_For_Formulas!D29</f>
        <v/>
      </c>
      <c r="AD8" s="0" t="inlineStr">
        <is>
          <t>My Number Administrative System on GovCloud</t>
        </is>
      </c>
      <c r="AE8"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8" s="0" t="n">
        <v>3</v>
      </c>
      <c r="AG8" s="8" t="n">
        <v>2</v>
      </c>
      <c r="AH8" s="3">
        <f>IF(SPRV_Source_For_Formulas!G29&lt;=0.2,3,IF(SPRV_Source_For_Formulas!G29&lt;=0.5,2,1))</f>
        <v/>
      </c>
      <c r="AI8" s="8">
        <f>4-AH8</f>
        <v/>
      </c>
      <c r="AJ8" s="9">
        <f>IF(AND(AF8=3,AG8*AI8&gt;=6),"A",IF(AND(AF8=3,AG8*AI8&gt;=3),"B",IF(AND(AF8=3,AG8*AI8&gt;=1),"C","")))</f>
        <v/>
      </c>
      <c r="AK8"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8" s="8">
        <f>MAX(E8,N8,W8,AF8)</f>
        <v/>
      </c>
      <c r="AM8" s="8" t="n">
        <v>2</v>
      </c>
      <c r="AN8" s="8">
        <f>MAX(G8,P8,Y8,AH8)</f>
        <v/>
      </c>
      <c r="AO8" s="8">
        <f>4-AN8</f>
        <v/>
      </c>
      <c r="AP8" s="8">
        <f>IF(AND(AL8=3,AM8*AO8&gt;=6),"A",IF(AND(AL8=3,AM8*AO8&gt;=3),"B",IF(AND(AL8=3,AM8*AO8&gt;=1),"C","")))</f>
        <v/>
      </c>
      <c r="AQ8" s="8">
        <f>"Scenario-level Threat=2; Step1="&amp;I8&amp;" Step2="&amp;R8&amp;" Step3="&amp;AA8&amp;" Step4="&amp;AJ8&amp;" ; Overall Threat fixed=2, Max Mitigation="&amp;AN8&amp;" =&gt; Overall="&amp;AP8</f>
        <v/>
      </c>
    </row>
    <row r="9">
      <c r="A9" s="0" t="n">
        <v>8</v>
      </c>
      <c r="B9" s="3">
        <f>SPRV_Source_For_Formulas!D30</f>
        <v/>
      </c>
      <c r="C9" s="0" t="inlineStr">
        <is>
          <t>VDI Auth server</t>
        </is>
      </c>
      <c r="D9"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9" s="0" t="n">
        <v>3</v>
      </c>
      <c r="F9" s="8" t="n">
        <v>2</v>
      </c>
      <c r="G9" s="3">
        <f>IF(SPRV_Source_For_Formulas!G30&lt;=0.2,3,IF(SPRV_Source_For_Formulas!G30&lt;=0.5,2,1))</f>
        <v/>
      </c>
      <c r="H9" s="8">
        <f>4-G9</f>
        <v/>
      </c>
      <c r="I9" s="9">
        <f>IF(AND(E9=3,F9*H9&gt;=6),"A",IF(AND(E9=3,F9*H9&gt;=3),"B",IF(AND(E9=3,F9*H9&gt;=1),"C","")))</f>
        <v/>
      </c>
      <c r="J9"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9" s="3">
        <f>SPRV_Source_For_Formulas!D31</f>
        <v/>
      </c>
      <c r="L9" s="0" t="inlineStr">
        <is>
          <t>VDI Auth server</t>
        </is>
      </c>
      <c r="M9" s="0" t="inlineStr">
        <is>
          <t>不正クラウドインスタンスを生成 し、VDI環境全体の制御奪取や横展開を図る</t>
        </is>
      </c>
      <c r="N9" s="0" t="n">
        <v>3</v>
      </c>
      <c r="O9" s="8" t="n">
        <v>2</v>
      </c>
      <c r="P9" s="3">
        <f>IF(SPRV_Source_For_Formulas!G31&lt;=0.2,3,IF(SPRV_Source_For_Formulas!G31&lt;=0.5,2,1))</f>
        <v/>
      </c>
      <c r="Q9" s="8">
        <f>4-P9</f>
        <v/>
      </c>
      <c r="R9" s="9">
        <f>IF(AND(N9=3,O9*Q9&gt;=6),"A",IF(AND(N9=3,O9*Q9&gt;=3),"B",IF(AND(N9=3,O9*Q9&gt;=1),"C","")))</f>
        <v/>
      </c>
      <c r="S9"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9" s="3">
        <f>SPRV_Source_For_Formulas!D32</f>
        <v/>
      </c>
      <c r="U9" s="0" t="inlineStr">
        <is>
          <t>VDI server</t>
        </is>
      </c>
      <c r="V9"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9" s="0" t="n">
        <v>3</v>
      </c>
      <c r="X9" s="8" t="n">
        <v>2</v>
      </c>
      <c r="Y9" s="3">
        <f>IF(SPRV_Source_For_Formulas!G32&lt;=0.2,3,IF(SPRV_Source_For_Formulas!G32&lt;=0.5,2,1))</f>
        <v/>
      </c>
      <c r="Z9" s="8">
        <f>4-Y9</f>
        <v/>
      </c>
      <c r="AA9" s="9">
        <f>IF(AND(W9=3,X9*Z9&gt;=6),"A",IF(AND(W9=3,X9*Z9&gt;=3),"B",IF(AND(W9=3,X9*Z9&gt;=1),"C","")))</f>
        <v/>
      </c>
      <c r="AB9" s="0" t="inlineStr">
        <is>
          <t>| 評価観点             | 状況・施策内容                                         | 評価     |
| ---------------- | ----------------------------------------------- | ------ |
| Secretsアクセス制御    | IAMで細粒度制御は導入済。ただし一部広範囲ロールが残存。                   | ★★☆（2） |
| 暗号化とKMSキー管理      | KMSで暗号化され、鍵は別IAMで管理。                            | ★★★（3） |
| アクセス監査と検知        | CloudTrail＋SIEMで監査可能だが、Secrets読み取りアラートが遅延検知ベース。 | ★★☆（2） |
| Secretsローテーション運用 | 一部自動化済み（APIキー等）、DB認証情報は手動更新が残る。                 | ★★☆（2） |
| SSPM・逸脱検知        | CSPM導入済、SSPMは未導入で逸脱検知は限定的。                      | ★★☆（2） |
| 承認フロー・監査         | 外部委託者操作は承認必須。内部管理者操作は承認不要ケースあり。                 | ★★☆（2） |→ 総合評価：2.2 → 切り下げて「レベル2」</t>
        </is>
      </c>
      <c r="AC9" s="3">
        <f>SPRV_Source_For_Formulas!D33</f>
        <v/>
      </c>
      <c r="AD9" s="0" t="inlineStr">
        <is>
          <t>My Number Administrative System on GovCloud</t>
        </is>
      </c>
      <c r="AE9"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9" s="0" t="n">
        <v>3</v>
      </c>
      <c r="AG9" s="8" t="n">
        <v>2</v>
      </c>
      <c r="AH9" s="3">
        <f>IF(SPRV_Source_For_Formulas!G33&lt;=0.2,3,IF(SPRV_Source_For_Formulas!G33&lt;=0.5,2,1))</f>
        <v/>
      </c>
      <c r="AI9" s="8">
        <f>4-AH9</f>
        <v/>
      </c>
      <c r="AJ9" s="9">
        <f>IF(AND(AF9=3,AG9*AI9&gt;=6),"A",IF(AND(AF9=3,AG9*AI9&gt;=3),"B",IF(AND(AF9=3,AG9*AI9&gt;=1),"C","")))</f>
        <v/>
      </c>
      <c r="AK9"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9" s="8">
        <f>MAX(E9,N9,W9,AF9)</f>
        <v/>
      </c>
      <c r="AM9" s="8" t="n">
        <v>2</v>
      </c>
      <c r="AN9" s="8">
        <f>MAX(G9,P9,Y9,AH9)</f>
        <v/>
      </c>
      <c r="AO9" s="8">
        <f>4-AN9</f>
        <v/>
      </c>
      <c r="AP9" s="8">
        <f>IF(AND(AL9=3,AM9*AO9&gt;=6),"A",IF(AND(AL9=3,AM9*AO9&gt;=3),"B",IF(AND(AL9=3,AM9*AO9&gt;=1),"C","")))</f>
        <v/>
      </c>
      <c r="AQ9" s="8">
        <f>"Scenario-level Threat=2; Step1="&amp;I9&amp;" Step2="&amp;R9&amp;" Step3="&amp;AA9&amp;" Step4="&amp;AJ9&amp;" ; Overall Threat fixed=2, Max Mitigation="&amp;AN9&amp;" =&gt; Overall="&amp;AP9</f>
        <v/>
      </c>
    </row>
    <row r="10">
      <c r="A10" s="0" t="n">
        <v>9</v>
      </c>
      <c r="B10" s="3">
        <f>SPRV_Source_For_Formulas!D34</f>
        <v/>
      </c>
      <c r="C10" s="0" t="inlineStr">
        <is>
          <t>VDI Auth server</t>
        </is>
      </c>
      <c r="D10"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10" s="0" t="n">
        <v>3</v>
      </c>
      <c r="F10" s="8" t="n">
        <v>2</v>
      </c>
      <c r="G10" s="3">
        <f>IF(SPRV_Source_For_Formulas!G34&lt;=0.2,3,IF(SPRV_Source_For_Formulas!G34&lt;=0.5,2,1))</f>
        <v/>
      </c>
      <c r="H10" s="8">
        <f>4-G10</f>
        <v/>
      </c>
      <c r="I10" s="9">
        <f>IF(AND(E10=3,F10*H10&gt;=6),"A",IF(AND(E10=3,F10*H10&gt;=3),"B",IF(AND(E10=3,F10*H10&gt;=1),"C","")))</f>
        <v/>
      </c>
      <c r="J10"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10" s="3">
        <f>SPRV_Source_For_Formulas!D35</f>
        <v/>
      </c>
      <c r="L10" s="0" t="inlineStr">
        <is>
          <t>VDI Auth server</t>
        </is>
      </c>
      <c r="M10" s="0" t="inlineStr">
        <is>
          <t>不正クラウドインスタンスを生成 し、VDI環境全体の制御奪取や横展開を図る</t>
        </is>
      </c>
      <c r="N10" s="0" t="n">
        <v>3</v>
      </c>
      <c r="O10" s="8" t="n">
        <v>2</v>
      </c>
      <c r="P10" s="3">
        <f>IF(SPRV_Source_For_Formulas!G35&lt;=0.2,3,IF(SPRV_Source_For_Formulas!G35&lt;=0.5,2,1))</f>
        <v/>
      </c>
      <c r="Q10" s="8">
        <f>4-P10</f>
        <v/>
      </c>
      <c r="R10" s="9">
        <f>IF(AND(N10=3,O10*Q10&gt;=6),"A",IF(AND(N10=3,O10*Q10&gt;=3),"B",IF(AND(N10=3,O10*Q10&gt;=1),"C","")))</f>
        <v/>
      </c>
      <c r="S10"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10" s="3">
        <f>SPRV_Source_For_Formulas!D36</f>
        <v/>
      </c>
      <c r="U10" s="0" t="inlineStr">
        <is>
          <t>VDI server</t>
        </is>
      </c>
      <c r="V10" s="0" t="inlineStr">
        <is>
          <t>クラウドAPI（AWS CLI等）を悪用し、スクリプトでクラウド環境へ不正指令を自動送信。</t>
        </is>
      </c>
      <c r="W10" s="0" t="n">
        <v>3</v>
      </c>
      <c r="X10" s="8" t="n">
        <v>2</v>
      </c>
      <c r="Y10" s="3">
        <f>IF(SPRV_Source_For_Formulas!G36&lt;=0.2,3,IF(SPRV_Source_For_Formulas!G36&lt;=0.5,2,1))</f>
        <v/>
      </c>
      <c r="Z10" s="8">
        <f>4-Y10</f>
        <v/>
      </c>
      <c r="AA10" s="9">
        <f>IF(AND(W10=3,X10*Z10&gt;=6),"A",IF(AND(W10=3,X10*Z10&gt;=3),"B",IF(AND(W10=3,X10*Z10&gt;=1),"C","")))</f>
        <v/>
      </c>
      <c r="AB10" s="0" t="inlineStr">
        <is>
          <t>β’モデル「3.3.6 コマンド実行制御」や「3.2.3 脆弱性管理」、Cloud API利用は正規用途でもあり、異常操作の見分けが困難、CSPMやSIEMによる振る舞い監視が必要だが完全ではない</t>
        </is>
      </c>
      <c r="AC10" s="3">
        <f>SPRV_Source_For_Formulas!D37</f>
        <v/>
      </c>
      <c r="AD10" s="0" t="inlineStr">
        <is>
          <t>My Number Administrative System on GovCloud</t>
        </is>
      </c>
      <c r="AE10" s="0" t="inlineStr">
        <is>
          <t xml:space="preserve">	不正スクリプトによって、複数のクラウドサービスインスタンスを乗っ取り、他攻撃の踏み台や外部攻撃に悪用。</t>
        </is>
      </c>
      <c r="AF10" s="0" t="n">
        <v>3</v>
      </c>
      <c r="AG10" s="8" t="n">
        <v>2</v>
      </c>
      <c r="AH10" s="3">
        <f>IF(SPRV_Source_For_Formulas!G37&lt;=0.2,3,IF(SPRV_Source_For_Formulas!G37&lt;=0.5,2,1))</f>
        <v/>
      </c>
      <c r="AI10" s="8">
        <f>4-AH10</f>
        <v/>
      </c>
      <c r="AJ10" s="9">
        <f>IF(AND(AF10=3,AG10*AI10&gt;=6),"A",IF(AND(AF10=3,AG10*AI10&gt;=3),"B",IF(AND(AF10=3,AG10*AI10&gt;=1),"C","")))</f>
        <v/>
      </c>
      <c r="AK10" s="0" t="inlineStr">
        <is>
          <t>β’モデル＋ガバメントクラウド資料にてIAM最小権限、API監査、CSPM運用が整備されていれば、有効性は高い。ただし初期検知遅延やアラート無視等には注意が必要。</t>
        </is>
      </c>
      <c r="AL10" s="8">
        <f>MAX(E10,N10,W10,AF10)</f>
        <v/>
      </c>
      <c r="AM10" s="8" t="n">
        <v>2</v>
      </c>
      <c r="AN10" s="8">
        <f>MAX(G10,P10,Y10,AH10)</f>
        <v/>
      </c>
      <c r="AO10" s="8">
        <f>4-AN10</f>
        <v/>
      </c>
      <c r="AP10" s="8">
        <f>IF(AND(AL10=3,AM10*AO10&gt;=6),"A",IF(AND(AL10=3,AM10*AO10&gt;=3),"B",IF(AND(AL10=3,AM10*AO10&gt;=1),"C","")))</f>
        <v/>
      </c>
      <c r="AQ10" s="8">
        <f>"Scenario-level Threat=2; Step1="&amp;I10&amp;" Step2="&amp;R10&amp;" Step3="&amp;AA10&amp;" Step4="&amp;AJ10&amp;" ; Overall Threat fixed=2, Max Mitigation="&amp;AN10&amp;" =&gt; Overall="&amp;AP10</f>
        <v/>
      </c>
    </row>
    <row r="11">
      <c r="A11" s="0" t="n">
        <v>10</v>
      </c>
      <c r="B11" s="3">
        <f>SPRV_Source_For_Formulas!D38</f>
        <v/>
      </c>
      <c r="C11" s="0" t="inlineStr">
        <is>
          <t>VDI Auth server</t>
        </is>
      </c>
      <c r="D11"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11" s="0" t="n">
        <v>3</v>
      </c>
      <c r="F11" s="8" t="n">
        <v>2</v>
      </c>
      <c r="G11" s="3">
        <f>IF(SPRV_Source_For_Formulas!G38&lt;=0.2,3,IF(SPRV_Source_For_Formulas!G38&lt;=0.5,2,1))</f>
        <v/>
      </c>
      <c r="H11" s="8">
        <f>4-G11</f>
        <v/>
      </c>
      <c r="I11" s="9">
        <f>IF(AND(E11=3,F11*H11&gt;=6),"A",IF(AND(E11=3,F11*H11&gt;=3),"B",IF(AND(E11=3,F11*H11&gt;=1),"C","")))</f>
        <v/>
      </c>
      <c r="J11"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11" s="3">
        <f>SPRV_Source_For_Formulas!D39</f>
        <v/>
      </c>
      <c r="L11" s="0" t="inlineStr">
        <is>
          <t>VDI Auth server</t>
        </is>
      </c>
      <c r="M11" s="0" t="inlineStr">
        <is>
          <t>不正クラウドインスタンスを生成 し、VDI環境全体の制御奪取や横展開を図る</t>
        </is>
      </c>
      <c r="N11" s="0" t="n">
        <v>3</v>
      </c>
      <c r="O11" s="8" t="n">
        <v>2</v>
      </c>
      <c r="P11" s="3">
        <f>IF(SPRV_Source_For_Formulas!G39&lt;=0.2,3,IF(SPRV_Source_For_Formulas!G39&lt;=0.5,2,1))</f>
        <v/>
      </c>
      <c r="Q11" s="8">
        <f>4-P11</f>
        <v/>
      </c>
      <c r="R11" s="9">
        <f>IF(AND(N11=3,O11*Q11&gt;=6),"A",IF(AND(N11=3,O11*Q11&gt;=3),"B",IF(AND(N11=3,O11*Q11&gt;=1),"C","")))</f>
        <v/>
      </c>
      <c r="S11"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11" s="3">
        <f>SPRV_Source_For_Formulas!D40</f>
        <v/>
      </c>
      <c r="U11" s="0" t="inlineStr">
        <is>
          <t>VDI server</t>
        </is>
      </c>
      <c r="V11" s="0" t="inlineStr">
        <is>
          <t>クラウドAPI（AWS CLI等）を悪用し、スクリプトでクラウド環境へ不正指令を自動送信。</t>
        </is>
      </c>
      <c r="W11" s="0" t="n">
        <v>3</v>
      </c>
      <c r="X11" s="8" t="n">
        <v>2</v>
      </c>
      <c r="Y11" s="3">
        <f>IF(SPRV_Source_For_Formulas!G40&lt;=0.2,3,IF(SPRV_Source_For_Formulas!G40&lt;=0.5,2,1))</f>
        <v/>
      </c>
      <c r="Z11" s="8">
        <f>4-Y11</f>
        <v/>
      </c>
      <c r="AA11" s="9">
        <f>IF(AND(W11=3,X11*Z11&gt;=6),"A",IF(AND(W11=3,X11*Z11&gt;=3),"B",IF(AND(W11=3,X11*Z11&gt;=1),"C","")))</f>
        <v/>
      </c>
      <c r="AB11" s="0" t="inlineStr">
        <is>
          <t>β’モデル「3.3.6 コマンド実行制御」や「3.2.3 脆弱性管理」、Cloud API利用は正規用途でもあり、異常操作の見分けが困難、CSPMやSIEMによる振る舞い監視が必要だが完全ではない</t>
        </is>
      </c>
      <c r="AC11" s="3">
        <f>SPRV_Source_For_Formulas!D41</f>
        <v/>
      </c>
      <c r="AD11" s="0" t="inlineStr">
        <is>
          <t>My Number Administrative System on GovCloud</t>
        </is>
      </c>
      <c r="AE11" s="0" t="inlineStr">
        <is>
          <t>スクリプト経由で取得したクラウドリソースを、計算資源として不正使用。DDoS用のC2インフラ構築に用いる例もあり。</t>
        </is>
      </c>
      <c r="AF11" s="0" t="n">
        <v>3</v>
      </c>
      <c r="AG11" s="8" t="n">
        <v>2</v>
      </c>
      <c r="AH11" s="3">
        <f>IF(SPRV_Source_For_Formulas!G41&lt;=0.2,3,IF(SPRV_Source_For_Formulas!G41&lt;=0.5,2,1))</f>
        <v/>
      </c>
      <c r="AI11" s="8">
        <f>4-AH11</f>
        <v/>
      </c>
      <c r="AJ11" s="9">
        <f>IF(AND(AF11=3,AG11*AI11&gt;=6),"A",IF(AND(AF11=3,AG11*AI11&gt;=3),"B",IF(AND(AF11=3,AG11*AI11&gt;=1),"C","")))</f>
        <v/>
      </c>
      <c r="AK11" s="0" t="inlineStr">
        <is>
          <t>仮想マシンに対するネットワーク分離、IAM制御、ログ監視により不正操作の抑止・検知が可能。推奨対策と合致。</t>
        </is>
      </c>
      <c r="AL11" s="8">
        <f>MAX(E11,N11,W11,AF11)</f>
        <v/>
      </c>
      <c r="AM11" s="8" t="n">
        <v>2</v>
      </c>
      <c r="AN11" s="8">
        <f>MAX(G11,P11,Y11,AH11)</f>
        <v/>
      </c>
      <c r="AO11" s="8">
        <f>4-AN11</f>
        <v/>
      </c>
      <c r="AP11" s="8">
        <f>IF(AND(AL11=3,AM11*AO11&gt;=6),"A",IF(AND(AL11=3,AM11*AO11&gt;=3),"B",IF(AND(AL11=3,AM11*AO11&gt;=1),"C","")))</f>
        <v/>
      </c>
      <c r="AQ11" s="8">
        <f>"Scenario-level Threat=2; Step1="&amp;I11&amp;" Step2="&amp;R11&amp;" Step3="&amp;AA11&amp;" Step4="&amp;AJ11&amp;" ; Overall Threat fixed=2, Max Mitigation="&amp;AN11&amp;" =&gt; Overall="&amp;AP11</f>
        <v/>
      </c>
    </row>
    <row r="12">
      <c r="A12" s="0" t="n">
        <v>11</v>
      </c>
      <c r="B12" s="3">
        <f>SPRV_Source_For_Formulas!D42</f>
        <v/>
      </c>
      <c r="C12" s="0" t="inlineStr">
        <is>
          <t>VDI Auth server</t>
        </is>
      </c>
      <c r="D12"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12" s="0" t="n">
        <v>3</v>
      </c>
      <c r="F12" s="8" t="n">
        <v>2</v>
      </c>
      <c r="G12" s="3">
        <f>IF(SPRV_Source_For_Formulas!G42&lt;=0.2,3,IF(SPRV_Source_For_Formulas!G42&lt;=0.5,2,1))</f>
        <v/>
      </c>
      <c r="H12" s="8">
        <f>4-G12</f>
        <v/>
      </c>
      <c r="I12" s="9">
        <f>IF(AND(E12=3,F12*H12&gt;=6),"A",IF(AND(E12=3,F12*H12&gt;=3),"B",IF(AND(E12=3,F12*H12&gt;=1),"C","")))</f>
        <v/>
      </c>
      <c r="J12"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12" s="3">
        <f>SPRV_Source_For_Formulas!D43</f>
        <v/>
      </c>
      <c r="L12" s="0" t="inlineStr">
        <is>
          <t>VDI Auth server</t>
        </is>
      </c>
      <c r="M12" s="0" t="inlineStr">
        <is>
          <t>不正クラウドインスタンスを生成 し、VDI環境全体の制御奪取や横展開を図る</t>
        </is>
      </c>
      <c r="N12" s="0" t="n">
        <v>3</v>
      </c>
      <c r="O12" s="8" t="n">
        <v>2</v>
      </c>
      <c r="P12" s="3">
        <f>IF(SPRV_Source_For_Formulas!G43&lt;=0.2,3,IF(SPRV_Source_For_Formulas!G43&lt;=0.5,2,1))</f>
        <v/>
      </c>
      <c r="Q12" s="8">
        <f>4-P12</f>
        <v/>
      </c>
      <c r="R12" s="9">
        <f>IF(AND(N12=3,O12*Q12&gt;=6),"A",IF(AND(N12=3,O12*Q12&gt;=3),"B",IF(AND(N12=3,O12*Q12&gt;=1),"C","")))</f>
        <v/>
      </c>
      <c r="S12"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12" s="3">
        <f>SPRV_Source_For_Formulas!D44</f>
        <v/>
      </c>
      <c r="U12" s="0" t="inlineStr">
        <is>
          <t>VDI server</t>
        </is>
      </c>
      <c r="V12" s="0" t="inlineStr">
        <is>
          <t>クラウドAPI（AWS CLI等）を悪用し、スクリプトでクラウド環境へ不正指令を自動送信。</t>
        </is>
      </c>
      <c r="W12" s="0" t="n">
        <v>3</v>
      </c>
      <c r="X12" s="8" t="n">
        <v>2</v>
      </c>
      <c r="Y12" s="3">
        <f>IF(SPRV_Source_For_Formulas!G44&lt;=0.2,3,IF(SPRV_Source_For_Formulas!G44&lt;=0.5,2,1))</f>
        <v/>
      </c>
      <c r="Z12" s="8">
        <f>4-Y12</f>
        <v/>
      </c>
      <c r="AA12" s="9">
        <f>IF(AND(W12=3,X12*Z12&gt;=6),"A",IF(AND(W12=3,X12*Z12&gt;=3),"B",IF(AND(W12=3,X12*Z12&gt;=1),"C","")))</f>
        <v/>
      </c>
      <c r="AB12" s="0" t="inlineStr">
        <is>
          <t>β’モデル「3.3.6 コマンド実行制御」や「3.2.3 脆弱性管理」、Cloud API利用は正規用途でもあり、異常操作の見分けが困難、CSPMやSIEMによる振る舞い監視が必要だが完全ではない</t>
        </is>
      </c>
      <c r="AC12" s="3">
        <f>SPRV_Source_For_Formulas!D45</f>
        <v/>
      </c>
      <c r="AD12" s="0" t="inlineStr">
        <is>
          <t>My Number Administrative System on GovCloud</t>
        </is>
      </c>
      <c r="AE12"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12" s="0" t="n">
        <v>3</v>
      </c>
      <c r="AG12" s="8" t="n">
        <v>2</v>
      </c>
      <c r="AH12" s="3">
        <f>IF(SPRV_Source_For_Formulas!G45&lt;=0.2,3,IF(SPRV_Source_For_Formulas!G45&lt;=0.5,2,1))</f>
        <v/>
      </c>
      <c r="AI12" s="8">
        <f>4-AH12</f>
        <v/>
      </c>
      <c r="AJ12" s="9">
        <f>IF(AND(AF12=3,AG12*AI12&gt;=6),"A",IF(AND(AF12=3,AG12*AI12&gt;=3),"B",IF(AND(AF12=3,AG12*AI12&gt;=1),"C","")))</f>
        <v/>
      </c>
      <c r="AK12"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12" s="8">
        <f>MAX(E12,N12,W12,AF12)</f>
        <v/>
      </c>
      <c r="AM12" s="8" t="n">
        <v>2</v>
      </c>
      <c r="AN12" s="8">
        <f>MAX(G12,P12,Y12,AH12)</f>
        <v/>
      </c>
      <c r="AO12" s="8">
        <f>4-AN12</f>
        <v/>
      </c>
      <c r="AP12" s="8">
        <f>IF(AND(AL12=3,AM12*AO12&gt;=6),"A",IF(AND(AL12=3,AM12*AO12&gt;=3),"B",IF(AND(AL12=3,AM12*AO12&gt;=1),"C","")))</f>
        <v/>
      </c>
      <c r="AQ12" s="8">
        <f>"Scenario-level Threat=2; Step1="&amp;I12&amp;" Step2="&amp;R12&amp;" Step3="&amp;AA12&amp;" Step4="&amp;AJ12&amp;" ; Overall Threat fixed=2, Max Mitigation="&amp;AN12&amp;" =&gt; Overall="&amp;AP12</f>
        <v/>
      </c>
    </row>
    <row r="13">
      <c r="A13" s="0" t="n">
        <v>12</v>
      </c>
      <c r="B13" s="3">
        <f>SPRV_Source_For_Formulas!D46</f>
        <v/>
      </c>
      <c r="C13" s="0" t="inlineStr">
        <is>
          <t>VDI Auth server</t>
        </is>
      </c>
      <c r="D13"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13" s="0" t="n">
        <v>3</v>
      </c>
      <c r="F13" s="8" t="n">
        <v>2</v>
      </c>
      <c r="G13" s="3">
        <f>IF(SPRV_Source_For_Formulas!G46&lt;=0.2,3,IF(SPRV_Source_For_Formulas!G46&lt;=0.5,2,1))</f>
        <v/>
      </c>
      <c r="H13" s="8">
        <f>4-G13</f>
        <v/>
      </c>
      <c r="I13" s="9">
        <f>IF(AND(E13=3,F13*H13&gt;=6),"A",IF(AND(E13=3,F13*H13&gt;=3),"B",IF(AND(E13=3,F13*H13&gt;=1),"C","")))</f>
        <v/>
      </c>
      <c r="J13"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13" s="3">
        <f>SPRV_Source_For_Formulas!D47</f>
        <v/>
      </c>
      <c r="L13" s="0" t="inlineStr">
        <is>
          <t>VDI Auth server</t>
        </is>
      </c>
      <c r="M13" s="0" t="inlineStr">
        <is>
          <t>不正クラウドインスタンスを生成 し、VDI環境全体の制御奪取や横展開を図る</t>
        </is>
      </c>
      <c r="N13" s="0" t="n">
        <v>3</v>
      </c>
      <c r="O13" s="8" t="n">
        <v>2</v>
      </c>
      <c r="P13" s="3">
        <f>IF(SPRV_Source_For_Formulas!G47&lt;=0.2,3,IF(SPRV_Source_For_Formulas!G47&lt;=0.5,2,1))</f>
        <v/>
      </c>
      <c r="Q13" s="8">
        <f>4-P13</f>
        <v/>
      </c>
      <c r="R13" s="9">
        <f>IF(AND(N13=3,O13*Q13&gt;=6),"A",IF(AND(N13=3,O13*Q13&gt;=3),"B",IF(AND(N13=3,O13*Q13&gt;=1),"C","")))</f>
        <v/>
      </c>
      <c r="S13"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13" s="3">
        <f>SPRV_Source_For_Formulas!D48</f>
        <v/>
      </c>
      <c r="U13" s="0" t="inlineStr">
        <is>
          <t>VDI server</t>
        </is>
      </c>
      <c r="V13" s="0" t="inlineStr">
        <is>
          <t>クラウドAPI（AWS CLI等）を悪用し、スクリプトでクラウド環境へ不正指令を自動送信。</t>
        </is>
      </c>
      <c r="W13" s="0" t="n">
        <v>3</v>
      </c>
      <c r="X13" s="8" t="n">
        <v>2</v>
      </c>
      <c r="Y13" s="3">
        <f>IF(SPRV_Source_For_Formulas!G48&lt;=0.2,3,IF(SPRV_Source_For_Formulas!G48&lt;=0.5,2,1))</f>
        <v/>
      </c>
      <c r="Z13" s="8">
        <f>4-Y13</f>
        <v/>
      </c>
      <c r="AA13" s="9">
        <f>IF(AND(W13=3,X13*Z13&gt;=6),"A",IF(AND(W13=3,X13*Z13&gt;=3),"B",IF(AND(W13=3,X13*Z13&gt;=1),"C","")))</f>
        <v/>
      </c>
      <c r="AB13" s="0" t="inlineStr">
        <is>
          <t>β’モデル「3.3.6 コマンド実行制御」や「3.2.3 脆弱性管理」、Cloud API利用は正規用途でもあり、異常操作の見分けが困難、CSPMやSIEMによる振る舞い監視が必要だが完全ではない</t>
        </is>
      </c>
      <c r="AC13" s="3">
        <f>SPRV_Source_For_Formulas!D49</f>
        <v/>
      </c>
      <c r="AD13" s="0" t="inlineStr">
        <is>
          <t>My Number Administrative System on GovCloud</t>
        </is>
      </c>
      <c r="AE13"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13" s="0" t="n">
        <v>3</v>
      </c>
      <c r="AG13" s="8" t="n">
        <v>2</v>
      </c>
      <c r="AH13" s="3">
        <f>IF(SPRV_Source_For_Formulas!G49&lt;=0.2,3,IF(SPRV_Source_For_Formulas!G49&lt;=0.5,2,1))</f>
        <v/>
      </c>
      <c r="AI13" s="8">
        <f>4-AH13</f>
        <v/>
      </c>
      <c r="AJ13" s="9">
        <f>IF(AND(AF13=3,AG13*AI13&gt;=6),"A",IF(AND(AF13=3,AG13*AI13&gt;=3),"B",IF(AND(AF13=3,AG13*AI13&gt;=1),"C","")))</f>
        <v/>
      </c>
      <c r="AK13"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13" s="8">
        <f>MAX(E13,N13,W13,AF13)</f>
        <v/>
      </c>
      <c r="AM13" s="8" t="n">
        <v>2</v>
      </c>
      <c r="AN13" s="8">
        <f>MAX(G13,P13,Y13,AH13)</f>
        <v/>
      </c>
      <c r="AO13" s="8">
        <f>4-AN13</f>
        <v/>
      </c>
      <c r="AP13" s="8">
        <f>IF(AND(AL13=3,AM13*AO13&gt;=6),"A",IF(AND(AL13=3,AM13*AO13&gt;=3),"B",IF(AND(AL13=3,AM13*AO13&gt;=1),"C","")))</f>
        <v/>
      </c>
      <c r="AQ13" s="8">
        <f>"Scenario-level Threat=2; Step1="&amp;I13&amp;" Step2="&amp;R13&amp;" Step3="&amp;AA13&amp;" Step4="&amp;AJ13&amp;" ; Overall Threat fixed=2, Max Mitigation="&amp;AN13&amp;" =&gt; Overall="&amp;AP13</f>
        <v/>
      </c>
    </row>
    <row r="14">
      <c r="A14" s="0" t="n">
        <v>13</v>
      </c>
      <c r="B14" s="3">
        <f>SPRV_Source_For_Formulas!D50</f>
        <v/>
      </c>
      <c r="C14" s="0" t="inlineStr">
        <is>
          <t>VDI Auth server</t>
        </is>
      </c>
      <c r="D14"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14" s="0" t="n">
        <v>3</v>
      </c>
      <c r="F14" s="8" t="n">
        <v>2</v>
      </c>
      <c r="G14" s="3">
        <f>IF(SPRV_Source_For_Formulas!G50&lt;=0.2,3,IF(SPRV_Source_For_Formulas!G50&lt;=0.5,2,1))</f>
        <v/>
      </c>
      <c r="H14" s="8">
        <f>4-G14</f>
        <v/>
      </c>
      <c r="I14" s="9">
        <f>IF(AND(E14=3,F14*H14&gt;=6),"A",IF(AND(E14=3,F14*H14&gt;=3),"B",IF(AND(E14=3,F14*H14&gt;=1),"C","")))</f>
        <v/>
      </c>
      <c r="J14"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14" s="3">
        <f>SPRV_Source_For_Formulas!D51</f>
        <v/>
      </c>
      <c r="L14" s="0" t="inlineStr">
        <is>
          <t>VDI Auth server</t>
        </is>
      </c>
      <c r="M14" s="0" t="inlineStr">
        <is>
          <t>不正クラウドインスタンスを生成 し、VDI環境全体の制御奪取や横展開を図る</t>
        </is>
      </c>
      <c r="N14" s="0" t="n">
        <v>3</v>
      </c>
      <c r="O14" s="8" t="n">
        <v>2</v>
      </c>
      <c r="P14" s="3">
        <f>IF(SPRV_Source_For_Formulas!G51&lt;=0.2,3,IF(SPRV_Source_For_Formulas!G51&lt;=0.5,2,1))</f>
        <v/>
      </c>
      <c r="Q14" s="8">
        <f>4-P14</f>
        <v/>
      </c>
      <c r="R14" s="9">
        <f>IF(AND(N14=3,O14*Q14&gt;=6),"A",IF(AND(N14=3,O14*Q14&gt;=3),"B",IF(AND(N14=3,O14*Q14&gt;=1),"C","")))</f>
        <v/>
      </c>
      <c r="S14"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14" s="3">
        <f>SPRV_Source_For_Formulas!D52</f>
        <v/>
      </c>
      <c r="U14" s="0" t="inlineStr">
        <is>
          <t>VDI server</t>
        </is>
      </c>
      <c r="V14" s="0" t="inlineStr">
        <is>
          <t>Azure ADやIAMの信頼関係ポリシーを改変し、他テナントや管理者権限への横展開を狙う。</t>
        </is>
      </c>
      <c r="W14" s="0" t="n">
        <v>3</v>
      </c>
      <c r="X14" s="8" t="n">
        <v>2</v>
      </c>
      <c r="Y14" s="3">
        <f>IF(SPRV_Source_For_Formulas!G52&lt;=0.2,3,IF(SPRV_Source_For_Formulas!G52&lt;=0.5,2,1))</f>
        <v/>
      </c>
      <c r="Z14" s="8">
        <f>4-Y14</f>
        <v/>
      </c>
      <c r="AA14" s="9">
        <f>IF(AND(W14=3,X14*Z14&gt;=6),"A",IF(AND(W14=3,X14*Z14&gt;=3),"B",IF(AND(W14=3,X14*Z14&gt;=1),"C","")))</f>
        <v/>
      </c>
      <c r="AB14" s="0" t="inlineStr">
        <is>
          <t>β’モデル：
「3.3.1 権限管理」「3.3.5 設定変更検知」「3.4.1 操作記録」等。
補足評価：GPO改変は一度権限を奪取された後に、正規操作として行われる可能性が高く、検知・阻止が難しい。
特にVDI環境などでは検知の即時性に限界があるため、評価「2（低）」は妥当。</t>
        </is>
      </c>
      <c r="AC14" s="3">
        <f>SPRV_Source_For_Formulas!D53</f>
        <v/>
      </c>
      <c r="AD14" s="0" t="inlineStr">
        <is>
          <t>My Number Administrative System on GovCloud</t>
        </is>
      </c>
      <c r="AE14" s="0" t="inlineStr">
        <is>
          <t>信頼関係改変で取得したクラウド権限を用い、複数クラウドサービスを乗っ取り攻撃基盤化。</t>
        </is>
      </c>
      <c r="AF14" s="0" t="n">
        <v>3</v>
      </c>
      <c r="AG14" s="8" t="n">
        <v>2</v>
      </c>
      <c r="AH14" s="3">
        <f>IF(SPRV_Source_For_Formulas!G53&lt;=0.2,3,IF(SPRV_Source_For_Formulas!G53&lt;=0.5,2,1))</f>
        <v/>
      </c>
      <c r="AI14" s="8">
        <f>4-AH14</f>
        <v/>
      </c>
      <c r="AJ14" s="9">
        <f>IF(AND(AF14=3,AG14*AI14&gt;=6),"A",IF(AND(AF14=3,AG14*AI14&gt;=3),"B",IF(AND(AF14=3,AG14*AI14&gt;=1),"C","")))</f>
        <v/>
      </c>
      <c r="AK14" s="0" t="inlineStr">
        <is>
          <t>β’モデル＋ガバメントクラウド資料にてIAM最小権限、API監査、CSPM運用が整備されていれば、有効性は高い。ただし初期検知遅延やアラート無視等には注意が必要。</t>
        </is>
      </c>
      <c r="AL14" s="8">
        <f>MAX(E14,N14,W14,AF14)</f>
        <v/>
      </c>
      <c r="AM14" s="8" t="n">
        <v>2</v>
      </c>
      <c r="AN14" s="8">
        <f>MAX(G14,P14,Y14,AH14)</f>
        <v/>
      </c>
      <c r="AO14" s="8">
        <f>4-AN14</f>
        <v/>
      </c>
      <c r="AP14" s="8">
        <f>IF(AND(AL14=3,AM14*AO14&gt;=6),"A",IF(AND(AL14=3,AM14*AO14&gt;=3),"B",IF(AND(AL14=3,AM14*AO14&gt;=1),"C","")))</f>
        <v/>
      </c>
      <c r="AQ14" s="8">
        <f>"Scenario-level Threat=2; Step1="&amp;I14&amp;" Step2="&amp;R14&amp;" Step3="&amp;AA14&amp;" Step4="&amp;AJ14&amp;" ; Overall Threat fixed=2, Max Mitigation="&amp;AN14&amp;" =&gt; Overall="&amp;AP14</f>
        <v/>
      </c>
    </row>
    <row r="15">
      <c r="A15" s="0" t="n">
        <v>14</v>
      </c>
      <c r="B15" s="3">
        <f>SPRV_Source_For_Formulas!D54</f>
        <v/>
      </c>
      <c r="C15" s="0" t="inlineStr">
        <is>
          <t>VDI Auth server</t>
        </is>
      </c>
      <c r="D15"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15" s="0" t="n">
        <v>3</v>
      </c>
      <c r="F15" s="8" t="n">
        <v>2</v>
      </c>
      <c r="G15" s="3">
        <f>IF(SPRV_Source_For_Formulas!G54&lt;=0.2,3,IF(SPRV_Source_For_Formulas!G54&lt;=0.5,2,1))</f>
        <v/>
      </c>
      <c r="H15" s="8">
        <f>4-G15</f>
        <v/>
      </c>
      <c r="I15" s="9">
        <f>IF(AND(E15=3,F15*H15&gt;=6),"A",IF(AND(E15=3,F15*H15&gt;=3),"B",IF(AND(E15=3,F15*H15&gt;=1),"C","")))</f>
        <v/>
      </c>
      <c r="J15"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15" s="3">
        <f>SPRV_Source_For_Formulas!D55</f>
        <v/>
      </c>
      <c r="L15" s="0" t="inlineStr">
        <is>
          <t>VDI Auth server</t>
        </is>
      </c>
      <c r="M15" s="0" t="inlineStr">
        <is>
          <t>不正クラウドインスタンスを生成 し、VDI環境全体の制御奪取や横展開を図る</t>
        </is>
      </c>
      <c r="N15" s="0" t="n">
        <v>3</v>
      </c>
      <c r="O15" s="8" t="n">
        <v>2</v>
      </c>
      <c r="P15" s="3">
        <f>IF(SPRV_Source_For_Formulas!G55&lt;=0.2,3,IF(SPRV_Source_For_Formulas!G55&lt;=0.5,2,1))</f>
        <v/>
      </c>
      <c r="Q15" s="8">
        <f>4-P15</f>
        <v/>
      </c>
      <c r="R15" s="9">
        <f>IF(AND(N15=3,O15*Q15&gt;=6),"A",IF(AND(N15=3,O15*Q15&gt;=3),"B",IF(AND(N15=3,O15*Q15&gt;=1),"C","")))</f>
        <v/>
      </c>
      <c r="S15"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15" s="3">
        <f>SPRV_Source_For_Formulas!D56</f>
        <v/>
      </c>
      <c r="U15" s="0" t="inlineStr">
        <is>
          <t>VDI server</t>
        </is>
      </c>
      <c r="V15" s="0" t="inlineStr">
        <is>
          <t>Azure ADやIAMの信頼関係ポリシーを改変し、他テナントや管理者権限への横展開を狙う。</t>
        </is>
      </c>
      <c r="W15" s="0" t="n">
        <v>3</v>
      </c>
      <c r="X15" s="8" t="n">
        <v>2</v>
      </c>
      <c r="Y15" s="3">
        <f>IF(SPRV_Source_For_Formulas!G56&lt;=0.2,3,IF(SPRV_Source_For_Formulas!G56&lt;=0.5,2,1))</f>
        <v/>
      </c>
      <c r="Z15" s="8">
        <f>4-Y15</f>
        <v/>
      </c>
      <c r="AA15" s="9">
        <f>IF(AND(W15=3,X15*Z15&gt;=6),"A",IF(AND(W15=3,X15*Z15&gt;=3),"B",IF(AND(W15=3,X15*Z15&gt;=1),"C","")))</f>
        <v/>
      </c>
      <c r="AB15" s="0" t="inlineStr">
        <is>
          <t>β’モデル：「3.3.1 権限管理」「3.3.5 設定変更検知」「3.4.1 操作記録」等。
補足評価：GPO改変は一度権限を奪取された後に、正規操作として行われる可能性が高く、検知・阻止が難しい。
特にVDI環境などでは検知の即時性に限界があるため、対策有効率評価「1（低）」は妥当。</t>
        </is>
      </c>
      <c r="AC15" s="3">
        <f>SPRV_Source_For_Formulas!D57</f>
        <v/>
      </c>
      <c r="AD15" s="0" t="inlineStr">
        <is>
          <t>My Number Administrative System on GovCloud</t>
        </is>
      </c>
      <c r="AE15" s="0" t="inlineStr">
        <is>
          <t>クラウドインスタンスにマルウェアを展開し、計算リソースを違法マイニングや外部DDoSに悪用。</t>
        </is>
      </c>
      <c r="AF15" s="0" t="n">
        <v>3</v>
      </c>
      <c r="AG15" s="8" t="n">
        <v>2</v>
      </c>
      <c r="AH15" s="3">
        <f>IF(SPRV_Source_For_Formulas!G57&lt;=0.2,3,IF(SPRV_Source_For_Formulas!G57&lt;=0.5,2,1))</f>
        <v/>
      </c>
      <c r="AI15" s="8">
        <f>4-AH15</f>
        <v/>
      </c>
      <c r="AJ15" s="9">
        <f>IF(AND(AF15=3,AG15*AI15&gt;=6),"A",IF(AND(AF15=3,AG15*AI15&gt;=3),"B",IF(AND(AF15=3,AG15*AI15&gt;=1),"C","")))</f>
        <v/>
      </c>
      <c r="AK15" s="0" t="inlineStr">
        <is>
          <t>仮想マシンに対するネットワーク分離、IAM制御、ログ監視により不正操作の抑止・検知が可能。推奨対策と合致。</t>
        </is>
      </c>
      <c r="AL15" s="8">
        <f>MAX(E15,N15,W15,AF15)</f>
        <v/>
      </c>
      <c r="AM15" s="8" t="n">
        <v>2</v>
      </c>
      <c r="AN15" s="8">
        <f>MAX(G15,P15,Y15,AH15)</f>
        <v/>
      </c>
      <c r="AO15" s="8">
        <f>4-AN15</f>
        <v/>
      </c>
      <c r="AP15" s="8">
        <f>IF(AND(AL15=3,AM15*AO15&gt;=6),"A",IF(AND(AL15=3,AM15*AO15&gt;=3),"B",IF(AND(AL15=3,AM15*AO15&gt;=1),"C","")))</f>
        <v/>
      </c>
      <c r="AQ15" s="8">
        <f>"Scenario-level Threat=2; Step1="&amp;I15&amp;" Step2="&amp;R15&amp;" Step3="&amp;AA15&amp;" Step4="&amp;AJ15&amp;" ; Overall Threat fixed=2, Max Mitigation="&amp;AN15&amp;" =&gt; Overall="&amp;AP15</f>
        <v/>
      </c>
    </row>
    <row r="16">
      <c r="A16" s="0" t="n">
        <v>15</v>
      </c>
      <c r="B16" s="3">
        <f>SPRV_Source_For_Formulas!D58</f>
        <v/>
      </c>
      <c r="C16" s="0" t="inlineStr">
        <is>
          <t>VDI Auth server</t>
        </is>
      </c>
      <c r="D16"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16" s="0" t="n">
        <v>3</v>
      </c>
      <c r="F16" s="8" t="n">
        <v>2</v>
      </c>
      <c r="G16" s="3">
        <f>IF(SPRV_Source_For_Formulas!G58&lt;=0.2,3,IF(SPRV_Source_For_Formulas!G58&lt;=0.5,2,1))</f>
        <v/>
      </c>
      <c r="H16" s="8">
        <f>4-G16</f>
        <v/>
      </c>
      <c r="I16" s="9">
        <f>IF(AND(E16=3,F16*H16&gt;=6),"A",IF(AND(E16=3,F16*H16&gt;=3),"B",IF(AND(E16=3,F16*H16&gt;=1),"C","")))</f>
        <v/>
      </c>
      <c r="J16"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16" s="3">
        <f>SPRV_Source_For_Formulas!D59</f>
        <v/>
      </c>
      <c r="L16" s="0" t="inlineStr">
        <is>
          <t>VDI Auth server</t>
        </is>
      </c>
      <c r="M16" s="0" t="inlineStr">
        <is>
          <t>不正クラウドインスタンスを生成 し、VDI環境全体の制御奪取や横展開を図る</t>
        </is>
      </c>
      <c r="N16" s="0" t="n">
        <v>3</v>
      </c>
      <c r="O16" s="8" t="n">
        <v>2</v>
      </c>
      <c r="P16" s="3">
        <f>IF(SPRV_Source_For_Formulas!G59&lt;=0.2,3,IF(SPRV_Source_For_Formulas!G59&lt;=0.5,2,1))</f>
        <v/>
      </c>
      <c r="Q16" s="8">
        <f>4-P16</f>
        <v/>
      </c>
      <c r="R16" s="9">
        <f>IF(AND(N16=3,O16*Q16&gt;=6),"A",IF(AND(N16=3,O16*Q16&gt;=3),"B",IF(AND(N16=3,O16*Q16&gt;=1),"C","")))</f>
        <v/>
      </c>
      <c r="S16"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16" s="3">
        <f>SPRV_Source_For_Formulas!D60</f>
        <v/>
      </c>
      <c r="U16" s="0" t="inlineStr">
        <is>
          <t>VDI server</t>
        </is>
      </c>
      <c r="V16" s="0" t="inlineStr">
        <is>
          <t>Azure ADやIAMの信頼関係ポリシーを改変し、他テナントや管理者権限への横展開を狙う。</t>
        </is>
      </c>
      <c r="W16" s="0" t="n">
        <v>3</v>
      </c>
      <c r="X16" s="8" t="n">
        <v>2</v>
      </c>
      <c r="Y16" s="3">
        <f>IF(SPRV_Source_For_Formulas!G60&lt;=0.2,3,IF(SPRV_Source_For_Formulas!G60&lt;=0.5,2,1))</f>
        <v/>
      </c>
      <c r="Z16" s="8">
        <f>4-Y16</f>
        <v/>
      </c>
      <c r="AA16" s="9">
        <f>IF(AND(W16=3,X16*Z16&gt;=6),"A",IF(AND(W16=3,X16*Z16&gt;=3),"B",IF(AND(W16=3,X16*Z16&gt;=1),"C","")))</f>
        <v/>
      </c>
      <c r="AB16" s="0" t="inlineStr">
        <is>
          <t>β’モデル：
「3.3.1 権限管理」「3.3.5 設定変更検知」「3.4.1 操作記録」等。
補足評価：
GPO改変は一度権限を奪取された後に、正規操作として行われる可能性が高く、検知・阻止が難しい。
特にVDI環境などでは検知の即時性に限界があるため、評価「2（低）」は妥当。</t>
        </is>
      </c>
      <c r="AC16" s="3">
        <f>SPRV_Source_For_Formulas!D61</f>
        <v/>
      </c>
      <c r="AD16" s="0" t="inlineStr">
        <is>
          <t>My Number Administrative System on GovCloud</t>
        </is>
      </c>
      <c r="AE16"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16" s="0" t="n">
        <v>3</v>
      </c>
      <c r="AG16" s="8" t="n">
        <v>2</v>
      </c>
      <c r="AH16" s="3">
        <f>IF(SPRV_Source_For_Formulas!G61&lt;=0.2,3,IF(SPRV_Source_For_Formulas!G61&lt;=0.5,2,1))</f>
        <v/>
      </c>
      <c r="AI16" s="8">
        <f>4-AH16</f>
        <v/>
      </c>
      <c r="AJ16" s="9">
        <f>IF(AND(AF16=3,AG16*AI16&gt;=6),"A",IF(AND(AF16=3,AG16*AI16&gt;=3),"B",IF(AND(AF16=3,AG16*AI16&gt;=1),"C","")))</f>
        <v/>
      </c>
      <c r="AK16"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16" s="8">
        <f>MAX(E16,N16,W16,AF16)</f>
        <v/>
      </c>
      <c r="AM16" s="8" t="n">
        <v>2</v>
      </c>
      <c r="AN16" s="8">
        <f>MAX(G16,P16,Y16,AH16)</f>
        <v/>
      </c>
      <c r="AO16" s="8">
        <f>4-AN16</f>
        <v/>
      </c>
      <c r="AP16" s="8">
        <f>IF(AND(AL16=3,AM16*AO16&gt;=6),"A",IF(AND(AL16=3,AM16*AO16&gt;=3),"B",IF(AND(AL16=3,AM16*AO16&gt;=1),"C","")))</f>
        <v/>
      </c>
      <c r="AQ16" s="8">
        <f>"Scenario-level Threat=2; Step1="&amp;I16&amp;" Step2="&amp;R16&amp;" Step3="&amp;AA16&amp;" Step4="&amp;AJ16&amp;" ; Overall Threat fixed=2, Max Mitigation="&amp;AN16&amp;" =&gt; Overall="&amp;AP16</f>
        <v/>
      </c>
    </row>
    <row r="17">
      <c r="A17" s="0" t="n">
        <v>16</v>
      </c>
      <c r="B17" s="3">
        <f>SPRV_Source_For_Formulas!D62</f>
        <v/>
      </c>
      <c r="C17" s="0" t="inlineStr">
        <is>
          <t>VDI Auth server</t>
        </is>
      </c>
      <c r="D17"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17" s="0" t="n">
        <v>3</v>
      </c>
      <c r="F17" s="8" t="n">
        <v>2</v>
      </c>
      <c r="G17" s="3">
        <f>IF(SPRV_Source_For_Formulas!G62&lt;=0.2,3,IF(SPRV_Source_For_Formulas!G62&lt;=0.5,2,1))</f>
        <v/>
      </c>
      <c r="H17" s="8">
        <f>4-G17</f>
        <v/>
      </c>
      <c r="I17" s="9">
        <f>IF(AND(E17=3,F17*H17&gt;=6),"A",IF(AND(E17=3,F17*H17&gt;=3),"B",IF(AND(E17=3,F17*H17&gt;=1),"C","")))</f>
        <v/>
      </c>
      <c r="J17"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17" s="3">
        <f>SPRV_Source_For_Formulas!D63</f>
        <v/>
      </c>
      <c r="L17" s="0" t="inlineStr">
        <is>
          <t>VDI Auth server</t>
        </is>
      </c>
      <c r="M17" s="0" t="inlineStr">
        <is>
          <t>不正クラウドインスタンスを生成 し、VDI環境全体の制御奪取や横展開を図る</t>
        </is>
      </c>
      <c r="N17" s="0" t="n">
        <v>3</v>
      </c>
      <c r="O17" s="8" t="n">
        <v>2</v>
      </c>
      <c r="P17" s="3">
        <f>IF(SPRV_Source_For_Formulas!G63&lt;=0.2,3,IF(SPRV_Source_For_Formulas!G63&lt;=0.5,2,1))</f>
        <v/>
      </c>
      <c r="Q17" s="8">
        <f>4-P17</f>
        <v/>
      </c>
      <c r="R17" s="9">
        <f>IF(AND(N17=3,O17*Q17&gt;=6),"A",IF(AND(N17=3,O17*Q17&gt;=3),"B",IF(AND(N17=3,O17*Q17&gt;=1),"C","")))</f>
        <v/>
      </c>
      <c r="S17" s="0" t="inlineStr">
        <is>
          <t>| 評価観点           | 状況・施策内容                                      | 評価     |
| -------------- | -------------------------------------------- | ------ |
| 認証管理（MFA, STS） | Step1対策としてMFA・ZTNA導入済。管理コンソールへの操作は多要素認証必須。   | ★★★（3） |
| 権限管理（IAM）      | VDI AuthサーバにEC2生成権限は原則付与されていない。ただし一部例外運用が残存。 | ★★☆（2） |
| インスタンス作成監視     | CloudTrailでAPI呼び出し監視有効。SIEMと連携し異常通知あり。       | ★★★（3） |
| ガードレール制御       | 承認フローは未整備。Terraform/IaCでの標準化はあるが手動例外ルールあり。   | ★★☆（2） |
| 構成ミス検出自動化      | CSPM導入済。SSPMは試験導入段階で一部検知カバー不足。               | ★★☆（2） |
| 監査と事後対応        | 月次監査と外部監査あり。監査範囲はアカウント・IAM主体でリソース生成は網羅性に欠ける。 | ★★☆（2） |→ 総合評価：2.3 → 切り下げて「レベル2」</t>
        </is>
      </c>
      <c r="T17" s="3">
        <f>SPRV_Source_For_Formulas!D64</f>
        <v/>
      </c>
      <c r="U17" s="0" t="inlineStr">
        <is>
          <t>VDI server</t>
        </is>
      </c>
      <c r="V17" s="0" t="inlineStr">
        <is>
          <t>Azure ADやIAMの信頼関係ポリシーを改変し、他テナントや管理者権限への横展開を狙う。</t>
        </is>
      </c>
      <c r="W17" s="0" t="n">
        <v>3</v>
      </c>
      <c r="X17" s="8" t="n">
        <v>2</v>
      </c>
      <c r="Y17" s="3">
        <f>IF(SPRV_Source_For_Formulas!G64&lt;=0.2,3,IF(SPRV_Source_For_Formulas!G64&lt;=0.5,2,1))</f>
        <v/>
      </c>
      <c r="Z17" s="8">
        <f>4-Y17</f>
        <v/>
      </c>
      <c r="AA17" s="9">
        <f>IF(AND(W17=3,X17*Z17&gt;=6),"A",IF(AND(W17=3,X17*Z17&gt;=3),"B",IF(AND(W17=3,X17*Z17&gt;=1),"C","")))</f>
        <v/>
      </c>
      <c r="AB17" s="0" t="inlineStr">
        <is>
          <t>β’モデル：
「3.3.1 権限管理」「3.3.5 設定変更検知」「3.4.1 操作記録」等。
補足評価：
GPO改変は一度権限を奪取された後に、正規操作として行われる可能性が高く、検知・阻止が難しい。
特にVDI環境などでは検知の即時性に限界があるため、評価「2（低）」は妥当。</t>
        </is>
      </c>
      <c r="AC17" s="3">
        <f>SPRV_Source_For_Formulas!D65</f>
        <v/>
      </c>
      <c r="AD17" s="0" t="inlineStr">
        <is>
          <t>My Number Administrative System on GovCloud</t>
        </is>
      </c>
      <c r="AE17"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17" s="0" t="n">
        <v>3</v>
      </c>
      <c r="AG17" s="8" t="n">
        <v>2</v>
      </c>
      <c r="AH17" s="3">
        <f>IF(SPRV_Source_For_Formulas!G65&lt;=0.2,3,IF(SPRV_Source_For_Formulas!G65&lt;=0.5,2,1))</f>
        <v/>
      </c>
      <c r="AI17" s="8">
        <f>4-AH17</f>
        <v/>
      </c>
      <c r="AJ17" s="9">
        <f>IF(AND(AF17=3,AG17*AI17&gt;=6),"A",IF(AND(AF17=3,AG17*AI17&gt;=3),"B",IF(AND(AF17=3,AG17*AI17&gt;=1),"C","")))</f>
        <v/>
      </c>
      <c r="AK17"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17" s="8">
        <f>MAX(E17,N17,W17,AF17)</f>
        <v/>
      </c>
      <c r="AM17" s="8" t="n">
        <v>2</v>
      </c>
      <c r="AN17" s="8">
        <f>MAX(G17,P17,Y17,AH17)</f>
        <v/>
      </c>
      <c r="AO17" s="8">
        <f>4-AN17</f>
        <v/>
      </c>
      <c r="AP17" s="8">
        <f>IF(AND(AL17=3,AM17*AO17&gt;=6),"A",IF(AND(AL17=3,AM17*AO17&gt;=3),"B",IF(AND(AL17=3,AM17*AO17&gt;=1),"C","")))</f>
        <v/>
      </c>
      <c r="AQ17" s="8">
        <f>"Scenario-level Threat=2; Step1="&amp;I17&amp;" Step2="&amp;R17&amp;" Step3="&amp;AA17&amp;" Step4="&amp;AJ17&amp;" ; Overall Threat fixed=2, Max Mitigation="&amp;AN17&amp;" =&gt; Overall="&amp;AP17</f>
        <v/>
      </c>
    </row>
    <row r="18">
      <c r="A18" s="0" t="n">
        <v>17</v>
      </c>
      <c r="B18" s="3">
        <f>SPRV_Source_For_Formulas!D66</f>
        <v/>
      </c>
      <c r="C18" s="0" t="inlineStr">
        <is>
          <t>VDI Auth server</t>
        </is>
      </c>
      <c r="D18"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18" s="0" t="n">
        <v>3</v>
      </c>
      <c r="F18" s="8" t="n">
        <v>2</v>
      </c>
      <c r="G18" s="3">
        <f>IF(SPRV_Source_For_Formulas!G66&lt;=0.2,3,IF(SPRV_Source_For_Formulas!G66&lt;=0.5,2,1))</f>
        <v/>
      </c>
      <c r="H18" s="8">
        <f>4-G18</f>
        <v/>
      </c>
      <c r="I18" s="9">
        <f>IF(AND(E18=3,F18*H18&gt;=6),"A",IF(AND(E18=3,F18*H18&gt;=3),"B",IF(AND(E18=3,F18*H18&gt;=1),"C","")))</f>
        <v/>
      </c>
      <c r="J18"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18" s="3">
        <f>SPRV_Source_For_Formulas!D67</f>
        <v/>
      </c>
      <c r="L18" s="0" t="inlineStr">
        <is>
          <t>VDI Auth server</t>
        </is>
      </c>
      <c r="M18"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18" s="0" t="n">
        <v>3</v>
      </c>
      <c r="O18" s="8" t="n">
        <v>2</v>
      </c>
      <c r="P18" s="3">
        <f>IF(SPRV_Source_For_Formulas!G67&lt;=0.2,3,IF(SPRV_Source_For_Formulas!G67&lt;=0.5,2,1))</f>
        <v/>
      </c>
      <c r="Q18" s="8">
        <f>4-P18</f>
        <v/>
      </c>
      <c r="R18" s="9">
        <f>IF(AND(N18=3,O18*Q18&gt;=6),"A",IF(AND(N18=3,O18*Q18&gt;=3),"B",IF(AND(N18=3,O18*Q18&gt;=1),"C","")))</f>
        <v/>
      </c>
      <c r="S18"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18" s="3">
        <f>SPRV_Source_For_Formulas!D68</f>
        <v/>
      </c>
      <c r="U18" s="0" t="inlineStr">
        <is>
          <t>VDI server</t>
        </is>
      </c>
      <c r="V18"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18" s="0" t="n">
        <v>3</v>
      </c>
      <c r="X18" s="8" t="n">
        <v>2</v>
      </c>
      <c r="Y18" s="3">
        <f>IF(SPRV_Source_For_Formulas!G68&lt;=0.2,3,IF(SPRV_Source_For_Formulas!G68&lt;=0.5,2,1))</f>
        <v/>
      </c>
      <c r="Z18" s="8">
        <f>4-Y18</f>
        <v/>
      </c>
      <c r="AA18" s="9">
        <f>IF(AND(W18=3,X18*Z18&gt;=6),"A",IF(AND(W18=3,X18*Z18&gt;=3),"B",IF(AND(W18=3,X18*Z18&gt;=1),"C","")))</f>
        <v/>
      </c>
      <c r="AB18" s="0" t="inlineStr">
        <is>
          <t>| 評価観点           | 状況・施策内容                                          | 評価     |
| -------------- | ------------------------------------------------ | ------ |
| 認証管理（MFA, STS） | 管理操作にMFA必須、STSトークン利用。攻撃者が認証を突破した場合は正規操作に見える点が残る。 | ★★★（3） |
| ログ監査・改ざん防止     | CloudTrail＋WORMで保存されているが、リアルタイム監視が不完全。           | ★★☆（2） |
| 管理コマンドの承認フロー   | 一部は二重承認あり。ただし運用効率優先で例外許可が散見。                     | ★★☆（2） |
| IaCによる設定固定     | Terraform導入済だが、一部手動操作が許容されている。                   | ★★☆（2） |
| SSPM・逸脱検知      | CSPM導入済、SSPMは未導入。異常なAPI操作の自動検知は一部不足。             | ★★☆（2） |
| 監査と外部確認        | 月次の内部監査あり。外部監査は年1回。管理コマンドの網羅的確認までは実施されていない。      | ★★☆（2） |→ 総合評価：2.1 → 切り下げて「レベル2」</t>
        </is>
      </c>
      <c r="AC18" s="3">
        <f>SPRV_Source_For_Formulas!D69</f>
        <v/>
      </c>
      <c r="AD18" s="0" t="inlineStr">
        <is>
          <t>My Number Administrative System on GovCloud</t>
        </is>
      </c>
      <c r="AE18" s="0" t="inlineStr">
        <is>
          <t xml:space="preserve">	不正スクリプトによって、複数のクラウドサービスインスタンスを乗っ取り、他攻撃の踏み台や外部攻撃に悪用。</t>
        </is>
      </c>
      <c r="AF18" s="0" t="n">
        <v>3</v>
      </c>
      <c r="AG18" s="8" t="n">
        <v>2</v>
      </c>
      <c r="AH18" s="3">
        <f>IF(SPRV_Source_For_Formulas!G69&lt;=0.2,3,IF(SPRV_Source_For_Formulas!G69&lt;=0.5,2,1))</f>
        <v/>
      </c>
      <c r="AI18" s="8">
        <f>4-AH18</f>
        <v/>
      </c>
      <c r="AJ18" s="9">
        <f>IF(AND(AF18=3,AG18*AI18&gt;=6),"A",IF(AND(AF18=3,AG18*AI18&gt;=3),"B",IF(AND(AF18=3,AG18*AI18&gt;=1),"C","")))</f>
        <v/>
      </c>
      <c r="AK18" s="0" t="inlineStr">
        <is>
          <t>β’モデル＋ガバメントクラウド資料にてIAM最小権限、API監査、CSPM運用が整備されていれば、有効性は高い。ただし初期検知遅延やアラート無視等には注意が必要。</t>
        </is>
      </c>
      <c r="AL18" s="8">
        <f>MAX(E18,N18,W18,AF18)</f>
        <v/>
      </c>
      <c r="AM18" s="8" t="n">
        <v>2</v>
      </c>
      <c r="AN18" s="8">
        <f>MAX(G18,P18,Y18,AH18)</f>
        <v/>
      </c>
      <c r="AO18" s="8">
        <f>4-AN18</f>
        <v/>
      </c>
      <c r="AP18" s="8">
        <f>IF(AND(AL18=3,AM18*AO18&gt;=6),"A",IF(AND(AL18=3,AM18*AO18&gt;=3),"B",IF(AND(AL18=3,AM18*AO18&gt;=1),"C","")))</f>
        <v/>
      </c>
      <c r="AQ18" s="8">
        <f>"Scenario-level Threat=2; Step1="&amp;I18&amp;" Step2="&amp;R18&amp;" Step3="&amp;AA18&amp;" Step4="&amp;AJ18&amp;" ; Overall Threat fixed=2, Max Mitigation="&amp;AN18&amp;" =&gt; Overall="&amp;AP18</f>
        <v/>
      </c>
    </row>
    <row r="19">
      <c r="A19" s="0" t="n">
        <v>18</v>
      </c>
      <c r="B19" s="3">
        <f>SPRV_Source_For_Formulas!D70</f>
        <v/>
      </c>
      <c r="C19" s="0" t="inlineStr">
        <is>
          <t>VDI Auth server</t>
        </is>
      </c>
      <c r="D19"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19" s="0" t="n">
        <v>3</v>
      </c>
      <c r="F19" s="8" t="n">
        <v>2</v>
      </c>
      <c r="G19" s="3">
        <f>IF(SPRV_Source_For_Formulas!G70&lt;=0.2,3,IF(SPRV_Source_For_Formulas!G70&lt;=0.5,2,1))</f>
        <v/>
      </c>
      <c r="H19" s="8">
        <f>4-G19</f>
        <v/>
      </c>
      <c r="I19" s="9">
        <f>IF(AND(E19=3,F19*H19&gt;=6),"A",IF(AND(E19=3,F19*H19&gt;=3),"B",IF(AND(E19=3,F19*H19&gt;=1),"C","")))</f>
        <v/>
      </c>
      <c r="J19"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19" s="3">
        <f>SPRV_Source_For_Formulas!D71</f>
        <v/>
      </c>
      <c r="L19" s="0" t="inlineStr">
        <is>
          <t>VDI Auth server</t>
        </is>
      </c>
      <c r="M19"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19" s="0" t="n">
        <v>3</v>
      </c>
      <c r="O19" s="8" t="n">
        <v>2</v>
      </c>
      <c r="P19" s="3">
        <f>IF(SPRV_Source_For_Formulas!G71&lt;=0.2,3,IF(SPRV_Source_For_Formulas!G71&lt;=0.5,2,1))</f>
        <v/>
      </c>
      <c r="Q19" s="8">
        <f>4-P19</f>
        <v/>
      </c>
      <c r="R19" s="9">
        <f>IF(AND(N19=3,O19*Q19&gt;=6),"A",IF(AND(N19=3,O19*Q19&gt;=3),"B",IF(AND(N19=3,O19*Q19&gt;=1),"C","")))</f>
        <v/>
      </c>
      <c r="S19"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19" s="3">
        <f>SPRV_Source_For_Formulas!D72</f>
        <v/>
      </c>
      <c r="U19" s="0" t="inlineStr">
        <is>
          <t>VDI server</t>
        </is>
      </c>
      <c r="V19"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19" s="0" t="n">
        <v>3</v>
      </c>
      <c r="X19" s="8" t="n">
        <v>2</v>
      </c>
      <c r="Y19" s="3">
        <f>IF(SPRV_Source_For_Formulas!G72&lt;=0.2,3,IF(SPRV_Source_For_Formulas!G72&lt;=0.5,2,1))</f>
        <v/>
      </c>
      <c r="Z19" s="8">
        <f>4-Y19</f>
        <v/>
      </c>
      <c r="AA19" s="9">
        <f>IF(AND(W19=3,X19*Z19&gt;=6),"A",IF(AND(W19=3,X19*Z19&gt;=3),"B",IF(AND(W19=3,X19*Z19&gt;=1),"C","")))</f>
        <v/>
      </c>
      <c r="AB19" s="0" t="inlineStr">
        <is>
          <t>| 評価観点           | 状況・施策内容                                          | 評価     |
| -------------- | ------------------------------------------------ | ------ |
| 認証管理（MFA, STS） | 管理操作にMFA必須、STSトークン利用。攻撃者が認証を突破した場合は正規操作に見える点が残る。 | ★★★（3） |
| ログ監査・改ざん防止     | CloudTrail＋WORMで保存されているが、リアルタイム監視が不完全。           | ★★☆（2） |
| 管理コマンドの承認フロー   | 一部は二重承認あり。ただし運用効率優先で例外許可が散見。                     | ★★☆（2） |
| IaCによる設定固定     | Terraform導入済だが、一部手動操作が許容されている。                   | ★★☆（2） |
| SSPM・逸脱検知      | CSPM導入済、SSPMは未導入。異常なAPI操作の自動検知は一部不足。             | ★★☆（2） |
| 監査と外部確認        | 月次の内部監査あり。外部監査は年1回。管理コマンドの網羅的確認までは実施されていない。      | ★★☆（2） |→ 総合評価：2.1 → 切り下げて「レベル2」</t>
        </is>
      </c>
      <c r="AC19" s="3">
        <f>SPRV_Source_For_Formulas!D73</f>
        <v/>
      </c>
      <c r="AD19" s="0" t="inlineStr">
        <is>
          <t>My Number Administrative System on GovCloud</t>
        </is>
      </c>
      <c r="AE19" s="0" t="inlineStr">
        <is>
          <t>スクリプト経由で取得したクラウドリソースを、計算資源として不正使用。DDoS用のC2インフラ構築に用いる例もあり。</t>
        </is>
      </c>
      <c r="AF19" s="0" t="n">
        <v>3</v>
      </c>
      <c r="AG19" s="8" t="n">
        <v>2</v>
      </c>
      <c r="AH19" s="3">
        <f>IF(SPRV_Source_For_Formulas!G73&lt;=0.2,3,IF(SPRV_Source_For_Formulas!G73&lt;=0.5,2,1))</f>
        <v/>
      </c>
      <c r="AI19" s="8">
        <f>4-AH19</f>
        <v/>
      </c>
      <c r="AJ19" s="9">
        <f>IF(AND(AF19=3,AG19*AI19&gt;=6),"A",IF(AND(AF19=3,AG19*AI19&gt;=3),"B",IF(AND(AF19=3,AG19*AI19&gt;=1),"C","")))</f>
        <v/>
      </c>
      <c r="AK19" s="0" t="inlineStr">
        <is>
          <t>仮想マシンに対するネットワーク分離、IAM制御、ログ監視により不正操作の抑止・検知が可能。推奨対策と合致。</t>
        </is>
      </c>
      <c r="AL19" s="8">
        <f>MAX(E19,N19,W19,AF19)</f>
        <v/>
      </c>
      <c r="AM19" s="8" t="n">
        <v>2</v>
      </c>
      <c r="AN19" s="8">
        <f>MAX(G19,P19,Y19,AH19)</f>
        <v/>
      </c>
      <c r="AO19" s="8">
        <f>4-AN19</f>
        <v/>
      </c>
      <c r="AP19" s="8">
        <f>IF(AND(AL19=3,AM19*AO19&gt;=6),"A",IF(AND(AL19=3,AM19*AO19&gt;=3),"B",IF(AND(AL19=3,AM19*AO19&gt;=1),"C","")))</f>
        <v/>
      </c>
      <c r="AQ19" s="8">
        <f>"Scenario-level Threat=2; Step1="&amp;I19&amp;" Step2="&amp;R19&amp;" Step3="&amp;AA19&amp;" Step4="&amp;AJ19&amp;" ; Overall Threat fixed=2, Max Mitigation="&amp;AN19&amp;" =&gt; Overall="&amp;AP19</f>
        <v/>
      </c>
    </row>
    <row r="20">
      <c r="A20" s="0" t="n">
        <v>19</v>
      </c>
      <c r="B20" s="3">
        <f>SPRV_Source_For_Formulas!D74</f>
        <v/>
      </c>
      <c r="C20" s="0" t="inlineStr">
        <is>
          <t>VDI Auth server</t>
        </is>
      </c>
      <c r="D20"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20" s="0" t="n">
        <v>3</v>
      </c>
      <c r="F20" s="8" t="n">
        <v>2</v>
      </c>
      <c r="G20" s="3">
        <f>IF(SPRV_Source_For_Formulas!G74&lt;=0.2,3,IF(SPRV_Source_For_Formulas!G74&lt;=0.5,2,1))</f>
        <v/>
      </c>
      <c r="H20" s="8">
        <f>4-G20</f>
        <v/>
      </c>
      <c r="I20" s="9">
        <f>IF(AND(E20=3,F20*H20&gt;=6),"A",IF(AND(E20=3,F20*H20&gt;=3),"B",IF(AND(E20=3,F20*H20&gt;=1),"C","")))</f>
        <v/>
      </c>
      <c r="J20"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20" s="3">
        <f>SPRV_Source_For_Formulas!D75</f>
        <v/>
      </c>
      <c r="L20" s="0" t="inlineStr">
        <is>
          <t>VDI Auth server</t>
        </is>
      </c>
      <c r="M20"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20" s="0" t="n">
        <v>3</v>
      </c>
      <c r="O20" s="8" t="n">
        <v>2</v>
      </c>
      <c r="P20" s="3">
        <f>IF(SPRV_Source_For_Formulas!G75&lt;=0.2,3,IF(SPRV_Source_For_Formulas!G75&lt;=0.5,2,1))</f>
        <v/>
      </c>
      <c r="Q20" s="8">
        <f>4-P20</f>
        <v/>
      </c>
      <c r="R20" s="9">
        <f>IF(AND(N20=3,O20*Q20&gt;=6),"A",IF(AND(N20=3,O20*Q20&gt;=3),"B",IF(AND(N20=3,O20*Q20&gt;=1),"C","")))</f>
        <v/>
      </c>
      <c r="S20"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20" s="3">
        <f>SPRV_Source_For_Formulas!D76</f>
        <v/>
      </c>
      <c r="U20" s="0" t="inlineStr">
        <is>
          <t>VDI server</t>
        </is>
      </c>
      <c r="V20"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20" s="0" t="n">
        <v>3</v>
      </c>
      <c r="X20" s="8" t="n">
        <v>2</v>
      </c>
      <c r="Y20" s="3">
        <f>IF(SPRV_Source_For_Formulas!G76&lt;=0.2,3,IF(SPRV_Source_For_Formulas!G76&lt;=0.5,2,1))</f>
        <v/>
      </c>
      <c r="Z20" s="8">
        <f>4-Y20</f>
        <v/>
      </c>
      <c r="AA20" s="9">
        <f>IF(AND(W20=3,X20*Z20&gt;=6),"A",IF(AND(W20=3,X20*Z20&gt;=3),"B",IF(AND(W20=3,X20*Z20&gt;=1),"C","")))</f>
        <v/>
      </c>
      <c r="AB20" s="0" t="inlineStr">
        <is>
          <t>| 評価観点           | 状況・施策内容                                          | 評価     |
| -------------- | ------------------------------------------------ | ------ |
| 認証管理（MFA, STS） | 管理操作にMFA必須、STSトークン利用。攻撃者が認証を突破した場合は正規操作に見える点が残る。 | ★★★（3） |
| ログ監査・改ざん防止     | CloudTrail＋WORMで保存されているが、リアルタイム監視が不完全。           | ★★☆（2） |
| 管理コマンドの承認フロー   | 一部は二重承認あり。ただし運用効率優先で例外許可が散見。                     | ★★☆（2） |
| IaCによる設定固定     | Terraform導入済だが、一部手動操作が許容されている。                   | ★★☆（2） |
| SSPM・逸脱検知      | CSPM導入済、SSPMは未導入。異常なAPI操作の自動検知は一部不足。             | ★★☆（2） |
| 監査と外部確認        | 月次の内部監査あり。外部監査は年1回。管理コマンドの網羅的確認までは実施されていない。      | ★★☆（2） |→ 総合評価：2.1 → 切り下げて「レベル2」</t>
        </is>
      </c>
      <c r="AC20" s="3">
        <f>SPRV_Source_For_Formulas!D77</f>
        <v/>
      </c>
      <c r="AD20" s="0" t="inlineStr">
        <is>
          <t>My Number Administrative System on GovCloud</t>
        </is>
      </c>
      <c r="AE20"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20" s="0" t="n">
        <v>3</v>
      </c>
      <c r="AG20" s="8" t="n">
        <v>2</v>
      </c>
      <c r="AH20" s="3">
        <f>IF(SPRV_Source_For_Formulas!G77&lt;=0.2,3,IF(SPRV_Source_For_Formulas!G77&lt;=0.5,2,1))</f>
        <v/>
      </c>
      <c r="AI20" s="8">
        <f>4-AH20</f>
        <v/>
      </c>
      <c r="AJ20" s="9">
        <f>IF(AND(AF20=3,AG20*AI20&gt;=6),"A",IF(AND(AF20=3,AG20*AI20&gt;=3),"B",IF(AND(AF20=3,AG20*AI20&gt;=1),"C","")))</f>
        <v/>
      </c>
      <c r="AK20"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20" s="8">
        <f>MAX(E20,N20,W20,AF20)</f>
        <v/>
      </c>
      <c r="AM20" s="8" t="n">
        <v>2</v>
      </c>
      <c r="AN20" s="8">
        <f>MAX(G20,P20,Y20,AH20)</f>
        <v/>
      </c>
      <c r="AO20" s="8">
        <f>4-AN20</f>
        <v/>
      </c>
      <c r="AP20" s="8">
        <f>IF(AND(AL20=3,AM20*AO20&gt;=6),"A",IF(AND(AL20=3,AM20*AO20&gt;=3),"B",IF(AND(AL20=3,AM20*AO20&gt;=1),"C","")))</f>
        <v/>
      </c>
      <c r="AQ20" s="8">
        <f>"Scenario-level Threat=2; Step1="&amp;I20&amp;" Step2="&amp;R20&amp;" Step3="&amp;AA20&amp;" Step4="&amp;AJ20&amp;" ; Overall Threat fixed=2, Max Mitigation="&amp;AN20&amp;" =&gt; Overall="&amp;AP20</f>
        <v/>
      </c>
    </row>
    <row r="21">
      <c r="A21" s="0" t="n">
        <v>20</v>
      </c>
      <c r="B21" s="3">
        <f>SPRV_Source_For_Formulas!D78</f>
        <v/>
      </c>
      <c r="C21" s="0" t="inlineStr">
        <is>
          <t>VDI Auth server</t>
        </is>
      </c>
      <c r="D21"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21" s="0" t="n">
        <v>3</v>
      </c>
      <c r="F21" s="8" t="n">
        <v>2</v>
      </c>
      <c r="G21" s="3">
        <f>IF(SPRV_Source_For_Formulas!G78&lt;=0.2,3,IF(SPRV_Source_For_Formulas!G78&lt;=0.5,2,1))</f>
        <v/>
      </c>
      <c r="H21" s="8">
        <f>4-G21</f>
        <v/>
      </c>
      <c r="I21" s="9">
        <f>IF(AND(E21=3,F21*H21&gt;=6),"A",IF(AND(E21=3,F21*H21&gt;=3),"B",IF(AND(E21=3,F21*H21&gt;=1),"C","")))</f>
        <v/>
      </c>
      <c r="J21"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21" s="3">
        <f>SPRV_Source_For_Formulas!D79</f>
        <v/>
      </c>
      <c r="L21" s="0" t="inlineStr">
        <is>
          <t>VDI Auth server</t>
        </is>
      </c>
      <c r="M21"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21" s="0" t="n">
        <v>3</v>
      </c>
      <c r="O21" s="8" t="n">
        <v>2</v>
      </c>
      <c r="P21" s="3">
        <f>IF(SPRV_Source_For_Formulas!G79&lt;=0.2,3,IF(SPRV_Source_For_Formulas!G79&lt;=0.5,2,1))</f>
        <v/>
      </c>
      <c r="Q21" s="8">
        <f>4-P21</f>
        <v/>
      </c>
      <c r="R21" s="9">
        <f>IF(AND(N21=3,O21*Q21&gt;=6),"A",IF(AND(N21=3,O21*Q21&gt;=3),"B",IF(AND(N21=3,O21*Q21&gt;=1),"C","")))</f>
        <v/>
      </c>
      <c r="S21"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21" s="3">
        <f>SPRV_Source_For_Formulas!D80</f>
        <v/>
      </c>
      <c r="U21" s="0" t="inlineStr">
        <is>
          <t>VDI server</t>
        </is>
      </c>
      <c r="V21"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21" s="0" t="n">
        <v>3</v>
      </c>
      <c r="X21" s="8" t="n">
        <v>2</v>
      </c>
      <c r="Y21" s="3">
        <f>IF(SPRV_Source_For_Formulas!G80&lt;=0.2,3,IF(SPRV_Source_For_Formulas!G80&lt;=0.5,2,1))</f>
        <v/>
      </c>
      <c r="Z21" s="8">
        <f>4-Y21</f>
        <v/>
      </c>
      <c r="AA21" s="9">
        <f>IF(AND(W21=3,X21*Z21&gt;=6),"A",IF(AND(W21=3,X21*Z21&gt;=3),"B",IF(AND(W21=3,X21*Z21&gt;=1),"C","")))</f>
        <v/>
      </c>
      <c r="AB21" s="0" t="inlineStr">
        <is>
          <t>| 評価観点           | 状況・施策内容                                          | 評価     |
| -------------- | ------------------------------------------------ | ------ |
| 認証管理（MFA, STS） | 管理操作にMFA必須、STSトークン利用。攻撃者が認証を突破した場合は正規操作に見える点が残る。 | ★★★（3） |
| ログ監査・改ざん防止     | CloudTrail＋WORMで保存されているが、リアルタイム監視が不完全。           | ★★☆（2） |
| 管理コマンドの承認フロー   | 一部は二重承認あり。ただし運用効率優先で例外許可が散見。                     | ★★☆（2） |
| IaCによる設定固定     | Terraform導入済だが、一部手動操作が許容されている。                   | ★★☆（2） |
| SSPM・逸脱検知      | CSPM導入済、SSPMは未導入。異常なAPI操作の自動検知は一部不足。             | ★★☆（2） |
| 監査と外部確認        | 月次の内部監査あり。外部監査は年1回。管理コマンドの網羅的確認までは実施されていない。      | ★★☆（2） |→ 総合評価：2.1 → 切り下げて「レベル2」</t>
        </is>
      </c>
      <c r="AC21" s="3">
        <f>SPRV_Source_For_Formulas!D81</f>
        <v/>
      </c>
      <c r="AD21" s="0" t="inlineStr">
        <is>
          <t>My Number Administrative System on GovCloud</t>
        </is>
      </c>
      <c r="AE21"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21" s="0" t="n">
        <v>3</v>
      </c>
      <c r="AG21" s="8" t="n">
        <v>2</v>
      </c>
      <c r="AH21" s="3">
        <f>IF(SPRV_Source_For_Formulas!G81&lt;=0.2,3,IF(SPRV_Source_For_Formulas!G81&lt;=0.5,2,1))</f>
        <v/>
      </c>
      <c r="AI21" s="8">
        <f>4-AH21</f>
        <v/>
      </c>
      <c r="AJ21" s="9">
        <f>IF(AND(AF21=3,AG21*AI21&gt;=6),"A",IF(AND(AF21=3,AG21*AI21&gt;=3),"B",IF(AND(AF21=3,AG21*AI21&gt;=1),"C","")))</f>
        <v/>
      </c>
      <c r="AK21"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21" s="8">
        <f>MAX(E21,N21,W21,AF21)</f>
        <v/>
      </c>
      <c r="AM21" s="8" t="n">
        <v>2</v>
      </c>
      <c r="AN21" s="8">
        <f>MAX(G21,P21,Y21,AH21)</f>
        <v/>
      </c>
      <c r="AO21" s="8">
        <f>4-AN21</f>
        <v/>
      </c>
      <c r="AP21" s="8">
        <f>IF(AND(AL21=3,AM21*AO21&gt;=6),"A",IF(AND(AL21=3,AM21*AO21&gt;=3),"B",IF(AND(AL21=3,AM21*AO21&gt;=1),"C","")))</f>
        <v/>
      </c>
      <c r="AQ21" s="8">
        <f>"Scenario-level Threat=2; Step1="&amp;I21&amp;" Step2="&amp;R21&amp;" Step3="&amp;AA21&amp;" Step4="&amp;AJ21&amp;" ; Overall Threat fixed=2, Max Mitigation="&amp;AN21&amp;" =&gt; Overall="&amp;AP21</f>
        <v/>
      </c>
    </row>
    <row r="22">
      <c r="A22" s="0" t="n">
        <v>21</v>
      </c>
      <c r="B22" s="3">
        <f>SPRV_Source_For_Formulas!D82</f>
        <v/>
      </c>
      <c r="C22" s="0" t="inlineStr">
        <is>
          <t>VDI Auth server</t>
        </is>
      </c>
      <c r="D22"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22" s="0" t="n">
        <v>3</v>
      </c>
      <c r="F22" s="8" t="n">
        <v>2</v>
      </c>
      <c r="G22" s="3">
        <f>IF(SPRV_Source_For_Formulas!G82&lt;=0.2,3,IF(SPRV_Source_For_Formulas!G82&lt;=0.5,2,1))</f>
        <v/>
      </c>
      <c r="H22" s="8">
        <f>4-G22</f>
        <v/>
      </c>
      <c r="I22" s="9">
        <f>IF(AND(E22=3,F22*H22&gt;=6),"A",IF(AND(E22=3,F22*H22&gt;=3),"B",IF(AND(E22=3,F22*H22&gt;=1),"C","")))</f>
        <v/>
      </c>
      <c r="J22"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22" s="3">
        <f>SPRV_Source_For_Formulas!D83</f>
        <v/>
      </c>
      <c r="L22" s="0" t="inlineStr">
        <is>
          <t>VDI Auth server</t>
        </is>
      </c>
      <c r="M22"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22" s="0" t="n">
        <v>3</v>
      </c>
      <c r="O22" s="8" t="n">
        <v>2</v>
      </c>
      <c r="P22" s="3">
        <f>IF(SPRV_Source_For_Formulas!G83&lt;=0.2,3,IF(SPRV_Source_For_Formulas!G83&lt;=0.5,2,1))</f>
        <v/>
      </c>
      <c r="Q22" s="8">
        <f>4-P22</f>
        <v/>
      </c>
      <c r="R22" s="9">
        <f>IF(AND(N22=3,O22*Q22&gt;=6),"A",IF(AND(N22=3,O22*Q22&gt;=3),"B",IF(AND(N22=3,O22*Q22&gt;=1),"C","")))</f>
        <v/>
      </c>
      <c r="S22"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22" s="3">
        <f>SPRV_Source_For_Formulas!D84</f>
        <v/>
      </c>
      <c r="U22" s="0" t="inlineStr">
        <is>
          <t>VDI server</t>
        </is>
      </c>
      <c r="V22"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22" s="0" t="n">
        <v>3</v>
      </c>
      <c r="X22" s="8" t="n">
        <v>2</v>
      </c>
      <c r="Y22" s="3">
        <f>IF(SPRV_Source_For_Formulas!G84&lt;=0.2,3,IF(SPRV_Source_For_Formulas!G84&lt;=0.5,2,1))</f>
        <v/>
      </c>
      <c r="Z22" s="8">
        <f>4-Y22</f>
        <v/>
      </c>
      <c r="AA22" s="9">
        <f>IF(AND(W22=3,X22*Z22&gt;=6),"A",IF(AND(W22=3,X22*Z22&gt;=3),"B",IF(AND(W22=3,X22*Z22&gt;=1),"C","")))</f>
        <v/>
      </c>
      <c r="AB22" s="0" t="inlineStr">
        <is>
          <t>| 評価観点             | 状況・施策内容                                         | 評価     |
| ---------------- | ----------------------------------------------- | ------ |
| Secretsアクセス制御    | IAMで細粒度制御は導入済。ただし一部広範囲ロールが残存。                   | ★★☆（2） |
| 暗号化とKMSキー管理      | KMSで暗号化され、鍵は別IAMで管理。                            | ★★★（3） |
| アクセス監査と検知        | CloudTrail＋SIEMで監査可能だが、Secrets読み取りアラートが遅延検知ベース。 | ★★☆（2） |
| Secretsローテーション運用 | 一部自動化済み（APIキー等）、DB認証情報は手動更新が残る。                 | ★★☆（2） |
| SSPM・逸脱検知        | CSPM導入済、SSPMは未導入で逸脱検知は限定的。                      | ★★☆（2） |
| 承認フロー・監査         | 外部委託者操作は承認必須。内部管理者操作は承認不要ケースあり。                 | ★★☆（2） |→ 総合評価：2.2 → 切り下げて「レベル2」</t>
        </is>
      </c>
      <c r="AC22" s="3">
        <f>SPRV_Source_For_Formulas!D85</f>
        <v/>
      </c>
      <c r="AD22" s="0" t="inlineStr">
        <is>
          <t>My Number Administrative System on GovCloud</t>
        </is>
      </c>
      <c r="AE22" s="0" t="inlineStr">
        <is>
          <t>クラウド上のリソースを乗っ取り、計算資源を仮想通貨マイニングなどの目的で不正利用（Resource Hijacking）。</t>
        </is>
      </c>
      <c r="AF22" s="0" t="n">
        <v>3</v>
      </c>
      <c r="AG22" s="8" t="n">
        <v>2</v>
      </c>
      <c r="AH22" s="3">
        <f>IF(SPRV_Source_For_Formulas!G85&lt;=0.2,3,IF(SPRV_Source_For_Formulas!G85&lt;=0.5,2,1))</f>
        <v/>
      </c>
      <c r="AI22" s="8">
        <f>4-AH22</f>
        <v/>
      </c>
      <c r="AJ22" s="9">
        <f>IF(AND(AF22=3,AG22*AI22&gt;=6),"A",IF(AND(AF22=3,AG22*AI22&gt;=3),"B",IF(AND(AF22=3,AG22*AI22&gt;=1),"C","")))</f>
        <v/>
      </c>
      <c r="AK22" s="0" t="inlineStr">
        <is>
          <t>β’モデル＋ガバメントクラウド資料にてIAM最小権限、API監査、CSPM運用が整備されていれば、有効性は高い。ただし初期検知遅延やアラート無視等には注意が必要。</t>
        </is>
      </c>
      <c r="AL22" s="8">
        <f>MAX(E22,N22,W22,AF22)</f>
        <v/>
      </c>
      <c r="AM22" s="8" t="n">
        <v>2</v>
      </c>
      <c r="AN22" s="8">
        <f>MAX(G22,P22,Y22,AH22)</f>
        <v/>
      </c>
      <c r="AO22" s="8">
        <f>4-AN22</f>
        <v/>
      </c>
      <c r="AP22" s="8">
        <f>IF(AND(AL22=3,AM22*AO22&gt;=6),"A",IF(AND(AL22=3,AM22*AO22&gt;=3),"B",IF(AND(AL22=3,AM22*AO22&gt;=1),"C","")))</f>
        <v/>
      </c>
      <c r="AQ22" s="8">
        <f>"Scenario-level Threat=2; Step1="&amp;I22&amp;" Step2="&amp;R22&amp;" Step3="&amp;AA22&amp;" Step4="&amp;AJ22&amp;" ; Overall Threat fixed=2, Max Mitigation="&amp;AN22&amp;" =&gt; Overall="&amp;AP22</f>
        <v/>
      </c>
    </row>
    <row r="23">
      <c r="A23" s="0" t="n">
        <v>22</v>
      </c>
      <c r="B23" s="3">
        <f>SPRV_Source_For_Formulas!D86</f>
        <v/>
      </c>
      <c r="C23" s="0" t="inlineStr">
        <is>
          <t>VDI Auth server</t>
        </is>
      </c>
      <c r="D23"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23" s="0" t="n">
        <v>3</v>
      </c>
      <c r="F23" s="8" t="n">
        <v>2</v>
      </c>
      <c r="G23" s="3">
        <f>IF(SPRV_Source_For_Formulas!G86&lt;=0.2,3,IF(SPRV_Source_For_Formulas!G86&lt;=0.5,2,1))</f>
        <v/>
      </c>
      <c r="H23" s="8">
        <f>4-G23</f>
        <v/>
      </c>
      <c r="I23" s="9">
        <f>IF(AND(E23=3,F23*H23&gt;=6),"A",IF(AND(E23=3,F23*H23&gt;=3),"B",IF(AND(E23=3,F23*H23&gt;=1),"C","")))</f>
        <v/>
      </c>
      <c r="J23"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23" s="3">
        <f>SPRV_Source_For_Formulas!D87</f>
        <v/>
      </c>
      <c r="L23" s="0" t="inlineStr">
        <is>
          <t>VDI Auth server</t>
        </is>
      </c>
      <c r="M23"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23" s="0" t="n">
        <v>3</v>
      </c>
      <c r="O23" s="8" t="n">
        <v>2</v>
      </c>
      <c r="P23" s="3">
        <f>IF(SPRV_Source_For_Formulas!G87&lt;=0.2,3,IF(SPRV_Source_For_Formulas!G87&lt;=0.5,2,1))</f>
        <v/>
      </c>
      <c r="Q23" s="8">
        <f>4-P23</f>
        <v/>
      </c>
      <c r="R23" s="9">
        <f>IF(AND(N23=3,O23*Q23&gt;=6),"A",IF(AND(N23=3,O23*Q23&gt;=3),"B",IF(AND(N23=3,O23*Q23&gt;=1),"C","")))</f>
        <v/>
      </c>
      <c r="S23"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23" s="3">
        <f>SPRV_Source_For_Formulas!D88</f>
        <v/>
      </c>
      <c r="U23" s="0" t="inlineStr">
        <is>
          <t>VDI server</t>
        </is>
      </c>
      <c r="V23"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23" s="0" t="n">
        <v>3</v>
      </c>
      <c r="X23" s="8" t="n">
        <v>2</v>
      </c>
      <c r="Y23" s="3">
        <f>IF(SPRV_Source_For_Formulas!G88&lt;=0.2,3,IF(SPRV_Source_For_Formulas!G88&lt;=0.5,2,1))</f>
        <v/>
      </c>
      <c r="Z23" s="8">
        <f>4-Y23</f>
        <v/>
      </c>
      <c r="AA23" s="9">
        <f>IF(AND(W23=3,X23*Z23&gt;=6),"A",IF(AND(W23=3,X23*Z23&gt;=3),"B",IF(AND(W23=3,X23*Z23&gt;=1),"C","")))</f>
        <v/>
      </c>
      <c r="AB23" s="0" t="inlineStr">
        <is>
          <t>| 評価観点             | 状況・施策内容                                         | 評価     |
| ---------------- | ----------------------------------------------- | ------ |
| Secretsアクセス制御    | IAMで細粒度制御は導入済。ただし一部広範囲ロールが残存。                   | ★★☆（2） |
| 暗号化とKMSキー管理      | KMSで暗号化され、鍵は別IAMで管理。                            | ★★★（3） |
| アクセス監査と検知        | CloudTrail＋SIEMで監査可能だが、Secrets読み取りアラートが遅延検知ベース。 | ★★☆（2） |
| Secretsローテーション運用 | 一部自動化済み（APIキー等）、DB認証情報は手動更新が残る。                 | ★★☆（2） |
| SSPM・逸脱検知        | CSPM導入済、SSPMは未導入で逸脱検知は限定的。                      | ★★☆（2） |
| 承認フロー・監査         | 外部委託者操作は承認必須。内部管理者操作は承認不要ケースあり。                 | ★★☆（2） |→ 総合評価：2.2 → 切り下げて「レベル2」</t>
        </is>
      </c>
      <c r="AC23" s="3">
        <f>SPRV_Source_For_Formulas!D89</f>
        <v/>
      </c>
      <c r="AD23" s="0" t="inlineStr">
        <is>
          <t>My Number Administrative System on GovCloud</t>
        </is>
      </c>
      <c r="AE23" s="0" t="inlineStr">
        <is>
          <t>クラウド上の仮想マシンのCPUを乗っ取り、バックグラウンドでマイニングなどの演算処理を行わせる（Compute Hijacking）。</t>
        </is>
      </c>
      <c r="AF23" s="0" t="n">
        <v>3</v>
      </c>
      <c r="AG23" s="8" t="n">
        <v>2</v>
      </c>
      <c r="AH23" s="3">
        <f>IF(SPRV_Source_For_Formulas!G89&lt;=0.2,3,IF(SPRV_Source_For_Formulas!G89&lt;=0.5,2,1))</f>
        <v/>
      </c>
      <c r="AI23" s="8">
        <f>4-AH23</f>
        <v/>
      </c>
      <c r="AJ23" s="9">
        <f>IF(AND(AF23=3,AG23*AI23&gt;=6),"A",IF(AND(AF23=3,AG23*AI23&gt;=3),"B",IF(AND(AF23=3,AG23*AI23&gt;=1),"C","")))</f>
        <v/>
      </c>
      <c r="AK23" s="0" t="inlineStr">
        <is>
          <t>仮想マシンに対するネットワーク分離、IAM制御、ログ監視により不正操作の抑止・検知が可能。推奨対策と合致。</t>
        </is>
      </c>
      <c r="AL23" s="8">
        <f>MAX(E23,N23,W23,AF23)</f>
        <v/>
      </c>
      <c r="AM23" s="8" t="n">
        <v>2</v>
      </c>
      <c r="AN23" s="8">
        <f>MAX(G23,P23,Y23,AH23)</f>
        <v/>
      </c>
      <c r="AO23" s="8">
        <f>4-AN23</f>
        <v/>
      </c>
      <c r="AP23" s="8">
        <f>IF(AND(AL23=3,AM23*AO23&gt;=6),"A",IF(AND(AL23=3,AM23*AO23&gt;=3),"B",IF(AND(AL23=3,AM23*AO23&gt;=1),"C","")))</f>
        <v/>
      </c>
      <c r="AQ23" s="8">
        <f>"Scenario-level Threat=2; Step1="&amp;I23&amp;" Step2="&amp;R23&amp;" Step3="&amp;AA23&amp;" Step4="&amp;AJ23&amp;" ; Overall Threat fixed=2, Max Mitigation="&amp;AN23&amp;" =&gt; Overall="&amp;AP23</f>
        <v/>
      </c>
    </row>
    <row r="24">
      <c r="A24" s="0" t="n">
        <v>23</v>
      </c>
      <c r="B24" s="3">
        <f>SPRV_Source_For_Formulas!D90</f>
        <v/>
      </c>
      <c r="C24" s="0" t="inlineStr">
        <is>
          <t>VDI Auth server</t>
        </is>
      </c>
      <c r="D24"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24" s="0" t="n">
        <v>3</v>
      </c>
      <c r="F24" s="8" t="n">
        <v>2</v>
      </c>
      <c r="G24" s="3">
        <f>IF(SPRV_Source_For_Formulas!G90&lt;=0.2,3,IF(SPRV_Source_For_Formulas!G90&lt;=0.5,2,1))</f>
        <v/>
      </c>
      <c r="H24" s="8">
        <f>4-G24</f>
        <v/>
      </c>
      <c r="I24" s="9">
        <f>IF(AND(E24=3,F24*H24&gt;=6),"A",IF(AND(E24=3,F24*H24&gt;=3),"B",IF(AND(E24=3,F24*H24&gt;=1),"C","")))</f>
        <v/>
      </c>
      <c r="J24"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24" s="3">
        <f>SPRV_Source_For_Formulas!D91</f>
        <v/>
      </c>
      <c r="L24" s="0" t="inlineStr">
        <is>
          <t>VDI Auth server</t>
        </is>
      </c>
      <c r="M24"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24" s="0" t="n">
        <v>3</v>
      </c>
      <c r="O24" s="8" t="n">
        <v>2</v>
      </c>
      <c r="P24" s="3">
        <f>IF(SPRV_Source_For_Formulas!G91&lt;=0.2,3,IF(SPRV_Source_For_Formulas!G91&lt;=0.5,2,1))</f>
        <v/>
      </c>
      <c r="Q24" s="8">
        <f>4-P24</f>
        <v/>
      </c>
      <c r="R24" s="9">
        <f>IF(AND(N24=3,O24*Q24&gt;=6),"A",IF(AND(N24=3,O24*Q24&gt;=3),"B",IF(AND(N24=3,O24*Q24&gt;=1),"C","")))</f>
        <v/>
      </c>
      <c r="S24"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24" s="3">
        <f>SPRV_Source_For_Formulas!D92</f>
        <v/>
      </c>
      <c r="U24" s="0" t="inlineStr">
        <is>
          <t>VDI server</t>
        </is>
      </c>
      <c r="V24"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24" s="0" t="n">
        <v>3</v>
      </c>
      <c r="X24" s="8" t="n">
        <v>2</v>
      </c>
      <c r="Y24" s="3">
        <f>IF(SPRV_Source_For_Formulas!G92&lt;=0.2,3,IF(SPRV_Source_For_Formulas!G92&lt;=0.5,2,1))</f>
        <v/>
      </c>
      <c r="Z24" s="8">
        <f>4-Y24</f>
        <v/>
      </c>
      <c r="AA24" s="9">
        <f>IF(AND(W24=3,X24*Z24&gt;=6),"A",IF(AND(W24=3,X24*Z24&gt;=3),"B",IF(AND(W24=3,X24*Z24&gt;=1),"C","")))</f>
        <v/>
      </c>
      <c r="AB24" s="0" t="inlineStr">
        <is>
          <t>| 評価観点             | 状況・施策内容                                         | 評価     |
| ---------------- | ----------------------------------------------- | ------ |
| Secretsアクセス制御    | IAMで細粒度制御は導入済。ただし一部広範囲ロールが残存。                   | ★★☆（2） |
| 暗号化とKMSキー管理      | KMSで暗号化され、鍵は別IAMで管理。                            | ★★★（3） |
| アクセス監査と検知        | CloudTrail＋SIEMで監査可能だが、Secrets読み取りアラートが遅延検知ベース。 | ★★☆（2） |
| Secretsローテーション運用 | 一部自動化済み（APIキー等）、DB認証情報は手動更新が残る。                 | ★★☆（2） |
| SSPM・逸脱検知        | CSPM導入済、SSPMは未導入で逸脱検知は限定的。                      | ★★☆（2） |
| 承認フロー・監査         | 外部委託者操作は承認必須。内部管理者操作は承認不要ケースあり。                 | ★★☆（2） |→ 総合評価：2.2 → 切り下げて「レベル2」</t>
        </is>
      </c>
      <c r="AC24" s="3">
        <f>SPRV_Source_For_Formulas!D93</f>
        <v/>
      </c>
      <c r="AD24" s="0" t="inlineStr">
        <is>
          <t>My Number Administrative System on GovCloud</t>
        </is>
      </c>
      <c r="AE24"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24" s="0" t="n">
        <v>3</v>
      </c>
      <c r="AG24" s="8" t="n">
        <v>2</v>
      </c>
      <c r="AH24" s="3">
        <f>IF(SPRV_Source_For_Formulas!G93&lt;=0.2,3,IF(SPRV_Source_For_Formulas!G93&lt;=0.5,2,1))</f>
        <v/>
      </c>
      <c r="AI24" s="8">
        <f>4-AH24</f>
        <v/>
      </c>
      <c r="AJ24" s="9">
        <f>IF(AND(AF24=3,AG24*AI24&gt;=6),"A",IF(AND(AF24=3,AG24*AI24&gt;=3),"B",IF(AND(AF24=3,AG24*AI24&gt;=1),"C","")))</f>
        <v/>
      </c>
      <c r="AK24"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24" s="8">
        <f>MAX(E24,N24,W24,AF24)</f>
        <v/>
      </c>
      <c r="AM24" s="8" t="n">
        <v>2</v>
      </c>
      <c r="AN24" s="8">
        <f>MAX(G24,P24,Y24,AH24)</f>
        <v/>
      </c>
      <c r="AO24" s="8">
        <f>4-AN24</f>
        <v/>
      </c>
      <c r="AP24" s="8">
        <f>IF(AND(AL24=3,AM24*AO24&gt;=6),"A",IF(AND(AL24=3,AM24*AO24&gt;=3),"B",IF(AND(AL24=3,AM24*AO24&gt;=1),"C","")))</f>
        <v/>
      </c>
      <c r="AQ24" s="8">
        <f>"Scenario-level Threat=2; Step1="&amp;I24&amp;" Step2="&amp;R24&amp;" Step3="&amp;AA24&amp;" Step4="&amp;AJ24&amp;" ; Overall Threat fixed=2, Max Mitigation="&amp;AN24&amp;" =&gt; Overall="&amp;AP24</f>
        <v/>
      </c>
    </row>
    <row r="25">
      <c r="A25" s="0" t="n">
        <v>24</v>
      </c>
      <c r="B25" s="3">
        <f>SPRV_Source_For_Formulas!D94</f>
        <v/>
      </c>
      <c r="C25" s="0" t="inlineStr">
        <is>
          <t>VDI Auth server</t>
        </is>
      </c>
      <c r="D25"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25" s="0" t="n">
        <v>3</v>
      </c>
      <c r="F25" s="8" t="n">
        <v>2</v>
      </c>
      <c r="G25" s="3">
        <f>IF(SPRV_Source_For_Formulas!G94&lt;=0.2,3,IF(SPRV_Source_For_Formulas!G94&lt;=0.5,2,1))</f>
        <v/>
      </c>
      <c r="H25" s="8">
        <f>4-G25</f>
        <v/>
      </c>
      <c r="I25" s="9">
        <f>IF(AND(E25=3,F25*H25&gt;=6),"A",IF(AND(E25=3,F25*H25&gt;=3),"B",IF(AND(E25=3,F25*H25&gt;=1),"C","")))</f>
        <v/>
      </c>
      <c r="J25"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25" s="3">
        <f>SPRV_Source_For_Formulas!D95</f>
        <v/>
      </c>
      <c r="L25" s="0" t="inlineStr">
        <is>
          <t>VDI Auth server</t>
        </is>
      </c>
      <c r="M25"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25" s="0" t="n">
        <v>3</v>
      </c>
      <c r="O25" s="8" t="n">
        <v>2</v>
      </c>
      <c r="P25" s="3">
        <f>IF(SPRV_Source_For_Formulas!G95&lt;=0.2,3,IF(SPRV_Source_For_Formulas!G95&lt;=0.5,2,1))</f>
        <v/>
      </c>
      <c r="Q25" s="8">
        <f>4-P25</f>
        <v/>
      </c>
      <c r="R25" s="9">
        <f>IF(AND(N25=3,O25*Q25&gt;=6),"A",IF(AND(N25=3,O25*Q25&gt;=3),"B",IF(AND(N25=3,O25*Q25&gt;=1),"C","")))</f>
        <v/>
      </c>
      <c r="S25"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25" s="3">
        <f>SPRV_Source_For_Formulas!D96</f>
        <v/>
      </c>
      <c r="U25" s="0" t="inlineStr">
        <is>
          <t>VDI server</t>
        </is>
      </c>
      <c r="V25"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25" s="0" t="n">
        <v>3</v>
      </c>
      <c r="X25" s="8" t="n">
        <v>2</v>
      </c>
      <c r="Y25" s="3">
        <f>IF(SPRV_Source_For_Formulas!G96&lt;=0.2,3,IF(SPRV_Source_For_Formulas!G96&lt;=0.5,2,1))</f>
        <v/>
      </c>
      <c r="Z25" s="8">
        <f>4-Y25</f>
        <v/>
      </c>
      <c r="AA25" s="9">
        <f>IF(AND(W25=3,X25*Z25&gt;=6),"A",IF(AND(W25=3,X25*Z25&gt;=3),"B",IF(AND(W25=3,X25*Z25&gt;=1),"C","")))</f>
        <v/>
      </c>
      <c r="AB25" s="0" t="inlineStr">
        <is>
          <t>| 評価観点             | 状況・施策内容                                         | 評価     |
| ---------------- | ----------------------------------------------- | ------ |
| Secretsアクセス制御    | IAMで細粒度制御は導入済。ただし一部広範囲ロールが残存。                   | ★★☆（2） |
| 暗号化とKMSキー管理      | KMSで暗号化され、鍵は別IAMで管理。                            | ★★★（3） |
| アクセス監査と検知        | CloudTrail＋SIEMで監査可能だが、Secrets読み取りアラートが遅延検知ベース。 | ★★☆（2） |
| Secretsローテーション運用 | 一部自動化済み（APIキー等）、DB認証情報は手動更新が残る。                 | ★★☆（2） |
| SSPM・逸脱検知        | CSPM導入済、SSPMは未導入で逸脱検知は限定的。                      | ★★☆（2） |
| 承認フロー・監査         | 外部委託者操作は承認必須。内部管理者操作は承認不要ケースあり。                 | ★★☆（2） |→ 総合評価：2.2 → 切り下げて「レベル2」</t>
        </is>
      </c>
      <c r="AC25" s="3">
        <f>SPRV_Source_For_Formulas!D97</f>
        <v/>
      </c>
      <c r="AD25" s="0" t="inlineStr">
        <is>
          <t>My Number Administrative System on GovCloud</t>
        </is>
      </c>
      <c r="AE25"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25" s="0" t="n">
        <v>3</v>
      </c>
      <c r="AG25" s="8" t="n">
        <v>2</v>
      </c>
      <c r="AH25" s="3">
        <f>IF(SPRV_Source_For_Formulas!G97&lt;=0.2,3,IF(SPRV_Source_For_Formulas!G97&lt;=0.5,2,1))</f>
        <v/>
      </c>
      <c r="AI25" s="8">
        <f>4-AH25</f>
        <v/>
      </c>
      <c r="AJ25" s="9">
        <f>IF(AND(AF25=3,AG25*AI25&gt;=6),"A",IF(AND(AF25=3,AG25*AI25&gt;=3),"B",IF(AND(AF25=3,AG25*AI25&gt;=1),"C","")))</f>
        <v/>
      </c>
      <c r="AK25"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25" s="8">
        <f>MAX(E25,N25,W25,AF25)</f>
        <v/>
      </c>
      <c r="AM25" s="8" t="n">
        <v>2</v>
      </c>
      <c r="AN25" s="8">
        <f>MAX(G25,P25,Y25,AH25)</f>
        <v/>
      </c>
      <c r="AO25" s="8">
        <f>4-AN25</f>
        <v/>
      </c>
      <c r="AP25" s="8">
        <f>IF(AND(AL25=3,AM25*AO25&gt;=6),"A",IF(AND(AL25=3,AM25*AO25&gt;=3),"B",IF(AND(AL25=3,AM25*AO25&gt;=1),"C","")))</f>
        <v/>
      </c>
      <c r="AQ25" s="8">
        <f>"Scenario-level Threat=2; Step1="&amp;I25&amp;" Step2="&amp;R25&amp;" Step3="&amp;AA25&amp;" Step4="&amp;AJ25&amp;" ; Overall Threat fixed=2, Max Mitigation="&amp;AN25&amp;" =&gt; Overall="&amp;AP25</f>
        <v/>
      </c>
    </row>
    <row r="26">
      <c r="A26" s="0" t="n">
        <v>25</v>
      </c>
      <c r="B26" s="3">
        <f>SPRV_Source_For_Formulas!D98</f>
        <v/>
      </c>
      <c r="C26" s="0" t="inlineStr">
        <is>
          <t>VDI Auth server</t>
        </is>
      </c>
      <c r="D26"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26" s="0" t="n">
        <v>3</v>
      </c>
      <c r="F26" s="8" t="n">
        <v>2</v>
      </c>
      <c r="G26" s="3">
        <f>IF(SPRV_Source_For_Formulas!G98&lt;=0.2,3,IF(SPRV_Source_For_Formulas!G98&lt;=0.5,2,1))</f>
        <v/>
      </c>
      <c r="H26" s="8">
        <f>4-G26</f>
        <v/>
      </c>
      <c r="I26" s="9">
        <f>IF(AND(E26=3,F26*H26&gt;=6),"A",IF(AND(E26=3,F26*H26&gt;=3),"B",IF(AND(E26=3,F26*H26&gt;=1),"C","")))</f>
        <v/>
      </c>
      <c r="J26"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26" s="3">
        <f>SPRV_Source_For_Formulas!D99</f>
        <v/>
      </c>
      <c r="L26" s="0" t="inlineStr">
        <is>
          <t>VDI Auth server</t>
        </is>
      </c>
      <c r="M26"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26" s="0" t="n">
        <v>3</v>
      </c>
      <c r="O26" s="8" t="n">
        <v>2</v>
      </c>
      <c r="P26" s="3">
        <f>IF(SPRV_Source_For_Formulas!G99&lt;=0.2,3,IF(SPRV_Source_For_Formulas!G99&lt;=0.5,2,1))</f>
        <v/>
      </c>
      <c r="Q26" s="8">
        <f>4-P26</f>
        <v/>
      </c>
      <c r="R26" s="9">
        <f>IF(AND(N26=3,O26*Q26&gt;=6),"A",IF(AND(N26=3,O26*Q26&gt;=3),"B",IF(AND(N26=3,O26*Q26&gt;=1),"C","")))</f>
        <v/>
      </c>
      <c r="S26"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26" s="3">
        <f>SPRV_Source_For_Formulas!D100</f>
        <v/>
      </c>
      <c r="U26" s="0" t="inlineStr">
        <is>
          <t>VDI server</t>
        </is>
      </c>
      <c r="V26" s="0" t="inlineStr">
        <is>
          <t>クラウドAPI（例：AWS CLI, Azure PowerShell）を使い、スクリプトによりVM操作や環境変更などの自動化攻撃を実施。</t>
        </is>
      </c>
      <c r="W26" s="0" t="n">
        <v>3</v>
      </c>
      <c r="X26" s="8" t="n">
        <v>2</v>
      </c>
      <c r="Y26" s="3">
        <f>IF(SPRV_Source_For_Formulas!G100&lt;=0.2,3,IF(SPRV_Source_For_Formulas!G100&lt;=0.5,2,1))</f>
        <v/>
      </c>
      <c r="Z26" s="8">
        <f>4-Y26</f>
        <v/>
      </c>
      <c r="AA26" s="9">
        <f>IF(AND(W26=3,X26*Z26&gt;=6),"A",IF(AND(W26=3,X26*Z26&gt;=3),"B",IF(AND(W26=3,X26*Z26&gt;=1),"C","")))</f>
        <v/>
      </c>
      <c r="AB26" s="0" t="inlineStr">
        <is>
          <t>β’モデル「3.3.6 コマンド実行制御」や「3.2.3 脆弱性管理」、Cloud API利用は正規用途でもあり、異常操作の見分けが困難、CSPMやSIEMによる振る舞い監視が必要だが完全ではない</t>
        </is>
      </c>
      <c r="AC26" s="3">
        <f>SPRV_Source_For_Formulas!D101</f>
        <v/>
      </c>
      <c r="AD26" s="0" t="inlineStr">
        <is>
          <t>My Number Administrative System on GovCloud</t>
        </is>
      </c>
      <c r="AE26" s="0" t="inlineStr">
        <is>
          <t>不正に作成・制御されたクラウドリソースを使い、他目的（暗号資産採掘など）で利用。</t>
        </is>
      </c>
      <c r="AF26" s="0" t="n">
        <v>3</v>
      </c>
      <c r="AG26" s="8" t="n">
        <v>2</v>
      </c>
      <c r="AH26" s="3">
        <f>IF(SPRV_Source_For_Formulas!G101&lt;=0.2,3,IF(SPRV_Source_For_Formulas!G101&lt;=0.5,2,1))</f>
        <v/>
      </c>
      <c r="AI26" s="8">
        <f>4-AH26</f>
        <v/>
      </c>
      <c r="AJ26" s="9">
        <f>IF(AND(AF26=3,AG26*AI26&gt;=6),"A",IF(AND(AF26=3,AG26*AI26&gt;=3),"B",IF(AND(AF26=3,AG26*AI26&gt;=1),"C","")))</f>
        <v/>
      </c>
      <c r="AK26" s="0" t="inlineStr">
        <is>
          <t>β’モデル＋ガバメントクラウド資料にてIAM最小権限、API監査、CSPM運用が整備されていれば、有効性は高い。ただし初期検知遅延やアラート無視等には注意が必要。</t>
        </is>
      </c>
      <c r="AL26" s="8">
        <f>MAX(E26,N26,W26,AF26)</f>
        <v/>
      </c>
      <c r="AM26" s="8" t="n">
        <v>2</v>
      </c>
      <c r="AN26" s="8">
        <f>MAX(G26,P26,Y26,AH26)</f>
        <v/>
      </c>
      <c r="AO26" s="8">
        <f>4-AN26</f>
        <v/>
      </c>
      <c r="AP26" s="8">
        <f>IF(AND(AL26=3,AM26*AO26&gt;=6),"A",IF(AND(AL26=3,AM26*AO26&gt;=3),"B",IF(AND(AL26=3,AM26*AO26&gt;=1),"C","")))</f>
        <v/>
      </c>
      <c r="AQ26" s="8">
        <f>"Scenario-level Threat=2; Step1="&amp;I26&amp;" Step2="&amp;R26&amp;" Step3="&amp;AA26&amp;" Step4="&amp;AJ26&amp;" ; Overall Threat fixed=2, Max Mitigation="&amp;AN26&amp;" =&gt; Overall="&amp;AP26</f>
        <v/>
      </c>
    </row>
    <row r="27">
      <c r="A27" s="0" t="n">
        <v>26</v>
      </c>
      <c r="B27" s="3">
        <f>SPRV_Source_For_Formulas!D102</f>
        <v/>
      </c>
      <c r="C27" s="0" t="inlineStr">
        <is>
          <t>VDI Auth server</t>
        </is>
      </c>
      <c r="D27"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27" s="0" t="n">
        <v>3</v>
      </c>
      <c r="F27" s="8" t="n">
        <v>2</v>
      </c>
      <c r="G27" s="3">
        <f>IF(SPRV_Source_For_Formulas!G102&lt;=0.2,3,IF(SPRV_Source_For_Formulas!G102&lt;=0.5,2,1))</f>
        <v/>
      </c>
      <c r="H27" s="8">
        <f>4-G27</f>
        <v/>
      </c>
      <c r="I27" s="9">
        <f>IF(AND(E27=3,F27*H27&gt;=6),"A",IF(AND(E27=3,F27*H27&gt;=3),"B",IF(AND(E27=3,F27*H27&gt;=1),"C","")))</f>
        <v/>
      </c>
      <c r="J27"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27" s="3">
        <f>SPRV_Source_For_Formulas!D103</f>
        <v/>
      </c>
      <c r="L27" s="0" t="inlineStr">
        <is>
          <t>VDI Auth server</t>
        </is>
      </c>
      <c r="M27"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27" s="0" t="n">
        <v>3</v>
      </c>
      <c r="O27" s="8" t="n">
        <v>2</v>
      </c>
      <c r="P27" s="3">
        <f>IF(SPRV_Source_For_Formulas!G103&lt;=0.2,3,IF(SPRV_Source_For_Formulas!G103&lt;=0.5,2,1))</f>
        <v/>
      </c>
      <c r="Q27" s="8">
        <f>4-P27</f>
        <v/>
      </c>
      <c r="R27" s="9">
        <f>IF(AND(N27=3,O27*Q27&gt;=6),"A",IF(AND(N27=3,O27*Q27&gt;=3),"B",IF(AND(N27=3,O27*Q27&gt;=1),"C","")))</f>
        <v/>
      </c>
      <c r="S27"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27" s="3">
        <f>SPRV_Source_For_Formulas!D104</f>
        <v/>
      </c>
      <c r="U27" s="0" t="inlineStr">
        <is>
          <t>VDI server</t>
        </is>
      </c>
      <c r="V27" s="0" t="inlineStr">
        <is>
          <t>クラウドAPI（例：AWS CLI, Azure PowerShell）を使い、スクリプトによりVM操作や環境変更などの自動化攻撃を実施。</t>
        </is>
      </c>
      <c r="W27" s="0" t="n">
        <v>3</v>
      </c>
      <c r="X27" s="8" t="n">
        <v>2</v>
      </c>
      <c r="Y27" s="3">
        <f>IF(SPRV_Source_For_Formulas!G104&lt;=0.2,3,IF(SPRV_Source_For_Formulas!G104&lt;=0.5,2,1))</f>
        <v/>
      </c>
      <c r="Z27" s="8">
        <f>4-Y27</f>
        <v/>
      </c>
      <c r="AA27" s="9">
        <f>IF(AND(W27=3,X27*Z27&gt;=6),"A",IF(AND(W27=3,X27*Z27&gt;=3),"B",IF(AND(W27=3,X27*Z27&gt;=1),"C","")))</f>
        <v/>
      </c>
      <c r="AB27" s="0" t="inlineStr">
        <is>
          <t>β’モデル「3.3.6 コマンド実行制御」や「3.2.3 脆弱性管理」、Cloud API利用は正規用途でもあり、異常操作の見分けが困難、CSPMやSIEMによる振る舞い監視が必要だが完全ではない</t>
        </is>
      </c>
      <c r="AC27" s="3">
        <f>SPRV_Source_For_Formulas!D105</f>
        <v/>
      </c>
      <c r="AD27" s="0" t="inlineStr">
        <is>
          <t>My Number Administrative System on GovCloud</t>
        </is>
      </c>
      <c r="AE27" s="0" t="inlineStr">
        <is>
          <t>クラウド上でコンピューティングリソース（VMなど）を占有し、目的外（マイニング等）で使用。</t>
        </is>
      </c>
      <c r="AF27" s="0" t="n">
        <v>3</v>
      </c>
      <c r="AG27" s="8" t="n">
        <v>2</v>
      </c>
      <c r="AH27" s="3">
        <f>IF(SPRV_Source_For_Formulas!G105&lt;=0.2,3,IF(SPRV_Source_For_Formulas!G105&lt;=0.5,2,1))</f>
        <v/>
      </c>
      <c r="AI27" s="8">
        <f>4-AH27</f>
        <v/>
      </c>
      <c r="AJ27" s="9">
        <f>IF(AND(AF27=3,AG27*AI27&gt;=6),"A",IF(AND(AF27=3,AG27*AI27&gt;=3),"B",IF(AND(AF27=3,AG27*AI27&gt;=1),"C","")))</f>
        <v/>
      </c>
      <c r="AK27" s="0" t="inlineStr">
        <is>
          <t>仮想マシンに対するネットワーク分離、IAM制御、ログ監視により不正操作の抑止・検知が可能。推奨対策と合致。</t>
        </is>
      </c>
      <c r="AL27" s="8">
        <f>MAX(E27,N27,W27,AF27)</f>
        <v/>
      </c>
      <c r="AM27" s="8" t="n">
        <v>2</v>
      </c>
      <c r="AN27" s="8">
        <f>MAX(G27,P27,Y27,AH27)</f>
        <v/>
      </c>
      <c r="AO27" s="8">
        <f>4-AN27</f>
        <v/>
      </c>
      <c r="AP27" s="8">
        <f>IF(AND(AL27=3,AM27*AO27&gt;=6),"A",IF(AND(AL27=3,AM27*AO27&gt;=3),"B",IF(AND(AL27=3,AM27*AO27&gt;=1),"C","")))</f>
        <v/>
      </c>
      <c r="AQ27" s="8">
        <f>"Scenario-level Threat=2; Step1="&amp;I27&amp;" Step2="&amp;R27&amp;" Step3="&amp;AA27&amp;" Step4="&amp;AJ27&amp;" ; Overall Threat fixed=2, Max Mitigation="&amp;AN27&amp;" =&gt; Overall="&amp;AP27</f>
        <v/>
      </c>
    </row>
    <row r="28">
      <c r="A28" s="0" t="n">
        <v>27</v>
      </c>
      <c r="B28" s="3">
        <f>SPRV_Source_For_Formulas!D106</f>
        <v/>
      </c>
      <c r="C28" s="0" t="inlineStr">
        <is>
          <t>VDI Auth server</t>
        </is>
      </c>
      <c r="D28"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28" s="0" t="n">
        <v>3</v>
      </c>
      <c r="F28" s="8" t="n">
        <v>2</v>
      </c>
      <c r="G28" s="3">
        <f>IF(SPRV_Source_For_Formulas!G106&lt;=0.2,3,IF(SPRV_Source_For_Formulas!G106&lt;=0.5,2,1))</f>
        <v/>
      </c>
      <c r="H28" s="8">
        <f>4-G28</f>
        <v/>
      </c>
      <c r="I28" s="9">
        <f>IF(AND(E28=3,F28*H28&gt;=6),"A",IF(AND(E28=3,F28*H28&gt;=3),"B",IF(AND(E28=3,F28*H28&gt;=1),"C","")))</f>
        <v/>
      </c>
      <c r="J28"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28" s="3">
        <f>SPRV_Source_For_Formulas!D107</f>
        <v/>
      </c>
      <c r="L28" s="0" t="inlineStr">
        <is>
          <t>VDI Auth server</t>
        </is>
      </c>
      <c r="M28"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28" s="0" t="n">
        <v>3</v>
      </c>
      <c r="O28" s="8" t="n">
        <v>2</v>
      </c>
      <c r="P28" s="3">
        <f>IF(SPRV_Source_For_Formulas!G107&lt;=0.2,3,IF(SPRV_Source_For_Formulas!G107&lt;=0.5,2,1))</f>
        <v/>
      </c>
      <c r="Q28" s="8">
        <f>4-P28</f>
        <v/>
      </c>
      <c r="R28" s="9">
        <f>IF(AND(N28=3,O28*Q28&gt;=6),"A",IF(AND(N28=3,O28*Q28&gt;=3),"B",IF(AND(N28=3,O28*Q28&gt;=1),"C","")))</f>
        <v/>
      </c>
      <c r="S28"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28" s="3">
        <f>SPRV_Source_For_Formulas!D108</f>
        <v/>
      </c>
      <c r="U28" s="0" t="inlineStr">
        <is>
          <t>VDI server</t>
        </is>
      </c>
      <c r="V28" s="0" t="inlineStr">
        <is>
          <t>クラウドAPI（例：AWS CLI, Azure PowerShell）を使い、スクリプトによりVM操作や環境変更などの自動化攻撃を実施。</t>
        </is>
      </c>
      <c r="W28" s="0" t="n">
        <v>3</v>
      </c>
      <c r="X28" s="8" t="n">
        <v>2</v>
      </c>
      <c r="Y28" s="3">
        <f>IF(SPRV_Source_For_Formulas!G108&lt;=0.2,3,IF(SPRV_Source_For_Formulas!G108&lt;=0.5,2,1))</f>
        <v/>
      </c>
      <c r="Z28" s="8">
        <f>4-Y28</f>
        <v/>
      </c>
      <c r="AA28" s="9">
        <f>IF(AND(W28=3,X28*Z28&gt;=6),"A",IF(AND(W28=3,X28*Z28&gt;=3),"B",IF(AND(W28=3,X28*Z28&gt;=1),"C","")))</f>
        <v/>
      </c>
      <c r="AB28" s="0" t="inlineStr">
        <is>
          <t>β’モデル「3.3.6 コマンド実行制御」や「3.2.3 脆弱性管理」、Cloud API利用は正規用途でもあり、異常操作の見分けが困難、CSPMやSIEMによる振る舞い監視が必要だが完全ではない</t>
        </is>
      </c>
      <c r="AC28" s="3">
        <f>SPRV_Source_For_Formulas!D109</f>
        <v/>
      </c>
      <c r="AD28" s="0" t="inlineStr">
        <is>
          <t>My Number Administrative System on GovCloud</t>
        </is>
      </c>
      <c r="AE28"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28" s="0" t="n">
        <v>3</v>
      </c>
      <c r="AG28" s="8" t="n">
        <v>2</v>
      </c>
      <c r="AH28" s="3">
        <f>IF(SPRV_Source_For_Formulas!G109&lt;=0.2,3,IF(SPRV_Source_For_Formulas!G109&lt;=0.5,2,1))</f>
        <v/>
      </c>
      <c r="AI28" s="8">
        <f>4-AH28</f>
        <v/>
      </c>
      <c r="AJ28" s="9">
        <f>IF(AND(AF28=3,AG28*AI28&gt;=6),"A",IF(AND(AF28=3,AG28*AI28&gt;=3),"B",IF(AND(AF28=3,AG28*AI28&gt;=1),"C","")))</f>
        <v/>
      </c>
      <c r="AK28"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28" s="8">
        <f>MAX(E28,N28,W28,AF28)</f>
        <v/>
      </c>
      <c r="AM28" s="8" t="n">
        <v>2</v>
      </c>
      <c r="AN28" s="8">
        <f>MAX(G28,P28,Y28,AH28)</f>
        <v/>
      </c>
      <c r="AO28" s="8">
        <f>4-AN28</f>
        <v/>
      </c>
      <c r="AP28" s="8">
        <f>IF(AND(AL28=3,AM28*AO28&gt;=6),"A",IF(AND(AL28=3,AM28*AO28&gt;=3),"B",IF(AND(AL28=3,AM28*AO28&gt;=1),"C","")))</f>
        <v/>
      </c>
      <c r="AQ28" s="8">
        <f>"Scenario-level Threat=2; Step1="&amp;I28&amp;" Step2="&amp;R28&amp;" Step3="&amp;AA28&amp;" Step4="&amp;AJ28&amp;" ; Overall Threat fixed=2, Max Mitigation="&amp;AN28&amp;" =&gt; Overall="&amp;AP28</f>
        <v/>
      </c>
    </row>
    <row r="29">
      <c r="A29" s="0" t="n">
        <v>28</v>
      </c>
      <c r="B29" s="3">
        <f>SPRV_Source_For_Formulas!D110</f>
        <v/>
      </c>
      <c r="C29" s="0" t="inlineStr">
        <is>
          <t>VDI Auth server</t>
        </is>
      </c>
      <c r="D29"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29" s="0" t="n">
        <v>3</v>
      </c>
      <c r="F29" s="8" t="n">
        <v>2</v>
      </c>
      <c r="G29" s="3">
        <f>IF(SPRV_Source_For_Formulas!G110&lt;=0.2,3,IF(SPRV_Source_For_Formulas!G110&lt;=0.5,2,1))</f>
        <v/>
      </c>
      <c r="H29" s="8">
        <f>4-G29</f>
        <v/>
      </c>
      <c r="I29" s="9">
        <f>IF(AND(E29=3,F29*H29&gt;=6),"A",IF(AND(E29=3,F29*H29&gt;=3),"B",IF(AND(E29=3,F29*H29&gt;=1),"C","")))</f>
        <v/>
      </c>
      <c r="J29"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29" s="3">
        <f>SPRV_Source_For_Formulas!D111</f>
        <v/>
      </c>
      <c r="L29" s="0" t="inlineStr">
        <is>
          <t>VDI Auth server</t>
        </is>
      </c>
      <c r="M29"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29" s="0" t="n">
        <v>3</v>
      </c>
      <c r="O29" s="8" t="n">
        <v>2</v>
      </c>
      <c r="P29" s="3">
        <f>IF(SPRV_Source_For_Formulas!G111&lt;=0.2,3,IF(SPRV_Source_For_Formulas!G111&lt;=0.5,2,1))</f>
        <v/>
      </c>
      <c r="Q29" s="8">
        <f>4-P29</f>
        <v/>
      </c>
      <c r="R29" s="9">
        <f>IF(AND(N29=3,O29*Q29&gt;=6),"A",IF(AND(N29=3,O29*Q29&gt;=3),"B",IF(AND(N29=3,O29*Q29&gt;=1),"C","")))</f>
        <v/>
      </c>
      <c r="S29"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29" s="3">
        <f>SPRV_Source_For_Formulas!D112</f>
        <v/>
      </c>
      <c r="U29" s="0" t="inlineStr">
        <is>
          <t>VDI server</t>
        </is>
      </c>
      <c r="V29" s="0" t="inlineStr">
        <is>
          <t>クラウドAPI（例：AWS CLI, Azure PowerShell）を使い、スクリプトによりVM操作や環境変更などの自動化攻撃を実施。</t>
        </is>
      </c>
      <c r="W29" s="0" t="n">
        <v>3</v>
      </c>
      <c r="X29" s="8" t="n">
        <v>2</v>
      </c>
      <c r="Y29" s="3">
        <f>IF(SPRV_Source_For_Formulas!G112&lt;=0.2,3,IF(SPRV_Source_For_Formulas!G112&lt;=0.5,2,1))</f>
        <v/>
      </c>
      <c r="Z29" s="8">
        <f>4-Y29</f>
        <v/>
      </c>
      <c r="AA29" s="9">
        <f>IF(AND(W29=3,X29*Z29&gt;=6),"A",IF(AND(W29=3,X29*Z29&gt;=3),"B",IF(AND(W29=3,X29*Z29&gt;=1),"C","")))</f>
        <v/>
      </c>
      <c r="AB29" s="0" t="inlineStr">
        <is>
          <t>β’モデル「3.3.6 コマンド実行制御」や「3.2.3 脆弱性管理」、Cloud API利用は正規用途でもあり、異常操作の見分けが困難、CSPMやSIEMによる振る舞い監視が必要だが完全ではない</t>
        </is>
      </c>
      <c r="AC29" s="3">
        <f>SPRV_Source_For_Formulas!D113</f>
        <v/>
      </c>
      <c r="AD29" s="0" t="inlineStr">
        <is>
          <t>My Number Administrative System on GovCloud</t>
        </is>
      </c>
      <c r="AE29"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29" s="0" t="n">
        <v>3</v>
      </c>
      <c r="AG29" s="8" t="n">
        <v>2</v>
      </c>
      <c r="AH29" s="3">
        <f>IF(SPRV_Source_For_Formulas!G113&lt;=0.2,3,IF(SPRV_Source_For_Formulas!G113&lt;=0.5,2,1))</f>
        <v/>
      </c>
      <c r="AI29" s="8">
        <f>4-AH29</f>
        <v/>
      </c>
      <c r="AJ29" s="9">
        <f>IF(AND(AF29=3,AG29*AI29&gt;=6),"A",IF(AND(AF29=3,AG29*AI29&gt;=3),"B",IF(AND(AF29=3,AG29*AI29&gt;=1),"C","")))</f>
        <v/>
      </c>
      <c r="AK29"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29" s="8">
        <f>MAX(E29,N29,W29,AF29)</f>
        <v/>
      </c>
      <c r="AM29" s="8" t="n">
        <v>2</v>
      </c>
      <c r="AN29" s="8">
        <f>MAX(G29,P29,Y29,AH29)</f>
        <v/>
      </c>
      <c r="AO29" s="8">
        <f>4-AN29</f>
        <v/>
      </c>
      <c r="AP29" s="8">
        <f>IF(AND(AL29=3,AM29*AO29&gt;=6),"A",IF(AND(AL29=3,AM29*AO29&gt;=3),"B",IF(AND(AL29=3,AM29*AO29&gt;=1),"C","")))</f>
        <v/>
      </c>
      <c r="AQ29" s="8">
        <f>"Scenario-level Threat=2; Step1="&amp;I29&amp;" Step2="&amp;R29&amp;" Step3="&amp;AA29&amp;" Step4="&amp;AJ29&amp;" ; Overall Threat fixed=2, Max Mitigation="&amp;AN29&amp;" =&gt; Overall="&amp;AP29</f>
        <v/>
      </c>
    </row>
    <row r="30">
      <c r="A30" s="0" t="n">
        <v>29</v>
      </c>
      <c r="B30" s="3">
        <f>SPRV_Source_For_Formulas!D114</f>
        <v/>
      </c>
      <c r="C30" s="0" t="inlineStr">
        <is>
          <t>VDI Auth server</t>
        </is>
      </c>
      <c r="D30"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30" s="0" t="n">
        <v>3</v>
      </c>
      <c r="F30" s="8" t="n">
        <v>2</v>
      </c>
      <c r="G30" s="3">
        <f>IF(SPRV_Source_For_Formulas!G114&lt;=0.2,3,IF(SPRV_Source_For_Formulas!G114&lt;=0.5,2,1))</f>
        <v/>
      </c>
      <c r="H30" s="8">
        <f>4-G30</f>
        <v/>
      </c>
      <c r="I30" s="9">
        <f>IF(AND(E30=3,F30*H30&gt;=6),"A",IF(AND(E30=3,F30*H30&gt;=3),"B",IF(AND(E30=3,F30*H30&gt;=1),"C","")))</f>
        <v/>
      </c>
      <c r="J30"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30" s="3">
        <f>SPRV_Source_For_Formulas!D115</f>
        <v/>
      </c>
      <c r="L30" s="0" t="inlineStr">
        <is>
          <t>VDI Auth server</t>
        </is>
      </c>
      <c r="M30"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30" s="0" t="n">
        <v>3</v>
      </c>
      <c r="O30" s="8" t="n">
        <v>2</v>
      </c>
      <c r="P30" s="3">
        <f>IF(SPRV_Source_For_Formulas!G115&lt;=0.2,3,IF(SPRV_Source_For_Formulas!G115&lt;=0.5,2,1))</f>
        <v/>
      </c>
      <c r="Q30" s="8">
        <f>4-P30</f>
        <v/>
      </c>
      <c r="R30" s="9">
        <f>IF(AND(N30=3,O30*Q30&gt;=6),"A",IF(AND(N30=3,O30*Q30&gt;=3),"B",IF(AND(N30=3,O30*Q30&gt;=1),"C","")))</f>
        <v/>
      </c>
      <c r="S30"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30" s="3">
        <f>SPRV_Source_For_Formulas!D116</f>
        <v/>
      </c>
      <c r="U30" s="0" t="inlineStr">
        <is>
          <t>VDI server</t>
        </is>
      </c>
      <c r="V30" s="0" t="inlineStr">
        <is>
          <t>クラウドテナントまたはADドメインのグループポリシーを変更し、ログ記録停止・ツール使用許可など攻撃者に有利な構成変更を実施。</t>
        </is>
      </c>
      <c r="W30" s="0" t="n">
        <v>3</v>
      </c>
      <c r="X30" s="8" t="n">
        <v>2</v>
      </c>
      <c r="Y30" s="3">
        <f>IF(SPRV_Source_For_Formulas!G116&lt;=0.2,3,IF(SPRV_Source_For_Formulas!G116&lt;=0.5,2,1))</f>
        <v/>
      </c>
      <c r="Z30" s="8">
        <f>4-Y30</f>
        <v/>
      </c>
      <c r="AA30" s="9">
        <f>IF(AND(W30=3,X30*Z30&gt;=6),"A",IF(AND(W30=3,X30*Z30&gt;=3),"B",IF(AND(W30=3,X30*Z30&gt;=1),"C","")))</f>
        <v/>
      </c>
      <c r="AB30" s="0" t="inlineStr">
        <is>
          <t>β’モデル：
「3.3.1 権限管理」「3.3.5 設定変更検知」「3.4.1 操作記録」等。
補足評価：
GPO改変は一度権限を奪取された後に、正規操作として行われる可能性が高く、検知・阻止が難しい。
特にVDI環境などでは検知の即時性に限界があるため、評価「2（低）」は妥当。</t>
        </is>
      </c>
      <c r="AC30" s="3">
        <f>SPRV_Source_For_Formulas!D117</f>
        <v/>
      </c>
      <c r="AD30" s="0" t="inlineStr">
        <is>
          <t>My Number Administrative System on GovCloud</t>
        </is>
      </c>
      <c r="AE30" s="0" t="inlineStr">
        <is>
          <t>不正にクラウドリソースを確保し、他の目的（例：暗号資産マイニングなど）で利用。</t>
        </is>
      </c>
      <c r="AF30" s="0" t="n">
        <v>3</v>
      </c>
      <c r="AG30" s="8" t="n">
        <v>2</v>
      </c>
      <c r="AH30" s="3">
        <f>IF(SPRV_Source_For_Formulas!G117&lt;=0.2,3,IF(SPRV_Source_For_Formulas!G117&lt;=0.5,2,1))</f>
        <v/>
      </c>
      <c r="AI30" s="8">
        <f>4-AH30</f>
        <v/>
      </c>
      <c r="AJ30" s="9">
        <f>IF(AND(AF30=3,AG30*AI30&gt;=6),"A",IF(AND(AF30=3,AG30*AI30&gt;=3),"B",IF(AND(AF30=3,AG30*AI30&gt;=1),"C","")))</f>
        <v/>
      </c>
      <c r="AK30" s="0" t="inlineStr">
        <is>
          <t>β’モデル＋ガバメントクラウド資料にてIAM最小権限、API監査、CSPM運用が整備されていれば、有効性は高い。ただし初期検知遅延やアラート無視等には注意が必要。</t>
        </is>
      </c>
      <c r="AL30" s="8">
        <f>MAX(E30,N30,W30,AF30)</f>
        <v/>
      </c>
      <c r="AM30" s="8" t="n">
        <v>2</v>
      </c>
      <c r="AN30" s="8">
        <f>MAX(G30,P30,Y30,AH30)</f>
        <v/>
      </c>
      <c r="AO30" s="8">
        <f>4-AN30</f>
        <v/>
      </c>
      <c r="AP30" s="8">
        <f>IF(AND(AL30=3,AM30*AO30&gt;=6),"A",IF(AND(AL30=3,AM30*AO30&gt;=3),"B",IF(AND(AL30=3,AM30*AO30&gt;=1),"C","")))</f>
        <v/>
      </c>
      <c r="AQ30" s="8">
        <f>"Scenario-level Threat=2; Step1="&amp;I30&amp;" Step2="&amp;R30&amp;" Step3="&amp;AA30&amp;" Step4="&amp;AJ30&amp;" ; Overall Threat fixed=2, Max Mitigation="&amp;AN30&amp;" =&gt; Overall="&amp;AP30</f>
        <v/>
      </c>
    </row>
    <row r="31">
      <c r="A31" s="0" t="n">
        <v>30</v>
      </c>
      <c r="B31" s="3">
        <f>SPRV_Source_For_Formulas!D118</f>
        <v/>
      </c>
      <c r="C31" s="0" t="inlineStr">
        <is>
          <t>VDI Auth server</t>
        </is>
      </c>
      <c r="D31"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31" s="0" t="n">
        <v>3</v>
      </c>
      <c r="F31" s="8" t="n">
        <v>2</v>
      </c>
      <c r="G31" s="3">
        <f>IF(SPRV_Source_For_Formulas!G118&lt;=0.2,3,IF(SPRV_Source_For_Formulas!G118&lt;=0.5,2,1))</f>
        <v/>
      </c>
      <c r="H31" s="8">
        <f>4-G31</f>
        <v/>
      </c>
      <c r="I31" s="9">
        <f>IF(AND(E31=3,F31*H31&gt;=6),"A",IF(AND(E31=3,F31*H31&gt;=3),"B",IF(AND(E31=3,F31*H31&gt;=1),"C","")))</f>
        <v/>
      </c>
      <c r="J31"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31" s="3">
        <f>SPRV_Source_For_Formulas!D119</f>
        <v/>
      </c>
      <c r="L31" s="0" t="inlineStr">
        <is>
          <t>VDI Auth server</t>
        </is>
      </c>
      <c r="M31"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31" s="0" t="n">
        <v>3</v>
      </c>
      <c r="O31" s="8" t="n">
        <v>2</v>
      </c>
      <c r="P31" s="3">
        <f>IF(SPRV_Source_For_Formulas!G119&lt;=0.2,3,IF(SPRV_Source_For_Formulas!G119&lt;=0.5,2,1))</f>
        <v/>
      </c>
      <c r="Q31" s="8">
        <f>4-P31</f>
        <v/>
      </c>
      <c r="R31" s="9">
        <f>IF(AND(N31=3,O31*Q31&gt;=6),"A",IF(AND(N31=3,O31*Q31&gt;=3),"B",IF(AND(N31=3,O31*Q31&gt;=1),"C","")))</f>
        <v/>
      </c>
      <c r="S31"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31" s="3">
        <f>SPRV_Source_For_Formulas!D120</f>
        <v/>
      </c>
      <c r="U31" s="0" t="inlineStr">
        <is>
          <t>VDI server</t>
        </is>
      </c>
      <c r="V31" s="0" t="inlineStr">
        <is>
          <t>クラウドテナントまたはADドメインのグループポリシーを変更し、ログ記録停止・ツール使用許可など攻撃者に有利な構成変更を実施。</t>
        </is>
      </c>
      <c r="W31" s="0" t="n">
        <v>3</v>
      </c>
      <c r="X31" s="8" t="n">
        <v>2</v>
      </c>
      <c r="Y31" s="3">
        <f>IF(SPRV_Source_For_Formulas!G120&lt;=0.2,3,IF(SPRV_Source_For_Formulas!G120&lt;=0.5,2,1))</f>
        <v/>
      </c>
      <c r="Z31" s="8">
        <f>4-Y31</f>
        <v/>
      </c>
      <c r="AA31" s="9">
        <f>IF(AND(W31=3,X31*Z31&gt;=6),"A",IF(AND(W31=3,X31*Z31&gt;=3),"B",IF(AND(W31=3,X31*Z31&gt;=1),"C","")))</f>
        <v/>
      </c>
      <c r="AB31" s="0" t="inlineStr">
        <is>
          <t>β’モデル：
「3.3.1 権限管理」「3.3.5 設定変更検知」「3.4.1 操作記録」等。
補足評価：
GPO改変は一度権限を奪取された後に、正規操作として行われる可能性が高く、検知・阻止が難しい。
特にVDI環境などでは検知の即時性に限界があるため、評価「2（低）」は妥当。</t>
        </is>
      </c>
      <c r="AC31" s="3">
        <f>SPRV_Source_For_Formulas!D121</f>
        <v/>
      </c>
      <c r="AD31" s="0" t="inlineStr">
        <is>
          <t>My Number Administrative System on GovCloud</t>
        </is>
      </c>
      <c r="AE31" s="0" t="inlineStr">
        <is>
          <t>クラウド上のVMにてCPU資源を専有し、マイニングなど不正利用。</t>
        </is>
      </c>
      <c r="AF31" s="0" t="n">
        <v>3</v>
      </c>
      <c r="AG31" s="8" t="n">
        <v>2</v>
      </c>
      <c r="AH31" s="3">
        <f>IF(SPRV_Source_For_Formulas!G121&lt;=0.2,3,IF(SPRV_Source_For_Formulas!G121&lt;=0.5,2,1))</f>
        <v/>
      </c>
      <c r="AI31" s="8">
        <f>4-AH31</f>
        <v/>
      </c>
      <c r="AJ31" s="9">
        <f>IF(AND(AF31=3,AG31*AI31&gt;=6),"A",IF(AND(AF31=3,AG31*AI31&gt;=3),"B",IF(AND(AF31=3,AG31*AI31&gt;=1),"C","")))</f>
        <v/>
      </c>
      <c r="AK31" s="0" t="inlineStr">
        <is>
          <t>仮想マシンに対するネットワーク分離、IAM制御、ログ監視により不正操作の抑止・検知が可能。推奨対策と合致。</t>
        </is>
      </c>
      <c r="AL31" s="8">
        <f>MAX(E31,N31,W31,AF31)</f>
        <v/>
      </c>
      <c r="AM31" s="8" t="n">
        <v>2</v>
      </c>
      <c r="AN31" s="8">
        <f>MAX(G31,P31,Y31,AH31)</f>
        <v/>
      </c>
      <c r="AO31" s="8">
        <f>4-AN31</f>
        <v/>
      </c>
      <c r="AP31" s="8">
        <f>IF(AND(AL31=3,AM31*AO31&gt;=6),"A",IF(AND(AL31=3,AM31*AO31&gt;=3),"B",IF(AND(AL31=3,AM31*AO31&gt;=1),"C","")))</f>
        <v/>
      </c>
      <c r="AQ31" s="8">
        <f>"Scenario-level Threat=2; Step1="&amp;I31&amp;" Step2="&amp;R31&amp;" Step3="&amp;AA31&amp;" Step4="&amp;AJ31&amp;" ; Overall Threat fixed=2, Max Mitigation="&amp;AN31&amp;" =&gt; Overall="&amp;AP31</f>
        <v/>
      </c>
    </row>
    <row r="32">
      <c r="A32" s="0" t="n">
        <v>31</v>
      </c>
      <c r="B32" s="3">
        <f>SPRV_Source_For_Formulas!D122</f>
        <v/>
      </c>
      <c r="C32" s="0" t="inlineStr">
        <is>
          <t>VDI Auth server</t>
        </is>
      </c>
      <c r="D32"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32" s="0" t="n">
        <v>3</v>
      </c>
      <c r="F32" s="8" t="n">
        <v>2</v>
      </c>
      <c r="G32" s="3">
        <f>IF(SPRV_Source_For_Formulas!G122&lt;=0.2,3,IF(SPRV_Source_For_Formulas!G122&lt;=0.5,2,1))</f>
        <v/>
      </c>
      <c r="H32" s="8">
        <f>4-G32</f>
        <v/>
      </c>
      <c r="I32" s="9">
        <f>IF(AND(E32=3,F32*H32&gt;=6),"A",IF(AND(E32=3,F32*H32&gt;=3),"B",IF(AND(E32=3,F32*H32&gt;=1),"C","")))</f>
        <v/>
      </c>
      <c r="J32"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32" s="3">
        <f>SPRV_Source_For_Formulas!D123</f>
        <v/>
      </c>
      <c r="L32" s="0" t="inlineStr">
        <is>
          <t>VDI Auth server</t>
        </is>
      </c>
      <c r="M32"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32" s="0" t="n">
        <v>3</v>
      </c>
      <c r="O32" s="8" t="n">
        <v>2</v>
      </c>
      <c r="P32" s="3">
        <f>IF(SPRV_Source_For_Formulas!G123&lt;=0.2,3,IF(SPRV_Source_For_Formulas!G123&lt;=0.5,2,1))</f>
        <v/>
      </c>
      <c r="Q32" s="8">
        <f>4-P32</f>
        <v/>
      </c>
      <c r="R32" s="9">
        <f>IF(AND(N32=3,O32*Q32&gt;=6),"A",IF(AND(N32=3,O32*Q32&gt;=3),"B",IF(AND(N32=3,O32*Q32&gt;=1),"C","")))</f>
        <v/>
      </c>
      <c r="S32"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32" s="3">
        <f>SPRV_Source_For_Formulas!D124</f>
        <v/>
      </c>
      <c r="U32" s="0" t="inlineStr">
        <is>
          <t>VDI server</t>
        </is>
      </c>
      <c r="V32" s="0" t="inlineStr">
        <is>
          <t>クラウドテナントまたはADドメインのグループポリシーを変更し、ログ記録停止・ツール使用許可など攻撃者に有利な構成変更を実施。</t>
        </is>
      </c>
      <c r="W32" s="0" t="n">
        <v>3</v>
      </c>
      <c r="X32" s="8" t="n">
        <v>2</v>
      </c>
      <c r="Y32" s="3">
        <f>IF(SPRV_Source_For_Formulas!G124&lt;=0.2,3,IF(SPRV_Source_For_Formulas!G124&lt;=0.5,2,1))</f>
        <v/>
      </c>
      <c r="Z32" s="8">
        <f>4-Y32</f>
        <v/>
      </c>
      <c r="AA32" s="9">
        <f>IF(AND(W32=3,X32*Z32&gt;=6),"A",IF(AND(W32=3,X32*Z32&gt;=3),"B",IF(AND(W32=3,X32*Z32&gt;=1),"C","")))</f>
        <v/>
      </c>
      <c r="AB32" s="0" t="inlineStr">
        <is>
          <t>β’モデル：
「3.3.1 権限管理」「3.3.5 設定変更検知」「3.4.1 操作記録」等。
補足評価：
GPO改変は一度権限を奪取された後に、正規操作として行われる可能性が高く、検知・阻止が難しい。
特にVDI環境などでは検知の即時性に限界があるため、評価「2（低）」は妥当。</t>
        </is>
      </c>
      <c r="AC32" s="3">
        <f>SPRV_Source_For_Formulas!D125</f>
        <v/>
      </c>
      <c r="AD32" s="0" t="inlineStr">
        <is>
          <t>My Number Administrative System on GovCloud</t>
        </is>
      </c>
      <c r="AE32"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32" s="0" t="n">
        <v>3</v>
      </c>
      <c r="AG32" s="8" t="n">
        <v>2</v>
      </c>
      <c r="AH32" s="3">
        <f>IF(SPRV_Source_For_Formulas!G125&lt;=0.2,3,IF(SPRV_Source_For_Formulas!G125&lt;=0.5,2,1))</f>
        <v/>
      </c>
      <c r="AI32" s="8">
        <f>4-AH32</f>
        <v/>
      </c>
      <c r="AJ32" s="9">
        <f>IF(AND(AF32=3,AG32*AI32&gt;=6),"A",IF(AND(AF32=3,AG32*AI32&gt;=3),"B",IF(AND(AF32=3,AG32*AI32&gt;=1),"C","")))</f>
        <v/>
      </c>
      <c r="AK32"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32" s="8">
        <f>MAX(E32,N32,W32,AF32)</f>
        <v/>
      </c>
      <c r="AM32" s="8" t="n">
        <v>2</v>
      </c>
      <c r="AN32" s="8">
        <f>MAX(G32,P32,Y32,AH32)</f>
        <v/>
      </c>
      <c r="AO32" s="8">
        <f>4-AN32</f>
        <v/>
      </c>
      <c r="AP32" s="8">
        <f>IF(AND(AL32=3,AM32*AO32&gt;=6),"A",IF(AND(AL32=3,AM32*AO32&gt;=3),"B",IF(AND(AL32=3,AM32*AO32&gt;=1),"C","")))</f>
        <v/>
      </c>
      <c r="AQ32" s="8">
        <f>"Scenario-level Threat=2; Step1="&amp;I32&amp;" Step2="&amp;R32&amp;" Step3="&amp;AA32&amp;" Step4="&amp;AJ32&amp;" ; Overall Threat fixed=2, Max Mitigation="&amp;AN32&amp;" =&gt; Overall="&amp;AP32</f>
        <v/>
      </c>
    </row>
    <row r="33">
      <c r="A33" s="0" t="n">
        <v>32</v>
      </c>
      <c r="B33" s="3">
        <f>SPRV_Source_For_Formulas!D126</f>
        <v/>
      </c>
      <c r="C33" s="0" t="inlineStr">
        <is>
          <t>VDI Auth server</t>
        </is>
      </c>
      <c r="D33"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33" s="0" t="n">
        <v>3</v>
      </c>
      <c r="F33" s="8" t="n">
        <v>2</v>
      </c>
      <c r="G33" s="3">
        <f>IF(SPRV_Source_For_Formulas!G126&lt;=0.2,3,IF(SPRV_Source_For_Formulas!G126&lt;=0.5,2,1))</f>
        <v/>
      </c>
      <c r="H33" s="8">
        <f>4-G33</f>
        <v/>
      </c>
      <c r="I33" s="9">
        <f>IF(AND(E33=3,F33*H33&gt;=6),"A",IF(AND(E33=3,F33*H33&gt;=3),"B",IF(AND(E33=3,F33*H33&gt;=1),"C","")))</f>
        <v/>
      </c>
      <c r="J33"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33" s="3">
        <f>SPRV_Source_For_Formulas!D127</f>
        <v/>
      </c>
      <c r="L33" s="0" t="inlineStr">
        <is>
          <t>VDI Auth server</t>
        </is>
      </c>
      <c r="M33" s="0" t="inlineStr">
        <is>
          <t>この正規セッションを基盤に、クラウドサービスのリモート接続機能を悪用して攻撃を拡大する：
攻撃者はVDI Auth Server経由で クラウドサービスの管理APIやCLI にリモート接続。
API呼び出しにより 追加の認証サーバ／仮想VDIノードをリモート生成または制御。
正規ユーザの認証セッションを中継し、認証トークンやセッションCookieを奪取。
結果として、VDI認証基盤を横展開起点としてクラウド全体に不正アクセスできる。
→ この攻撃は従来のRDP/SSHと異なり、クラウド環境における「リモートAPI利用型の横展開」である点が特徴</t>
        </is>
      </c>
      <c r="N33" s="0" t="n">
        <v>3</v>
      </c>
      <c r="O33" s="8" t="n">
        <v>2</v>
      </c>
      <c r="P33" s="3">
        <f>IF(SPRV_Source_For_Formulas!G127&lt;=0.2,3,IF(SPRV_Source_For_Formulas!G127&lt;=0.5,2,1))</f>
        <v/>
      </c>
      <c r="Q33" s="8">
        <f>4-P33</f>
        <v/>
      </c>
      <c r="R33" s="9">
        <f>IF(AND(N33=3,O33*Q33&gt;=6),"A",IF(AND(N33=3,O33*Q33&gt;=3),"B",IF(AND(N33=3,O33*Q33&gt;=1),"C","")))</f>
        <v/>
      </c>
      <c r="S33" s="0" t="inlineStr">
        <is>
          <t>| 評価観点      | 状況・施策内容                                                | 評価     |
| --------- | ------------------------------------------------------ | ------ |
| 認証管理（MFA） | API/CLI操作にもMFA適用済み。VDI Auth経由の管理操作はSTS短期トークン使用を必須化。    | ★★★（3） |
| IAM制御     | VDI AuthにCloudリモート操作権限は基本付与されていないが、一部管理者ロールに広範囲権限残存。   | ★★☆（2） |
| ログ監視・検知   | CloudTrail＋SIEM連携でAPI操作は可視化。ただしリモートセッション異常検知ルールは一部未整備。 | ★★☆（2） |
| 構成管理      | IaC導入済で手動設定は原則不可。ただし例外運用が一部残存。                         | ★★☆（2） |
| 監査・承認フロー  | 月次監査あり。外部委託の操作はチケット承認制。ただし内部管理者の操作はリアルタイム承認なし。         | ★★☆（2） |</t>
        </is>
      </c>
      <c r="T33" s="3">
        <f>SPRV_Source_For_Formulas!D128</f>
        <v/>
      </c>
      <c r="U33" s="0" t="inlineStr">
        <is>
          <t>VDI server</t>
        </is>
      </c>
      <c r="V33" s="0" t="inlineStr">
        <is>
          <t>クラウドテナントまたはADドメインのグループポリシーを変更し、ログ記録停止・ツール使用許可など攻撃者に有利な構成変更を実施。</t>
        </is>
      </c>
      <c r="W33" s="0" t="n">
        <v>3</v>
      </c>
      <c r="X33" s="8" t="n">
        <v>2</v>
      </c>
      <c r="Y33" s="3">
        <f>IF(SPRV_Source_For_Formulas!G128&lt;=0.2,3,IF(SPRV_Source_For_Formulas!G128&lt;=0.5,2,1))</f>
        <v/>
      </c>
      <c r="Z33" s="8">
        <f>4-Y33</f>
        <v/>
      </c>
      <c r="AA33" s="9">
        <f>IF(AND(W33=3,X33*Z33&gt;=6),"A",IF(AND(W33=3,X33*Z33&gt;=3),"B",IF(AND(W33=3,X33*Z33&gt;=1),"C","")))</f>
        <v/>
      </c>
      <c r="AB33" s="0" t="inlineStr">
        <is>
          <t>β’モデル：
「3.3.1 権限管理」「3.3.5 設定変更検知」「3.4.1 操作記録」等。
補足評価：
GPO改変は一度権限を奪取された後に、正規操作として行われる可能性が高く、検知・阻止が難しい。
特にVDI環境などでは検知の即時性に限界があるため、評価「2（低）」は妥当。</t>
        </is>
      </c>
      <c r="AC33" s="3">
        <f>SPRV_Source_For_Formulas!D129</f>
        <v/>
      </c>
      <c r="AD33" s="0" t="inlineStr">
        <is>
          <t>My Number Administrative System on GovCloud</t>
        </is>
      </c>
      <c r="AE33"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33" s="0" t="n">
        <v>3</v>
      </c>
      <c r="AG33" s="8" t="n">
        <v>2</v>
      </c>
      <c r="AH33" s="3">
        <f>IF(SPRV_Source_For_Formulas!G129&lt;=0.2,3,IF(SPRV_Source_For_Formulas!G129&lt;=0.5,2,1))</f>
        <v/>
      </c>
      <c r="AI33" s="8">
        <f>4-AH33</f>
        <v/>
      </c>
      <c r="AJ33" s="9">
        <f>IF(AND(AF33=3,AG33*AI33&gt;=6),"A",IF(AND(AF33=3,AG33*AI33&gt;=3),"B",IF(AND(AF33=3,AG33*AI33&gt;=1),"C","")))</f>
        <v/>
      </c>
      <c r="AK33"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33" s="8">
        <f>MAX(E33,N33,W33,AF33)</f>
        <v/>
      </c>
      <c r="AM33" s="8" t="n">
        <v>2</v>
      </c>
      <c r="AN33" s="8">
        <f>MAX(G33,P33,Y33,AH33)</f>
        <v/>
      </c>
      <c r="AO33" s="8">
        <f>4-AN33</f>
        <v/>
      </c>
      <c r="AP33" s="8">
        <f>IF(AND(AL33=3,AM33*AO33&gt;=6),"A",IF(AND(AL33=3,AM33*AO33&gt;=3),"B",IF(AND(AL33=3,AM33*AO33&gt;=1),"C","")))</f>
        <v/>
      </c>
      <c r="AQ33" s="8">
        <f>"Scenario-level Threat=2; Step1="&amp;I33&amp;" Step2="&amp;R33&amp;" Step3="&amp;AA33&amp;" Step4="&amp;AJ33&amp;" ; Overall Threat fixed=2, Max Mitigation="&amp;AN33&amp;" =&gt; Overall="&amp;AP33</f>
        <v/>
      </c>
    </row>
    <row r="34">
      <c r="A34" s="0" t="n">
        <v>33</v>
      </c>
      <c r="B34" s="3">
        <f>SPRV_Source_For_Formulas!D130</f>
        <v/>
      </c>
      <c r="C34" s="0" t="inlineStr">
        <is>
          <t>VDI Auth server</t>
        </is>
      </c>
      <c r="D34"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34" s="0" t="n">
        <v>3</v>
      </c>
      <c r="F34" s="8" t="n">
        <v>2</v>
      </c>
      <c r="G34" s="3">
        <f>IF(SPRV_Source_For_Formulas!G130&lt;=0.2,3,IF(SPRV_Source_For_Formulas!G130&lt;=0.5,2,1))</f>
        <v/>
      </c>
      <c r="H34" s="8">
        <f>4-G34</f>
        <v/>
      </c>
      <c r="I34" s="9">
        <f>IF(AND(E34=3,F34*H34&gt;=6),"A",IF(AND(E34=3,F34*H34&gt;=3),"B",IF(AND(E34=3,F34*H34&gt;=1),"C","")))</f>
        <v/>
      </c>
      <c r="J34"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34" s="3">
        <f>SPRV_Source_For_Formulas!D131</f>
        <v/>
      </c>
      <c r="L34" s="0" t="inlineStr">
        <is>
          <t>VDI Auth server</t>
        </is>
      </c>
      <c r="M34" s="0" t="inlineStr">
        <is>
          <t>クラウド認証で使用されるIAMトークンやAPIキーを盗み出し、正規ユーザになりすまし再ログイン。</t>
        </is>
      </c>
      <c r="N34" s="0" t="n">
        <v>3</v>
      </c>
      <c r="O34" s="8" t="n">
        <v>2</v>
      </c>
      <c r="P34" s="3">
        <f>IF(SPRV_Source_For_Formulas!G131&lt;=0.2,3,IF(SPRV_Source_For_Formulas!G131&lt;=0.5,2,1))</f>
        <v/>
      </c>
      <c r="Q34" s="8">
        <f>4-P34</f>
        <v/>
      </c>
      <c r="R34" s="9">
        <f>IF(AND(N34=3,O34*Q34&gt;=6),"A",IF(AND(N34=3,O34*Q34&gt;=3),"B",IF(AND(N34=3,O34*Q34&gt;=1),"C","")))</f>
        <v/>
      </c>
      <c r="S34" s="0" t="inlineStr">
        <is>
          <t>管理者アカウント削除防止策として、RBACとMFA、CloudTrail等の操作ログ監視が推奨されている（β’モデル 3.4.2）が、削除自体の即時ブロックは難しく、事後検知になるケースも多いため効果は中程度。</t>
        </is>
      </c>
      <c r="T34" s="3">
        <f>SPRV_Source_For_Formulas!D132</f>
        <v/>
      </c>
      <c r="U34" s="0" t="inlineStr">
        <is>
          <t>VDI server</t>
        </is>
      </c>
      <c r="V34"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34" s="0" t="n">
        <v>3</v>
      </c>
      <c r="X34" s="8" t="n">
        <v>2</v>
      </c>
      <c r="Y34" s="3">
        <f>IF(SPRV_Source_For_Formulas!G132&lt;=0.2,3,IF(SPRV_Source_For_Formulas!G132&lt;=0.5,2,1))</f>
        <v/>
      </c>
      <c r="Z34" s="8">
        <f>4-Y34</f>
        <v/>
      </c>
      <c r="AA34" s="9">
        <f>IF(AND(W34=3,X34*Z34&gt;=6),"A",IF(AND(W34=3,X34*Z34&gt;=3),"B",IF(AND(W34=3,X34*Z34&gt;=1),"C","")))</f>
        <v/>
      </c>
      <c r="AB34" s="0" t="inlineStr">
        <is>
          <t>β’モデル「3.3.4 認証」：ID管理・パスワード強度・MFA導入を規定
ガイドラインはID統制とアクセスログ確認を強調。一方で正規認証情報が漏洩した場合の防御は難しい（内部者攻撃やクレデンシャル再利用には限界）</t>
        </is>
      </c>
      <c r="AC34" s="3">
        <f>SPRV_Source_For_Formulas!D133</f>
        <v/>
      </c>
      <c r="AD34" s="0" t="inlineStr">
        <is>
          <t>My Number Administrative System on GovCloud</t>
        </is>
      </c>
      <c r="AE34" s="0" t="inlineStr">
        <is>
          <t>GovCloud上でのリソース（例：オンラインストレージや業務用DB）に対して、過剰リソースの割当（例：高負荷ジョブ生成）によってDoSを引き起こす。</t>
        </is>
      </c>
      <c r="AF34" s="0" t="n">
        <v>3</v>
      </c>
      <c r="AG34" s="8" t="n">
        <v>2</v>
      </c>
      <c r="AH34" s="3">
        <f>IF(SPRV_Source_For_Formulas!G133&lt;=0.2,3,IF(SPRV_Source_For_Formulas!G133&lt;=0.5,2,1))</f>
        <v/>
      </c>
      <c r="AI34" s="8">
        <f>4-AH34</f>
        <v/>
      </c>
      <c r="AJ34" s="9">
        <f>IF(AND(AF34=3,AG34*AI34&gt;=6),"A",IF(AND(AF34=3,AG34*AI34&gt;=3),"B",IF(AND(AF34=3,AG34*AI34&gt;=1),"C","")))</f>
        <v/>
      </c>
      <c r="AK34" s="0" t="inlineStr">
        <is>
          <t>β’モデル＋ガバメントクラウド資料にてIAM最小権限、API監査、CSPM運用が整備されていれば、有効性は高い。ただし初期検知遅延やアラート無視等には注意が必要。</t>
        </is>
      </c>
      <c r="AL34" s="8">
        <f>MAX(E34,N34,W34,AF34)</f>
        <v/>
      </c>
      <c r="AM34" s="8" t="n">
        <v>2</v>
      </c>
      <c r="AN34" s="8">
        <f>MAX(G34,P34,Y34,AH34)</f>
        <v/>
      </c>
      <c r="AO34" s="8">
        <f>4-AN34</f>
        <v/>
      </c>
      <c r="AP34" s="8">
        <f>IF(AND(AL34=3,AM34*AO34&gt;=6),"A",IF(AND(AL34=3,AM34*AO34&gt;=3),"B",IF(AND(AL34=3,AM34*AO34&gt;=1),"C","")))</f>
        <v/>
      </c>
      <c r="AQ34" s="8">
        <f>"Scenario-level Threat=2; Step1="&amp;I34&amp;" Step2="&amp;R34&amp;" Step3="&amp;AA34&amp;" Step4="&amp;AJ34&amp;" ; Overall Threat fixed=2, Max Mitigation="&amp;AN34&amp;" =&gt; Overall="&amp;AP34</f>
        <v/>
      </c>
    </row>
    <row r="35">
      <c r="A35" s="0" t="n">
        <v>34</v>
      </c>
      <c r="B35" s="3">
        <f>SPRV_Source_For_Formulas!D134</f>
        <v/>
      </c>
      <c r="C35" s="0" t="inlineStr">
        <is>
          <t>VDI Auth server</t>
        </is>
      </c>
      <c r="D35"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35" s="0" t="n">
        <v>3</v>
      </c>
      <c r="F35" s="8" t="n">
        <v>2</v>
      </c>
      <c r="G35" s="3">
        <f>IF(SPRV_Source_For_Formulas!G134&lt;=0.2,3,IF(SPRV_Source_For_Formulas!G134&lt;=0.5,2,1))</f>
        <v/>
      </c>
      <c r="H35" s="8">
        <f>4-G35</f>
        <v/>
      </c>
      <c r="I35" s="9">
        <f>IF(AND(E35=3,F35*H35&gt;=6),"A",IF(AND(E35=3,F35*H35&gt;=3),"B",IF(AND(E35=3,F35*H35&gt;=1),"C","")))</f>
        <v/>
      </c>
      <c r="J35"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35" s="3">
        <f>SPRV_Source_For_Formulas!D135</f>
        <v/>
      </c>
      <c r="L35" s="0" t="inlineStr">
        <is>
          <t>VDI Auth server</t>
        </is>
      </c>
      <c r="M35" s="0" t="inlineStr">
        <is>
          <t>クラウド認証で使用されるIAMトークンやAPIキーを盗み出し、正規ユーザになりすまし再ログイン。</t>
        </is>
      </c>
      <c r="N35" s="0" t="n">
        <v>3</v>
      </c>
      <c r="O35" s="8" t="n">
        <v>2</v>
      </c>
      <c r="P35" s="3">
        <f>IF(SPRV_Source_For_Formulas!G135&lt;=0.2,3,IF(SPRV_Source_For_Formulas!G135&lt;=0.5,2,1))</f>
        <v/>
      </c>
      <c r="Q35" s="8">
        <f>4-P35</f>
        <v/>
      </c>
      <c r="R35" s="9">
        <f>IF(AND(N35=3,O35*Q35&gt;=6),"A",IF(AND(N35=3,O35*Q35&gt;=3),"B",IF(AND(N35=3,O35*Q35&gt;=1),"C","")))</f>
        <v/>
      </c>
      <c r="S35" s="0" t="inlineStr">
        <is>
          <t>管理者アカウント削除防止策として、RBACとMFA、CloudTrail等の操作ログ監視が推奨されている（β’モデル 3.4.2）が、削除自体の即時ブロックは難しく、事後検知になるケースも多いため効果は中程度。</t>
        </is>
      </c>
      <c r="T35" s="3">
        <f>SPRV_Source_For_Formulas!D136</f>
        <v/>
      </c>
      <c r="U35" s="0" t="inlineStr">
        <is>
          <t>VDI server</t>
        </is>
      </c>
      <c r="V35"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35" s="0" t="n">
        <v>3</v>
      </c>
      <c r="X35" s="8" t="n">
        <v>2</v>
      </c>
      <c r="Y35" s="3">
        <f>IF(SPRV_Source_For_Formulas!G136&lt;=0.2,3,IF(SPRV_Source_For_Formulas!G136&lt;=0.5,2,1))</f>
        <v/>
      </c>
      <c r="Z35" s="8">
        <f>4-Y35</f>
        <v/>
      </c>
      <c r="AA35" s="9">
        <f>IF(AND(W35=3,X35*Z35&gt;=6),"A",IF(AND(W35=3,X35*Z35&gt;=3),"B",IF(AND(W35=3,X35*Z35&gt;=1),"C","")))</f>
        <v/>
      </c>
      <c r="AB35" s="0" t="inlineStr">
        <is>
          <t>β’モデル「3.3.4 認証」：ID管理・パスワード強度・MFA導入を規定
ガイドラインはID統制とアクセスログ確認を強調。一方で正規認証情報が漏洩した場合の防御は難しい（内部者攻撃やクレデンシャル再利用には限界）</t>
        </is>
      </c>
      <c r="AC35" s="3">
        <f>SPRV_Source_For_Formulas!D137</f>
        <v/>
      </c>
      <c r="AD35" s="0" t="inlineStr">
        <is>
          <t>My Number Administrative System on GovCloud</t>
        </is>
      </c>
      <c r="AE35" s="0" t="inlineStr">
        <is>
          <t>GovCloudで提供されているストレージやDBに対し、アクセス頻度を意図的に増加させ、正規ユーザの業務処理に支障を与えるリソース飽和型攻撃を実行。</t>
        </is>
      </c>
      <c r="AF35" s="0" t="n">
        <v>3</v>
      </c>
      <c r="AG35" s="8" t="n">
        <v>2</v>
      </c>
      <c r="AH35" s="3">
        <f>IF(SPRV_Source_For_Formulas!G137&lt;=0.2,3,IF(SPRV_Source_For_Formulas!G137&lt;=0.5,2,1))</f>
        <v/>
      </c>
      <c r="AI35" s="8">
        <f>4-AH35</f>
        <v/>
      </c>
      <c r="AJ35" s="9">
        <f>IF(AND(AF35=3,AG35*AI35&gt;=6),"A",IF(AND(AF35=3,AG35*AI35&gt;=3),"B",IF(AND(AF35=3,AG35*AI35&gt;=1),"C","")))</f>
        <v/>
      </c>
      <c r="AK35" s="0" t="inlineStr">
        <is>
          <t>仮想マシンに対するネットワーク分離、IAM制御、ログ監視により不正操作の抑止・検知が可能。推奨対策と合致。</t>
        </is>
      </c>
      <c r="AL35" s="8">
        <f>MAX(E35,N35,W35,AF35)</f>
        <v/>
      </c>
      <c r="AM35" s="8" t="n">
        <v>2</v>
      </c>
      <c r="AN35" s="8">
        <f>MAX(G35,P35,Y35,AH35)</f>
        <v/>
      </c>
      <c r="AO35" s="8">
        <f>4-AN35</f>
        <v/>
      </c>
      <c r="AP35" s="8">
        <f>IF(AND(AL35=3,AM35*AO35&gt;=6),"A",IF(AND(AL35=3,AM35*AO35&gt;=3),"B",IF(AND(AL35=3,AM35*AO35&gt;=1),"C","")))</f>
        <v/>
      </c>
      <c r="AQ35" s="8">
        <f>"Scenario-level Threat=2; Step1="&amp;I35&amp;" Step2="&amp;R35&amp;" Step3="&amp;AA35&amp;" Step4="&amp;AJ35&amp;" ; Overall Threat fixed=2, Max Mitigation="&amp;AN35&amp;" =&gt; Overall="&amp;AP35</f>
        <v/>
      </c>
    </row>
    <row r="36">
      <c r="A36" s="0" t="n">
        <v>35</v>
      </c>
      <c r="B36" s="3">
        <f>SPRV_Source_For_Formulas!D138</f>
        <v/>
      </c>
      <c r="C36" s="0" t="inlineStr">
        <is>
          <t>VDI Auth server</t>
        </is>
      </c>
      <c r="D36"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36" s="0" t="n">
        <v>3</v>
      </c>
      <c r="F36" s="8" t="n">
        <v>2</v>
      </c>
      <c r="G36" s="3">
        <f>IF(SPRV_Source_For_Formulas!G138&lt;=0.2,3,IF(SPRV_Source_For_Formulas!G138&lt;=0.5,2,1))</f>
        <v/>
      </c>
      <c r="H36" s="8">
        <f>4-G36</f>
        <v/>
      </c>
      <c r="I36" s="9">
        <f>IF(AND(E36=3,F36*H36&gt;=6),"A",IF(AND(E36=3,F36*H36&gt;=3),"B",IF(AND(E36=3,F36*H36&gt;=1),"C","")))</f>
        <v/>
      </c>
      <c r="J36"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36" s="3">
        <f>SPRV_Source_For_Formulas!D139</f>
        <v/>
      </c>
      <c r="L36" s="0" t="inlineStr">
        <is>
          <t>VDI Auth server</t>
        </is>
      </c>
      <c r="M36" s="0" t="inlineStr">
        <is>
          <t>クラウド認証で使用されるIAMトークンやAPIキーを盗み出し、正規ユーザになりすまし再ログイン。</t>
        </is>
      </c>
      <c r="N36" s="0" t="n">
        <v>3</v>
      </c>
      <c r="O36" s="8" t="n">
        <v>2</v>
      </c>
      <c r="P36" s="3">
        <f>IF(SPRV_Source_For_Formulas!G139&lt;=0.2,3,IF(SPRV_Source_For_Formulas!G139&lt;=0.5,2,1))</f>
        <v/>
      </c>
      <c r="Q36" s="8">
        <f>4-P36</f>
        <v/>
      </c>
      <c r="R36" s="9">
        <f>IF(AND(N36=3,O36*Q36&gt;=6),"A",IF(AND(N36=3,O36*Q36&gt;=3),"B",IF(AND(N36=3,O36*Q36&gt;=1),"C","")))</f>
        <v/>
      </c>
      <c r="S36" s="0" t="inlineStr">
        <is>
          <t>管理者アカウント削除防止策として、RBACとMFA、CloudTrail等の操作ログ監視が推奨されている（β’モデル 3.4.2）が、削除自体の即時ブロックは難しく、事後検知になるケースも多いため効果は中程度。</t>
        </is>
      </c>
      <c r="T36" s="3">
        <f>SPRV_Source_For_Formulas!D140</f>
        <v/>
      </c>
      <c r="U36" s="0" t="inlineStr">
        <is>
          <t>VDI server</t>
        </is>
      </c>
      <c r="V36"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36" s="0" t="n">
        <v>3</v>
      </c>
      <c r="X36" s="8" t="n">
        <v>2</v>
      </c>
      <c r="Y36" s="3">
        <f>IF(SPRV_Source_For_Formulas!G140&lt;=0.2,3,IF(SPRV_Source_For_Formulas!G140&lt;=0.5,2,1))</f>
        <v/>
      </c>
      <c r="Z36" s="8">
        <f>4-Y36</f>
        <v/>
      </c>
      <c r="AA36" s="9">
        <f>IF(AND(W36=3,X36*Z36&gt;=6),"A",IF(AND(W36=3,X36*Z36&gt;=3),"B",IF(AND(W36=3,X36*Z36&gt;=1),"C","")))</f>
        <v/>
      </c>
      <c r="AB36" s="0" t="inlineStr">
        <is>
          <t>β’モデル「3.3.4 認証」：ID管理・パスワード強度・MFA導入を規定
ガイドラインはID統制とアクセスログ確認を強調。一方で正規認証情報が漏洩した場合の防御は難しい（内部者攻撃やクレデンシャル再利用には限界）</t>
        </is>
      </c>
      <c r="AC36" s="3">
        <f>SPRV_Source_For_Formulas!D141</f>
        <v/>
      </c>
      <c r="AD36" s="0" t="inlineStr">
        <is>
          <t>My Number Administrative System on GovCloud</t>
        </is>
      </c>
      <c r="AE36"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36" s="0" t="n">
        <v>3</v>
      </c>
      <c r="AG36" s="8" t="n">
        <v>2</v>
      </c>
      <c r="AH36" s="3">
        <f>IF(SPRV_Source_For_Formulas!G141&lt;=0.2,3,IF(SPRV_Source_For_Formulas!G141&lt;=0.5,2,1))</f>
        <v/>
      </c>
      <c r="AI36" s="8">
        <f>4-AH36</f>
        <v/>
      </c>
      <c r="AJ36" s="9">
        <f>IF(AND(AF36=3,AG36*AI36&gt;=6),"A",IF(AND(AF36=3,AG36*AI36&gt;=3),"B",IF(AND(AF36=3,AG36*AI36&gt;=1),"C","")))</f>
        <v/>
      </c>
      <c r="AK36"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36" s="8">
        <f>MAX(E36,N36,W36,AF36)</f>
        <v/>
      </c>
      <c r="AM36" s="8" t="n">
        <v>2</v>
      </c>
      <c r="AN36" s="8">
        <f>MAX(G36,P36,Y36,AH36)</f>
        <v/>
      </c>
      <c r="AO36" s="8">
        <f>4-AN36</f>
        <v/>
      </c>
      <c r="AP36" s="8">
        <f>IF(AND(AL36=3,AM36*AO36&gt;=6),"A",IF(AND(AL36=3,AM36*AO36&gt;=3),"B",IF(AND(AL36=3,AM36*AO36&gt;=1),"C","")))</f>
        <v/>
      </c>
      <c r="AQ36" s="8">
        <f>"Scenario-level Threat=2; Step1="&amp;I36&amp;" Step2="&amp;R36&amp;" Step3="&amp;AA36&amp;" Step4="&amp;AJ36&amp;" ; Overall Threat fixed=2, Max Mitigation="&amp;AN36&amp;" =&gt; Overall="&amp;AP36</f>
        <v/>
      </c>
    </row>
    <row r="37">
      <c r="A37" s="0" t="n">
        <v>36</v>
      </c>
      <c r="B37" s="3">
        <f>SPRV_Source_For_Formulas!D142</f>
        <v/>
      </c>
      <c r="C37" s="0" t="inlineStr">
        <is>
          <t>VDI Auth server</t>
        </is>
      </c>
      <c r="D37"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37" s="0" t="n">
        <v>3</v>
      </c>
      <c r="F37" s="8" t="n">
        <v>2</v>
      </c>
      <c r="G37" s="3">
        <f>IF(SPRV_Source_For_Formulas!G142&lt;=0.2,3,IF(SPRV_Source_For_Formulas!G142&lt;=0.5,2,1))</f>
        <v/>
      </c>
      <c r="H37" s="8">
        <f>4-G37</f>
        <v/>
      </c>
      <c r="I37" s="9">
        <f>IF(AND(E37=3,F37*H37&gt;=6),"A",IF(AND(E37=3,F37*H37&gt;=3),"B",IF(AND(E37=3,F37*H37&gt;=1),"C","")))</f>
        <v/>
      </c>
      <c r="J37"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37" s="3">
        <f>SPRV_Source_For_Formulas!D143</f>
        <v/>
      </c>
      <c r="L37" s="0" t="inlineStr">
        <is>
          <t>VDI Auth server</t>
        </is>
      </c>
      <c r="M37" s="0" t="inlineStr">
        <is>
          <t>クラウド認証で使用されるIAMトークンやAPIキーを盗み出し、正規ユーザになりすまし再ログイン。</t>
        </is>
      </c>
      <c r="N37" s="0" t="n">
        <v>3</v>
      </c>
      <c r="O37" s="8" t="n">
        <v>2</v>
      </c>
      <c r="P37" s="3">
        <f>IF(SPRV_Source_For_Formulas!G143&lt;=0.2,3,IF(SPRV_Source_For_Formulas!G143&lt;=0.5,2,1))</f>
        <v/>
      </c>
      <c r="Q37" s="8">
        <f>4-P37</f>
        <v/>
      </c>
      <c r="R37" s="9">
        <f>IF(AND(N37=3,O37*Q37&gt;=6),"A",IF(AND(N37=3,O37*Q37&gt;=3),"B",IF(AND(N37=3,O37*Q37&gt;=1),"C","")))</f>
        <v/>
      </c>
      <c r="S37" s="0" t="inlineStr">
        <is>
          <t>管理者アカウント削除防止策として、RBACとMFA、CloudTrail等の操作ログ監視が推奨されている（β’モデル 3.4.2）が、削除自体の即時ブロックは難しく、事後検知になるケースも多いため効果は中程度。</t>
        </is>
      </c>
      <c r="T37" s="3">
        <f>SPRV_Source_For_Formulas!D144</f>
        <v/>
      </c>
      <c r="U37" s="0" t="inlineStr">
        <is>
          <t>VDI server</t>
        </is>
      </c>
      <c r="V37"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37" s="0" t="n">
        <v>3</v>
      </c>
      <c r="X37" s="8" t="n">
        <v>2</v>
      </c>
      <c r="Y37" s="3">
        <f>IF(SPRV_Source_For_Formulas!G144&lt;=0.2,3,IF(SPRV_Source_For_Formulas!G144&lt;=0.5,2,1))</f>
        <v/>
      </c>
      <c r="Z37" s="8">
        <f>4-Y37</f>
        <v/>
      </c>
      <c r="AA37" s="9">
        <f>IF(AND(W37=3,X37*Z37&gt;=6),"A",IF(AND(W37=3,X37*Z37&gt;=3),"B",IF(AND(W37=3,X37*Z37&gt;=1),"C","")))</f>
        <v/>
      </c>
      <c r="AB37" s="0" t="inlineStr">
        <is>
          <t>β’モデル「3.3.4 認証」：ID管理・パスワード強度・MFA導入を規定
ガイドラインはID統制とアクセスログ確認を強調。一方で正規認証情報が漏洩した場合の防御は難しい（内部者攻撃やクレデンシャル再利用には限界）</t>
        </is>
      </c>
      <c r="AC37" s="3">
        <f>SPRV_Source_For_Formulas!D145</f>
        <v/>
      </c>
      <c r="AD37" s="0" t="inlineStr">
        <is>
          <t>My Number Administrative System on GovCloud</t>
        </is>
      </c>
      <c r="AE37"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37" s="0" t="n">
        <v>3</v>
      </c>
      <c r="AG37" s="8" t="n">
        <v>2</v>
      </c>
      <c r="AH37" s="3">
        <f>IF(SPRV_Source_For_Formulas!G145&lt;=0.2,3,IF(SPRV_Source_For_Formulas!G145&lt;=0.5,2,1))</f>
        <v/>
      </c>
      <c r="AI37" s="8">
        <f>4-AH37</f>
        <v/>
      </c>
      <c r="AJ37" s="9">
        <f>IF(AND(AF37=3,AG37*AI37&gt;=6),"A",IF(AND(AF37=3,AG37*AI37&gt;=3),"B",IF(AND(AF37=3,AG37*AI37&gt;=1),"C","")))</f>
        <v/>
      </c>
      <c r="AK37"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37" s="8">
        <f>MAX(E37,N37,W37,AF37)</f>
        <v/>
      </c>
      <c r="AM37" s="8" t="n">
        <v>2</v>
      </c>
      <c r="AN37" s="8">
        <f>MAX(G37,P37,Y37,AH37)</f>
        <v/>
      </c>
      <c r="AO37" s="8">
        <f>4-AN37</f>
        <v/>
      </c>
      <c r="AP37" s="8">
        <f>IF(AND(AL37=3,AM37*AO37&gt;=6),"A",IF(AND(AL37=3,AM37*AO37&gt;=3),"B",IF(AND(AL37=3,AM37*AO37&gt;=1),"C","")))</f>
        <v/>
      </c>
      <c r="AQ37" s="8">
        <f>"Scenario-level Threat=2; Step1="&amp;I37&amp;" Step2="&amp;R37&amp;" Step3="&amp;AA37&amp;" Step4="&amp;AJ37&amp;" ; Overall Threat fixed=2, Max Mitigation="&amp;AN37&amp;" =&gt; Overall="&amp;AP37</f>
        <v/>
      </c>
    </row>
    <row r="38">
      <c r="A38" s="0" t="n">
        <v>37</v>
      </c>
      <c r="B38" s="3">
        <f>SPRV_Source_For_Formulas!D146</f>
        <v/>
      </c>
      <c r="C38" s="0" t="inlineStr">
        <is>
          <t>VDI Auth server</t>
        </is>
      </c>
      <c r="D38"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38" s="0" t="n">
        <v>3</v>
      </c>
      <c r="F38" s="8" t="n">
        <v>2</v>
      </c>
      <c r="G38" s="3">
        <f>IF(SPRV_Source_For_Formulas!G146&lt;=0.2,3,IF(SPRV_Source_For_Formulas!G146&lt;=0.5,2,1))</f>
        <v/>
      </c>
      <c r="H38" s="8">
        <f>4-G38</f>
        <v/>
      </c>
      <c r="I38" s="9">
        <f>IF(AND(E38=3,F38*H38&gt;=6),"A",IF(AND(E38=3,F38*H38&gt;=3),"B",IF(AND(E38=3,F38*H38&gt;=1),"C","")))</f>
        <v/>
      </c>
      <c r="J38"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38" s="3">
        <f>SPRV_Source_For_Formulas!D147</f>
        <v/>
      </c>
      <c r="L38" s="0" t="inlineStr">
        <is>
          <t>VDI Auth server</t>
        </is>
      </c>
      <c r="M38" s="0" t="inlineStr">
        <is>
          <t>クラウド認証で使用されるIAMトークンやAPIキーを盗み出し、正規ユーザになりすまし再ログイン。</t>
        </is>
      </c>
      <c r="N38" s="0" t="n">
        <v>3</v>
      </c>
      <c r="O38" s="8" t="n">
        <v>2</v>
      </c>
      <c r="P38" s="3">
        <f>IF(SPRV_Source_For_Formulas!G147&lt;=0.2,3,IF(SPRV_Source_For_Formulas!G147&lt;=0.5,2,1))</f>
        <v/>
      </c>
      <c r="Q38" s="8">
        <f>4-P38</f>
        <v/>
      </c>
      <c r="R38" s="9">
        <f>IF(AND(N38=3,O38*Q38&gt;=6),"A",IF(AND(N38=3,O38*Q38&gt;=3),"B",IF(AND(N38=3,O38*Q38&gt;=1),"C","")))</f>
        <v/>
      </c>
      <c r="S38" s="0" t="inlineStr">
        <is>
          <t>管理者アカウント削除防止策として、RBACとMFA、CloudTrail等の操作ログ監視が推奨されている（β’モデル 3.4.2）が、削除自体の即時ブロックは難しく、事後検知になるケースも多いため効果は中程度。</t>
        </is>
      </c>
      <c r="T38" s="3">
        <f>SPRV_Source_For_Formulas!D148</f>
        <v/>
      </c>
      <c r="U38" s="0" t="inlineStr">
        <is>
          <t>VDI server</t>
        </is>
      </c>
      <c r="V38"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38" s="0" t="n">
        <v>3</v>
      </c>
      <c r="X38" s="8" t="n">
        <v>2</v>
      </c>
      <c r="Y38" s="3">
        <f>IF(SPRV_Source_For_Formulas!G148&lt;=0.2,3,IF(SPRV_Source_For_Formulas!G148&lt;=0.5,2,1))</f>
        <v/>
      </c>
      <c r="Z38" s="8">
        <f>4-Y38</f>
        <v/>
      </c>
      <c r="AA38" s="9">
        <f>IF(AND(W38=3,X38*Z38&gt;=6),"A",IF(AND(W38=3,X38*Z38&gt;=3),"B",IF(AND(W38=3,X38*Z38&gt;=1),"C","")))</f>
        <v/>
      </c>
      <c r="AB38" s="0" t="inlineStr">
        <is>
          <t>β’モデル「3.2.5 初期ID/パスワード変更の義務」「3.3.1 権限設定」、初期アカウントの削除・無効化を義務付け済みであれば抑止可能、運用が徹底されていれば高い有効性</t>
        </is>
      </c>
      <c r="AC38" s="3">
        <f>SPRV_Source_For_Formulas!D149</f>
        <v/>
      </c>
      <c r="AD38" s="0" t="inlineStr">
        <is>
          <t>My Number Administrative System on GovCloud</t>
        </is>
      </c>
      <c r="AE38" s="0" t="inlineStr">
        <is>
          <t>GovCloud上の分析処理などにリソース過負荷をかけてDoSを引き起こす。</t>
        </is>
      </c>
      <c r="AF38" s="0" t="n">
        <v>3</v>
      </c>
      <c r="AG38" s="8" t="n">
        <v>2</v>
      </c>
      <c r="AH38" s="3">
        <f>IF(SPRV_Source_For_Formulas!G149&lt;=0.2,3,IF(SPRV_Source_For_Formulas!G149&lt;=0.5,2,1))</f>
        <v/>
      </c>
      <c r="AI38" s="8">
        <f>4-AH38</f>
        <v/>
      </c>
      <c r="AJ38" s="9">
        <f>IF(AND(AF38=3,AG38*AI38&gt;=6),"A",IF(AND(AF38=3,AG38*AI38&gt;=3),"B",IF(AND(AF38=3,AG38*AI38&gt;=1),"C","")))</f>
        <v/>
      </c>
      <c r="AK38" s="0" t="inlineStr">
        <is>
          <t>β’モデル＋ガバメントクラウド資料にてIAM最小権限、API監査、CSPM運用が整備されていれば、有効性は高い。ただし初期検知遅延やアラート無視等には注意が必要。</t>
        </is>
      </c>
      <c r="AL38" s="8">
        <f>MAX(E38,N38,W38,AF38)</f>
        <v/>
      </c>
      <c r="AM38" s="8" t="n">
        <v>2</v>
      </c>
      <c r="AN38" s="8">
        <f>MAX(G38,P38,Y38,AH38)</f>
        <v/>
      </c>
      <c r="AO38" s="8">
        <f>4-AN38</f>
        <v/>
      </c>
      <c r="AP38" s="8">
        <f>IF(AND(AL38=3,AM38*AO38&gt;=6),"A",IF(AND(AL38=3,AM38*AO38&gt;=3),"B",IF(AND(AL38=3,AM38*AO38&gt;=1),"C","")))</f>
        <v/>
      </c>
      <c r="AQ38" s="8">
        <f>"Scenario-level Threat=2; Step1="&amp;I38&amp;" Step2="&amp;R38&amp;" Step3="&amp;AA38&amp;" Step4="&amp;AJ38&amp;" ; Overall Threat fixed=2, Max Mitigation="&amp;AN38&amp;" =&gt; Overall="&amp;AP38</f>
        <v/>
      </c>
    </row>
    <row r="39">
      <c r="A39" s="0" t="n">
        <v>38</v>
      </c>
      <c r="B39" s="3">
        <f>SPRV_Source_For_Formulas!D150</f>
        <v/>
      </c>
      <c r="C39" s="0" t="inlineStr">
        <is>
          <t>VDI Auth server</t>
        </is>
      </c>
      <c r="D39"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39" s="0" t="n">
        <v>3</v>
      </c>
      <c r="F39" s="8" t="n">
        <v>2</v>
      </c>
      <c r="G39" s="3">
        <f>IF(SPRV_Source_For_Formulas!G150&lt;=0.2,3,IF(SPRV_Source_For_Formulas!G150&lt;=0.5,2,1))</f>
        <v/>
      </c>
      <c r="H39" s="8">
        <f>4-G39</f>
        <v/>
      </c>
      <c r="I39" s="9">
        <f>IF(AND(E39=3,F39*H39&gt;=6),"A",IF(AND(E39=3,F39*H39&gt;=3),"B",IF(AND(E39=3,F39*H39&gt;=1),"C","")))</f>
        <v/>
      </c>
      <c r="J39"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39" s="3">
        <f>SPRV_Source_For_Formulas!D151</f>
        <v/>
      </c>
      <c r="L39" s="0" t="inlineStr">
        <is>
          <t>VDI Auth server</t>
        </is>
      </c>
      <c r="M39" s="0" t="inlineStr">
        <is>
          <t>クラウド認証で使用されるIAMトークンやAPIキーを盗み出し、正規ユーザになりすまし再ログイン。</t>
        </is>
      </c>
      <c r="N39" s="0" t="n">
        <v>3</v>
      </c>
      <c r="O39" s="8" t="n">
        <v>2</v>
      </c>
      <c r="P39" s="3">
        <f>IF(SPRV_Source_For_Formulas!G151&lt;=0.2,3,IF(SPRV_Source_For_Formulas!G151&lt;=0.5,2,1))</f>
        <v/>
      </c>
      <c r="Q39" s="8">
        <f>4-P39</f>
        <v/>
      </c>
      <c r="R39" s="9">
        <f>IF(AND(N39=3,O39*Q39&gt;=6),"A",IF(AND(N39=3,O39*Q39&gt;=3),"B",IF(AND(N39=3,O39*Q39&gt;=1),"C","")))</f>
        <v/>
      </c>
      <c r="S39" s="0" t="inlineStr">
        <is>
          <t>管理者アカウント削除防止策として、RBACとMFA、CloudTrail等の操作ログ監視が推奨されている（β’モデル 3.4.2）が、削除自体の即時ブロックは難しく、事後検知になるケースも多いため効果は中程度。</t>
        </is>
      </c>
      <c r="T39" s="3">
        <f>SPRV_Source_For_Formulas!D152</f>
        <v/>
      </c>
      <c r="U39" s="0" t="inlineStr">
        <is>
          <t>VDI server</t>
        </is>
      </c>
      <c r="V39"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39" s="0" t="n">
        <v>3</v>
      </c>
      <c r="X39" s="8" t="n">
        <v>2</v>
      </c>
      <c r="Y39" s="3">
        <f>IF(SPRV_Source_For_Formulas!G152&lt;=0.2,3,IF(SPRV_Source_For_Formulas!G152&lt;=0.5,2,1))</f>
        <v/>
      </c>
      <c r="Z39" s="8">
        <f>4-Y39</f>
        <v/>
      </c>
      <c r="AA39" s="9">
        <f>IF(AND(W39=3,X39*Z39&gt;=6),"A",IF(AND(W39=3,X39*Z39&gt;=3),"B",IF(AND(W39=3,X39*Z39&gt;=1),"C","")))</f>
        <v/>
      </c>
      <c r="AB39" s="0" t="inlineStr">
        <is>
          <t>β’モデル「3.2.5 初期ID/パスワード変更の義務」「3.3.1 権限設定」、初期アカウントの削除・無効化を義務付け済みであれば抑止可能、運用が徹底されていれば高い有効性</t>
        </is>
      </c>
      <c r="AC39" s="3">
        <f>SPRV_Source_For_Formulas!D153</f>
        <v/>
      </c>
      <c r="AD39" s="0" t="inlineStr">
        <is>
          <t>My Number Administrative System on GovCloud</t>
        </is>
      </c>
      <c r="AE39" s="0" t="inlineStr">
        <is>
          <t>正規サービスに過剰アクセスをかけ、リソースを枯渇させるリソース飽和攻撃。</t>
        </is>
      </c>
      <c r="AF39" s="0" t="n">
        <v>3</v>
      </c>
      <c r="AG39" s="8" t="n">
        <v>2</v>
      </c>
      <c r="AH39" s="3">
        <f>IF(SPRV_Source_For_Formulas!G153&lt;=0.2,3,IF(SPRV_Source_For_Formulas!G153&lt;=0.5,2,1))</f>
        <v/>
      </c>
      <c r="AI39" s="8">
        <f>4-AH39</f>
        <v/>
      </c>
      <c r="AJ39" s="9">
        <f>IF(AND(AF39=3,AG39*AI39&gt;=6),"A",IF(AND(AF39=3,AG39*AI39&gt;=3),"B",IF(AND(AF39=3,AG39*AI39&gt;=1),"C","")))</f>
        <v/>
      </c>
      <c r="AK39" s="0" t="inlineStr">
        <is>
          <t>仮想マシンに対するネットワーク分離、IAM制御、ログ監視により不正操作の抑止・検知が可能。推奨対策と合致。</t>
        </is>
      </c>
      <c r="AL39" s="8">
        <f>MAX(E39,N39,W39,AF39)</f>
        <v/>
      </c>
      <c r="AM39" s="8" t="n">
        <v>2</v>
      </c>
      <c r="AN39" s="8">
        <f>MAX(G39,P39,Y39,AH39)</f>
        <v/>
      </c>
      <c r="AO39" s="8">
        <f>4-AN39</f>
        <v/>
      </c>
      <c r="AP39" s="8">
        <f>IF(AND(AL39=3,AM39*AO39&gt;=6),"A",IF(AND(AL39=3,AM39*AO39&gt;=3),"B",IF(AND(AL39=3,AM39*AO39&gt;=1),"C","")))</f>
        <v/>
      </c>
      <c r="AQ39" s="8">
        <f>"Scenario-level Threat=2; Step1="&amp;I39&amp;" Step2="&amp;R39&amp;" Step3="&amp;AA39&amp;" Step4="&amp;AJ39&amp;" ; Overall Threat fixed=2, Max Mitigation="&amp;AN39&amp;" =&gt; Overall="&amp;AP39</f>
        <v/>
      </c>
    </row>
    <row r="40">
      <c r="A40" s="0" t="n">
        <v>39</v>
      </c>
      <c r="B40" s="3">
        <f>SPRV_Source_For_Formulas!D154</f>
        <v/>
      </c>
      <c r="C40" s="0" t="inlineStr">
        <is>
          <t>VDI Auth server</t>
        </is>
      </c>
      <c r="D40"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40" s="0" t="n">
        <v>3</v>
      </c>
      <c r="F40" s="8" t="n">
        <v>2</v>
      </c>
      <c r="G40" s="3">
        <f>IF(SPRV_Source_For_Formulas!G154&lt;=0.2,3,IF(SPRV_Source_For_Formulas!G154&lt;=0.5,2,1))</f>
        <v/>
      </c>
      <c r="H40" s="8">
        <f>4-G40</f>
        <v/>
      </c>
      <c r="I40" s="9">
        <f>IF(AND(E40=3,F40*H40&gt;=6),"A",IF(AND(E40=3,F40*H40&gt;=3),"B",IF(AND(E40=3,F40*H40&gt;=1),"C","")))</f>
        <v/>
      </c>
      <c r="J40"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40" s="3">
        <f>SPRV_Source_For_Formulas!D155</f>
        <v/>
      </c>
      <c r="L40" s="0" t="inlineStr">
        <is>
          <t>VDI Auth server</t>
        </is>
      </c>
      <c r="M40" s="0" t="inlineStr">
        <is>
          <t>クラウド認証で使用されるIAMトークンやAPIキーを盗み出し、正規ユーザになりすまし再ログイン。</t>
        </is>
      </c>
      <c r="N40" s="0" t="n">
        <v>3</v>
      </c>
      <c r="O40" s="8" t="n">
        <v>2</v>
      </c>
      <c r="P40" s="3">
        <f>IF(SPRV_Source_For_Formulas!G155&lt;=0.2,3,IF(SPRV_Source_For_Formulas!G155&lt;=0.5,2,1))</f>
        <v/>
      </c>
      <c r="Q40" s="8">
        <f>4-P40</f>
        <v/>
      </c>
      <c r="R40" s="9">
        <f>IF(AND(N40=3,O40*Q40&gt;=6),"A",IF(AND(N40=3,O40*Q40&gt;=3),"B",IF(AND(N40=3,O40*Q40&gt;=1),"C","")))</f>
        <v/>
      </c>
      <c r="S40" s="0" t="inlineStr">
        <is>
          <t>管理者アカウント削除防止策として、RBACとMFA、CloudTrail等の操作ログ監視が推奨されている（β’モデル 3.4.2）が、削除自体の即時ブロックは難しく、事後検知になるケースも多いため効果は中程度。</t>
        </is>
      </c>
      <c r="T40" s="3">
        <f>SPRV_Source_For_Formulas!D156</f>
        <v/>
      </c>
      <c r="U40" s="0" t="inlineStr">
        <is>
          <t>VDI server</t>
        </is>
      </c>
      <c r="V40"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40" s="0" t="n">
        <v>3</v>
      </c>
      <c r="X40" s="8" t="n">
        <v>2</v>
      </c>
      <c r="Y40" s="3">
        <f>IF(SPRV_Source_For_Formulas!G156&lt;=0.2,3,IF(SPRV_Source_For_Formulas!G156&lt;=0.5,2,1))</f>
        <v/>
      </c>
      <c r="Z40" s="8">
        <f>4-Y40</f>
        <v/>
      </c>
      <c r="AA40" s="9">
        <f>IF(AND(W40=3,X40*Z40&gt;=6),"A",IF(AND(W40=3,X40*Z40&gt;=3),"B",IF(AND(W40=3,X40*Z40&gt;=1),"C","")))</f>
        <v/>
      </c>
      <c r="AB40" s="0" t="inlineStr">
        <is>
          <t>β’モデル「3.2.5 初期ID/パスワード変更の義務」「3.3.1 権限設定」、初期アカウントの削除・無効化を義務付け済みであれば抑止可能、運用が徹底されていれば高い有効性</t>
        </is>
      </c>
      <c r="AC40" s="3">
        <f>SPRV_Source_For_Formulas!D157</f>
        <v/>
      </c>
      <c r="AD40" s="0" t="inlineStr">
        <is>
          <t>My Number Administrative System on GovCloud</t>
        </is>
      </c>
      <c r="AE40"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40" s="0" t="n">
        <v>3</v>
      </c>
      <c r="AG40" s="8" t="n">
        <v>2</v>
      </c>
      <c r="AH40" s="3">
        <f>IF(SPRV_Source_For_Formulas!G157&lt;=0.2,3,IF(SPRV_Source_For_Formulas!G157&lt;=0.5,2,1))</f>
        <v/>
      </c>
      <c r="AI40" s="8">
        <f>4-AH40</f>
        <v/>
      </c>
      <c r="AJ40" s="9">
        <f>IF(AND(AF40=3,AG40*AI40&gt;=6),"A",IF(AND(AF40=3,AG40*AI40&gt;=3),"B",IF(AND(AF40=3,AG40*AI40&gt;=1),"C","")))</f>
        <v/>
      </c>
      <c r="AK40"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40" s="8">
        <f>MAX(E40,N40,W40,AF40)</f>
        <v/>
      </c>
      <c r="AM40" s="8" t="n">
        <v>2</v>
      </c>
      <c r="AN40" s="8">
        <f>MAX(G40,P40,Y40,AH40)</f>
        <v/>
      </c>
      <c r="AO40" s="8">
        <f>4-AN40</f>
        <v/>
      </c>
      <c r="AP40" s="8">
        <f>IF(AND(AL40=3,AM40*AO40&gt;=6),"A",IF(AND(AL40=3,AM40*AO40&gt;=3),"B",IF(AND(AL40=3,AM40*AO40&gt;=1),"C","")))</f>
        <v/>
      </c>
      <c r="AQ40" s="8">
        <f>"Scenario-level Threat=2; Step1="&amp;I40&amp;" Step2="&amp;R40&amp;" Step3="&amp;AA40&amp;" Step4="&amp;AJ40&amp;" ; Overall Threat fixed=2, Max Mitigation="&amp;AN40&amp;" =&gt; Overall="&amp;AP40</f>
        <v/>
      </c>
    </row>
    <row r="41">
      <c r="A41" s="0" t="n">
        <v>40</v>
      </c>
      <c r="B41" s="3">
        <f>SPRV_Source_For_Formulas!D158</f>
        <v/>
      </c>
      <c r="C41" s="0" t="inlineStr">
        <is>
          <t>VDI Auth server</t>
        </is>
      </c>
      <c r="D41"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41" s="0" t="n">
        <v>3</v>
      </c>
      <c r="F41" s="8" t="n">
        <v>2</v>
      </c>
      <c r="G41" s="3">
        <f>IF(SPRV_Source_For_Formulas!G158&lt;=0.2,3,IF(SPRV_Source_For_Formulas!G158&lt;=0.5,2,1))</f>
        <v/>
      </c>
      <c r="H41" s="8">
        <f>4-G41</f>
        <v/>
      </c>
      <c r="I41" s="9">
        <f>IF(AND(E41=3,F41*H41&gt;=6),"A",IF(AND(E41=3,F41*H41&gt;=3),"B",IF(AND(E41=3,F41*H41&gt;=1),"C","")))</f>
        <v/>
      </c>
      <c r="J41"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41" s="3">
        <f>SPRV_Source_For_Formulas!D159</f>
        <v/>
      </c>
      <c r="L41" s="0" t="inlineStr">
        <is>
          <t>VDI Auth server</t>
        </is>
      </c>
      <c r="M41" s="0" t="inlineStr">
        <is>
          <t>クラウド認証で使用されるIAMトークンやAPIキーを盗み出し、正規ユーザになりすまし再ログイン。</t>
        </is>
      </c>
      <c r="N41" s="0" t="n">
        <v>3</v>
      </c>
      <c r="O41" s="8" t="n">
        <v>2</v>
      </c>
      <c r="P41" s="3">
        <f>IF(SPRV_Source_For_Formulas!G159&lt;=0.2,3,IF(SPRV_Source_For_Formulas!G159&lt;=0.5,2,1))</f>
        <v/>
      </c>
      <c r="Q41" s="8">
        <f>4-P41</f>
        <v/>
      </c>
      <c r="R41" s="9">
        <f>IF(AND(N41=3,O41*Q41&gt;=6),"A",IF(AND(N41=3,O41*Q41&gt;=3),"B",IF(AND(N41=3,O41*Q41&gt;=1),"C","")))</f>
        <v/>
      </c>
      <c r="S41" s="0" t="inlineStr">
        <is>
          <t>管理者アカウント削除防止策として、RBACとMFA、CloudTrail等の操作ログ監視が推奨されている（β’モデル 3.4.2）が、削除自体の即時ブロックは難しく、事後検知になるケースも多いため効果は中程度。</t>
        </is>
      </c>
      <c r="T41" s="3">
        <f>SPRV_Source_For_Formulas!D160</f>
        <v/>
      </c>
      <c r="U41" s="0" t="inlineStr">
        <is>
          <t>VDI server</t>
        </is>
      </c>
      <c r="V41"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41" s="0" t="n">
        <v>3</v>
      </c>
      <c r="X41" s="8" t="n">
        <v>2</v>
      </c>
      <c r="Y41" s="3">
        <f>IF(SPRV_Source_For_Formulas!G160&lt;=0.2,3,IF(SPRV_Source_For_Formulas!G160&lt;=0.5,2,1))</f>
        <v/>
      </c>
      <c r="Z41" s="8">
        <f>4-Y41</f>
        <v/>
      </c>
      <c r="AA41" s="9">
        <f>IF(AND(W41=3,X41*Z41&gt;=6),"A",IF(AND(W41=3,X41*Z41&gt;=3),"B",IF(AND(W41=3,X41*Z41&gt;=1),"C","")))</f>
        <v/>
      </c>
      <c r="AB41" s="0" t="inlineStr">
        <is>
          <t>β’モデル「3.2.5 初期ID/パスワード変更の義務」「3.3.1 権限設定」、初期アカウントの削除・無効化を義務付け済みであれば抑止可能、運用が徹底されていれば高い有効性</t>
        </is>
      </c>
      <c r="AC41" s="3">
        <f>SPRV_Source_For_Formulas!D161</f>
        <v/>
      </c>
      <c r="AD41" s="0" t="inlineStr">
        <is>
          <t>My Number Administrative System on GovCloud</t>
        </is>
      </c>
      <c r="AE41"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41" s="0" t="n">
        <v>3</v>
      </c>
      <c r="AG41" s="8" t="n">
        <v>2</v>
      </c>
      <c r="AH41" s="3">
        <f>IF(SPRV_Source_For_Formulas!G161&lt;=0.2,3,IF(SPRV_Source_For_Formulas!G161&lt;=0.5,2,1))</f>
        <v/>
      </c>
      <c r="AI41" s="8">
        <f>4-AH41</f>
        <v/>
      </c>
      <c r="AJ41" s="9">
        <f>IF(AND(AF41=3,AG41*AI41&gt;=6),"A",IF(AND(AF41=3,AG41*AI41&gt;=3),"B",IF(AND(AF41=3,AG41*AI41&gt;=1),"C","")))</f>
        <v/>
      </c>
      <c r="AK41"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41" s="8">
        <f>MAX(E41,N41,W41,AF41)</f>
        <v/>
      </c>
      <c r="AM41" s="8" t="n">
        <v>2</v>
      </c>
      <c r="AN41" s="8">
        <f>MAX(G41,P41,Y41,AH41)</f>
        <v/>
      </c>
      <c r="AO41" s="8">
        <f>4-AN41</f>
        <v/>
      </c>
      <c r="AP41" s="8">
        <f>IF(AND(AL41=3,AM41*AO41&gt;=6),"A",IF(AND(AL41=3,AM41*AO41&gt;=3),"B",IF(AND(AL41=3,AM41*AO41&gt;=1),"C","")))</f>
        <v/>
      </c>
      <c r="AQ41" s="8">
        <f>"Scenario-level Threat=2; Step1="&amp;I41&amp;" Step2="&amp;R41&amp;" Step3="&amp;AA41&amp;" Step4="&amp;AJ41&amp;" ; Overall Threat fixed=2, Max Mitigation="&amp;AN41&amp;" =&gt; Overall="&amp;AP41</f>
        <v/>
      </c>
    </row>
    <row r="42">
      <c r="A42" s="0" t="n">
        <v>41</v>
      </c>
      <c r="B42" s="3">
        <f>SPRV_Source_For_Formulas!D162</f>
        <v/>
      </c>
      <c r="C42" s="0" t="inlineStr">
        <is>
          <t>VDI Auth server</t>
        </is>
      </c>
      <c r="D42"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42" s="0" t="n">
        <v>3</v>
      </c>
      <c r="F42" s="8" t="n">
        <v>2</v>
      </c>
      <c r="G42" s="3">
        <f>IF(SPRV_Source_For_Formulas!G162&lt;=0.2,3,IF(SPRV_Source_For_Formulas!G162&lt;=0.5,2,1))</f>
        <v/>
      </c>
      <c r="H42" s="8">
        <f>4-G42</f>
        <v/>
      </c>
      <c r="I42" s="9">
        <f>IF(AND(E42=3,F42*H42&gt;=6),"A",IF(AND(E42=3,F42*H42&gt;=3),"B",IF(AND(E42=3,F42*H42&gt;=1),"C","")))</f>
        <v/>
      </c>
      <c r="J42"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42" s="3">
        <f>SPRV_Source_For_Formulas!D163</f>
        <v/>
      </c>
      <c r="L42" s="0" t="inlineStr">
        <is>
          <t>VDI Auth server</t>
        </is>
      </c>
      <c r="M42" s="0" t="inlineStr">
        <is>
          <t>クラウド認証で使用されるIAMトークンやAPIキーを盗み出し、正規ユーザになりすまし再ログイン。</t>
        </is>
      </c>
      <c r="N42" s="0" t="n">
        <v>3</v>
      </c>
      <c r="O42" s="8" t="n">
        <v>2</v>
      </c>
      <c r="P42" s="3">
        <f>IF(SPRV_Source_For_Formulas!G163&lt;=0.2,3,IF(SPRV_Source_For_Formulas!G163&lt;=0.5,2,1))</f>
        <v/>
      </c>
      <c r="Q42" s="8">
        <f>4-P42</f>
        <v/>
      </c>
      <c r="R42" s="9">
        <f>IF(AND(N42=3,O42*Q42&gt;=6),"A",IF(AND(N42=3,O42*Q42&gt;=3),"B",IF(AND(N42=3,O42*Q42&gt;=1),"C","")))</f>
        <v/>
      </c>
      <c r="S42" s="0" t="inlineStr">
        <is>
          <t>管理者アカウント削除防止策として、RBACとMFA、CloudTrail等の操作ログ監視が推奨されている（β’モデル 3.4.2）が、削除自体の即時ブロックは難しく、事後検知になるケースも多いため効果は中程度。</t>
        </is>
      </c>
      <c r="T42" s="3">
        <f>SPRV_Source_For_Formulas!D164</f>
        <v/>
      </c>
      <c r="U42" s="0" t="inlineStr">
        <is>
          <t>VDI server</t>
        </is>
      </c>
      <c r="V42" s="0" t="inlineStr">
        <is>
          <t>クラウドAPIを介してスクリプトを実行し、横展開やシステム操作を実施。</t>
        </is>
      </c>
      <c r="W42" s="0" t="n">
        <v>3</v>
      </c>
      <c r="X42" s="8" t="n">
        <v>2</v>
      </c>
      <c r="Y42" s="3">
        <f>IF(SPRV_Source_For_Formulas!G164&lt;=0.2,3,IF(SPRV_Source_For_Formulas!G164&lt;=0.5,2,1))</f>
        <v/>
      </c>
      <c r="Z42" s="8">
        <f>4-Y42</f>
        <v/>
      </c>
      <c r="AA42" s="9">
        <f>IF(AND(W42=3,X42*Z42&gt;=6),"A",IF(AND(W42=3,X42*Z42&gt;=3),"B",IF(AND(W42=3,X42*Z42&gt;=1),"C","")))</f>
        <v/>
      </c>
      <c r="AB42" s="0" t="inlineStr">
        <is>
          <t>β’モデル「3.3.6 コマンド実行制御」や「3.2.3 脆弱性管理」、Cloud API利用は正規用途でもあり、異常操作の見分けが困難、CSPMやSIEMによる振る舞い監視が必要だが完全ではない</t>
        </is>
      </c>
      <c r="AC42" s="3">
        <f>SPRV_Source_For_Formulas!D165</f>
        <v/>
      </c>
      <c r="AD42" s="0" t="inlineStr">
        <is>
          <t>My Number Administrative System on GovCloud</t>
        </is>
      </c>
      <c r="AE42" s="0" t="inlineStr">
        <is>
          <t>クラウドサービスを異常終了させ、業務継続を妨害する（DoS）。</t>
        </is>
      </c>
      <c r="AF42" s="0" t="n">
        <v>3</v>
      </c>
      <c r="AG42" s="8" t="n">
        <v>2</v>
      </c>
      <c r="AH42" s="3">
        <f>IF(SPRV_Source_For_Formulas!G165&lt;=0.2,3,IF(SPRV_Source_For_Formulas!G165&lt;=0.5,2,1))</f>
        <v/>
      </c>
      <c r="AI42" s="8">
        <f>4-AH42</f>
        <v/>
      </c>
      <c r="AJ42" s="9">
        <f>IF(AND(AF42=3,AG42*AI42&gt;=6),"A",IF(AND(AF42=3,AG42*AI42&gt;=3),"B",IF(AND(AF42=3,AG42*AI42&gt;=1),"C","")))</f>
        <v/>
      </c>
      <c r="AK42" s="0" t="inlineStr">
        <is>
          <t>β’モデル＋ガバメントクラウド資料にてIAM最小権限、API監査、CSPM運用が整備されていれば、有効性は高い。ただし初期検知遅延やアラート無視等には注意が必要。</t>
        </is>
      </c>
      <c r="AL42" s="8">
        <f>MAX(E42,N42,W42,AF42)</f>
        <v/>
      </c>
      <c r="AM42" s="8" t="n">
        <v>2</v>
      </c>
      <c r="AN42" s="8">
        <f>MAX(G42,P42,Y42,AH42)</f>
        <v/>
      </c>
      <c r="AO42" s="8">
        <f>4-AN42</f>
        <v/>
      </c>
      <c r="AP42" s="8">
        <f>IF(AND(AL42=3,AM42*AO42&gt;=6),"A",IF(AND(AL42=3,AM42*AO42&gt;=3),"B",IF(AND(AL42=3,AM42*AO42&gt;=1),"C","")))</f>
        <v/>
      </c>
      <c r="AQ42" s="8">
        <f>"Scenario-level Threat=2; Step1="&amp;I42&amp;" Step2="&amp;R42&amp;" Step3="&amp;AA42&amp;" Step4="&amp;AJ42&amp;" ; Overall Threat fixed=2, Max Mitigation="&amp;AN42&amp;" =&gt; Overall="&amp;AP42</f>
        <v/>
      </c>
    </row>
    <row r="43">
      <c r="A43" s="0" t="n">
        <v>42</v>
      </c>
      <c r="B43" s="3">
        <f>SPRV_Source_For_Formulas!D166</f>
        <v/>
      </c>
      <c r="C43" s="0" t="inlineStr">
        <is>
          <t>VDI Auth server</t>
        </is>
      </c>
      <c r="D43"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43" s="0" t="n">
        <v>3</v>
      </c>
      <c r="F43" s="8" t="n">
        <v>2</v>
      </c>
      <c r="G43" s="3">
        <f>IF(SPRV_Source_For_Formulas!G166&lt;=0.2,3,IF(SPRV_Source_For_Formulas!G166&lt;=0.5,2,1))</f>
        <v/>
      </c>
      <c r="H43" s="8">
        <f>4-G43</f>
        <v/>
      </c>
      <c r="I43" s="9">
        <f>IF(AND(E43=3,F43*H43&gt;=6),"A",IF(AND(E43=3,F43*H43&gt;=3),"B",IF(AND(E43=3,F43*H43&gt;=1),"C","")))</f>
        <v/>
      </c>
      <c r="J43"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43" s="3">
        <f>SPRV_Source_For_Formulas!D167</f>
        <v/>
      </c>
      <c r="L43" s="0" t="inlineStr">
        <is>
          <t>VDI Auth server</t>
        </is>
      </c>
      <c r="M43" s="0" t="inlineStr">
        <is>
          <t>クラウド認証で使用されるIAMトークンやAPIキーを盗み出し、正規ユーザになりすまし再ログイン。</t>
        </is>
      </c>
      <c r="N43" s="0" t="n">
        <v>3</v>
      </c>
      <c r="O43" s="8" t="n">
        <v>2</v>
      </c>
      <c r="P43" s="3">
        <f>IF(SPRV_Source_For_Formulas!G167&lt;=0.2,3,IF(SPRV_Source_For_Formulas!G167&lt;=0.5,2,1))</f>
        <v/>
      </c>
      <c r="Q43" s="8">
        <f>4-P43</f>
        <v/>
      </c>
      <c r="R43" s="9">
        <f>IF(AND(N43=3,O43*Q43&gt;=6),"A",IF(AND(N43=3,O43*Q43&gt;=3),"B",IF(AND(N43=3,O43*Q43&gt;=1),"C","")))</f>
        <v/>
      </c>
      <c r="S43" s="0" t="inlineStr">
        <is>
          <t>管理者アカウント削除防止策として、RBACとMFA、CloudTrail等の操作ログ監視が推奨されている（β’モデル 3.4.2）が、削除自体の即時ブロックは難しく、事後検知になるケースも多いため効果は中程度。</t>
        </is>
      </c>
      <c r="T43" s="3">
        <f>SPRV_Source_For_Formulas!D168</f>
        <v/>
      </c>
      <c r="U43" s="0" t="inlineStr">
        <is>
          <t>VDI server</t>
        </is>
      </c>
      <c r="V43" s="0" t="inlineStr">
        <is>
          <t>クラウドAPIを介してスクリプトを実行し、横展開やシステム操作を実施。</t>
        </is>
      </c>
      <c r="W43" s="0" t="n">
        <v>3</v>
      </c>
      <c r="X43" s="8" t="n">
        <v>2</v>
      </c>
      <c r="Y43" s="3">
        <f>IF(SPRV_Source_For_Formulas!G168&lt;=0.2,3,IF(SPRV_Source_For_Formulas!G168&lt;=0.5,2,1))</f>
        <v/>
      </c>
      <c r="Z43" s="8">
        <f>4-Y43</f>
        <v/>
      </c>
      <c r="AA43" s="9">
        <f>IF(AND(W43=3,X43*Z43&gt;=6),"A",IF(AND(W43=3,X43*Z43&gt;=3),"B",IF(AND(W43=3,X43*Z43&gt;=1),"C","")))</f>
        <v/>
      </c>
      <c r="AB43" s="0" t="inlineStr">
        <is>
          <t>β’モデル「3.3.6 コマンド実行制御」や「3.2.3 脆弱性管理」、Cloud API利用は正規用途でもあり、異常操作の見分けが困難、CSPMやSIEMによる振る舞い監視が必要だが完全ではない</t>
        </is>
      </c>
      <c r="AC43" s="3">
        <f>SPRV_Source_For_Formulas!D169</f>
        <v/>
      </c>
      <c r="AD43" s="0" t="inlineStr">
        <is>
          <t>My Number Administrative System on GovCloud</t>
        </is>
      </c>
      <c r="AE43" s="0" t="inlineStr">
        <is>
          <t>クラウドサービスを強制終了し、可用性を毀損。</t>
        </is>
      </c>
      <c r="AF43" s="0" t="n">
        <v>3</v>
      </c>
      <c r="AG43" s="8" t="n">
        <v>2</v>
      </c>
      <c r="AH43" s="3">
        <f>IF(SPRV_Source_For_Formulas!G169&lt;=0.2,3,IF(SPRV_Source_For_Formulas!G169&lt;=0.5,2,1))</f>
        <v/>
      </c>
      <c r="AI43" s="8">
        <f>4-AH43</f>
        <v/>
      </c>
      <c r="AJ43" s="9">
        <f>IF(AND(AF43=3,AG43*AI43&gt;=6),"A",IF(AND(AF43=3,AG43*AI43&gt;=3),"B",IF(AND(AF43=3,AG43*AI43&gt;=1),"C","")))</f>
        <v/>
      </c>
      <c r="AK43" s="0" t="inlineStr">
        <is>
          <t>仮想マシンに対するネットワーク分離、IAM制御、ログ監視により不正操作の抑止・検知が可能。推奨対策と合致。</t>
        </is>
      </c>
      <c r="AL43" s="8">
        <f>MAX(E43,N43,W43,AF43)</f>
        <v/>
      </c>
      <c r="AM43" s="8" t="n">
        <v>2</v>
      </c>
      <c r="AN43" s="8">
        <f>MAX(G43,P43,Y43,AH43)</f>
        <v/>
      </c>
      <c r="AO43" s="8">
        <f>4-AN43</f>
        <v/>
      </c>
      <c r="AP43" s="8">
        <f>IF(AND(AL43=3,AM43*AO43&gt;=6),"A",IF(AND(AL43=3,AM43*AO43&gt;=3),"B",IF(AND(AL43=3,AM43*AO43&gt;=1),"C","")))</f>
        <v/>
      </c>
      <c r="AQ43" s="8">
        <f>"Scenario-level Threat=2; Step1="&amp;I43&amp;" Step2="&amp;R43&amp;" Step3="&amp;AA43&amp;" Step4="&amp;AJ43&amp;" ; Overall Threat fixed=2, Max Mitigation="&amp;AN43&amp;" =&gt; Overall="&amp;AP43</f>
        <v/>
      </c>
    </row>
    <row r="44">
      <c r="A44" s="0" t="n">
        <v>43</v>
      </c>
      <c r="B44" s="3">
        <f>SPRV_Source_For_Formulas!D170</f>
        <v/>
      </c>
      <c r="C44" s="0" t="inlineStr">
        <is>
          <t>VDI Auth server</t>
        </is>
      </c>
      <c r="D44"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44" s="0" t="n">
        <v>3</v>
      </c>
      <c r="F44" s="8" t="n">
        <v>2</v>
      </c>
      <c r="G44" s="3">
        <f>IF(SPRV_Source_For_Formulas!G170&lt;=0.2,3,IF(SPRV_Source_For_Formulas!G170&lt;=0.5,2,1))</f>
        <v/>
      </c>
      <c r="H44" s="8">
        <f>4-G44</f>
        <v/>
      </c>
      <c r="I44" s="9">
        <f>IF(AND(E44=3,F44*H44&gt;=6),"A",IF(AND(E44=3,F44*H44&gt;=3),"B",IF(AND(E44=3,F44*H44&gt;=1),"C","")))</f>
        <v/>
      </c>
      <c r="J44"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44" s="3">
        <f>SPRV_Source_For_Formulas!D171</f>
        <v/>
      </c>
      <c r="L44" s="0" t="inlineStr">
        <is>
          <t>VDI Auth server</t>
        </is>
      </c>
      <c r="M44" s="0" t="inlineStr">
        <is>
          <t>クラウド認証で使用されるIAMトークンやAPIキーを盗み出し、正規ユーザになりすまし再ログイン。</t>
        </is>
      </c>
      <c r="N44" s="0" t="n">
        <v>3</v>
      </c>
      <c r="O44" s="8" t="n">
        <v>2</v>
      </c>
      <c r="P44" s="3">
        <f>IF(SPRV_Source_For_Formulas!G171&lt;=0.2,3,IF(SPRV_Source_For_Formulas!G171&lt;=0.5,2,1))</f>
        <v/>
      </c>
      <c r="Q44" s="8">
        <f>4-P44</f>
        <v/>
      </c>
      <c r="R44" s="9">
        <f>IF(AND(N44=3,O44*Q44&gt;=6),"A",IF(AND(N44=3,O44*Q44&gt;=3),"B",IF(AND(N44=3,O44*Q44&gt;=1),"C","")))</f>
        <v/>
      </c>
      <c r="S44" s="0" t="inlineStr">
        <is>
          <t>管理者アカウント削除防止策として、RBACとMFA、CloudTrail等の操作ログ監視が推奨されている（β’モデル 3.4.2）が、削除自体の即時ブロックは難しく、事後検知になるケースも多いため効果は中程度。</t>
        </is>
      </c>
      <c r="T44" s="3">
        <f>SPRV_Source_For_Formulas!D172</f>
        <v/>
      </c>
      <c r="U44" s="0" t="inlineStr">
        <is>
          <t>VDI server</t>
        </is>
      </c>
      <c r="V44" s="0" t="inlineStr">
        <is>
          <t>クラウドAPIを介してスクリプトを実行し、横展開やシステム操作を実施。</t>
        </is>
      </c>
      <c r="W44" s="0" t="n">
        <v>3</v>
      </c>
      <c r="X44" s="8" t="n">
        <v>2</v>
      </c>
      <c r="Y44" s="3">
        <f>IF(SPRV_Source_For_Formulas!G172&lt;=0.2,3,IF(SPRV_Source_For_Formulas!G172&lt;=0.5,2,1))</f>
        <v/>
      </c>
      <c r="Z44" s="8">
        <f>4-Y44</f>
        <v/>
      </c>
      <c r="AA44" s="9">
        <f>IF(AND(W44=3,X44*Z44&gt;=6),"A",IF(AND(W44=3,X44*Z44&gt;=3),"B",IF(AND(W44=3,X44*Z44&gt;=1),"C","")))</f>
        <v/>
      </c>
      <c r="AB44" s="0" t="inlineStr">
        <is>
          <t>β’モデル「3.3.6 コマンド実行制御」や「3.2.3 脆弱性管理」、Cloud API利用は正規用途でもあり、異常操作の見分けが困難、CSPMやSIEMによる振る舞い監視が必要だが完全ではない</t>
        </is>
      </c>
      <c r="AC44" s="3">
        <f>SPRV_Source_For_Formulas!D173</f>
        <v/>
      </c>
      <c r="AD44" s="0" t="inlineStr">
        <is>
          <t>My Number Administrative System on GovCloud</t>
        </is>
      </c>
      <c r="AE44"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44" s="0" t="n">
        <v>3</v>
      </c>
      <c r="AG44" s="8" t="n">
        <v>2</v>
      </c>
      <c r="AH44" s="3">
        <f>IF(SPRV_Source_For_Formulas!G173&lt;=0.2,3,IF(SPRV_Source_For_Formulas!G173&lt;=0.5,2,1))</f>
        <v/>
      </c>
      <c r="AI44" s="8">
        <f>4-AH44</f>
        <v/>
      </c>
      <c r="AJ44" s="9">
        <f>IF(AND(AF44=3,AG44*AI44&gt;=6),"A",IF(AND(AF44=3,AG44*AI44&gt;=3),"B",IF(AND(AF44=3,AG44*AI44&gt;=1),"C","")))</f>
        <v/>
      </c>
      <c r="AK44"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44" s="8">
        <f>MAX(E44,N44,W44,AF44)</f>
        <v/>
      </c>
      <c r="AM44" s="8" t="n">
        <v>2</v>
      </c>
      <c r="AN44" s="8">
        <f>MAX(G44,P44,Y44,AH44)</f>
        <v/>
      </c>
      <c r="AO44" s="8">
        <f>4-AN44</f>
        <v/>
      </c>
      <c r="AP44" s="8">
        <f>IF(AND(AL44=3,AM44*AO44&gt;=6),"A",IF(AND(AL44=3,AM44*AO44&gt;=3),"B",IF(AND(AL44=3,AM44*AO44&gt;=1),"C","")))</f>
        <v/>
      </c>
      <c r="AQ44" s="8">
        <f>"Scenario-level Threat=2; Step1="&amp;I44&amp;" Step2="&amp;R44&amp;" Step3="&amp;AA44&amp;" Step4="&amp;AJ44&amp;" ; Overall Threat fixed=2, Max Mitigation="&amp;AN44&amp;" =&gt; Overall="&amp;AP44</f>
        <v/>
      </c>
    </row>
    <row r="45">
      <c r="A45" s="0" t="n">
        <v>44</v>
      </c>
      <c r="B45" s="3">
        <f>SPRV_Source_For_Formulas!D174</f>
        <v/>
      </c>
      <c r="C45" s="0" t="inlineStr">
        <is>
          <t>VDI Auth server</t>
        </is>
      </c>
      <c r="D45"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45" s="0" t="n">
        <v>3</v>
      </c>
      <c r="F45" s="8" t="n">
        <v>2</v>
      </c>
      <c r="G45" s="3">
        <f>IF(SPRV_Source_For_Formulas!G174&lt;=0.2,3,IF(SPRV_Source_For_Formulas!G174&lt;=0.5,2,1))</f>
        <v/>
      </c>
      <c r="H45" s="8">
        <f>4-G45</f>
        <v/>
      </c>
      <c r="I45" s="9">
        <f>IF(AND(E45=3,F45*H45&gt;=6),"A",IF(AND(E45=3,F45*H45&gt;=3),"B",IF(AND(E45=3,F45*H45&gt;=1),"C","")))</f>
        <v/>
      </c>
      <c r="J45"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45" s="3">
        <f>SPRV_Source_For_Formulas!D175</f>
        <v/>
      </c>
      <c r="L45" s="0" t="inlineStr">
        <is>
          <t>VDI Auth server</t>
        </is>
      </c>
      <c r="M45" s="0" t="inlineStr">
        <is>
          <t>クラウド認証で使用されるIAMトークンやAPIキーを盗み出し、正規ユーザになりすまし再ログイン。</t>
        </is>
      </c>
      <c r="N45" s="0" t="n">
        <v>3</v>
      </c>
      <c r="O45" s="8" t="n">
        <v>2</v>
      </c>
      <c r="P45" s="3">
        <f>IF(SPRV_Source_For_Formulas!G175&lt;=0.2,3,IF(SPRV_Source_For_Formulas!G175&lt;=0.5,2,1))</f>
        <v/>
      </c>
      <c r="Q45" s="8">
        <f>4-P45</f>
        <v/>
      </c>
      <c r="R45" s="9">
        <f>IF(AND(N45=3,O45*Q45&gt;=6),"A",IF(AND(N45=3,O45*Q45&gt;=3),"B",IF(AND(N45=3,O45*Q45&gt;=1),"C","")))</f>
        <v/>
      </c>
      <c r="S45" s="0" t="inlineStr">
        <is>
          <t>管理者アカウント削除防止策として、RBACとMFA、CloudTrail等の操作ログ監視が推奨されている（β’モデル 3.4.2）が、削除自体の即時ブロックは難しく、事後検知になるケースも多いため効果は中程度。</t>
        </is>
      </c>
      <c r="T45" s="3">
        <f>SPRV_Source_For_Formulas!D176</f>
        <v/>
      </c>
      <c r="U45" s="0" t="inlineStr">
        <is>
          <t>VDI server</t>
        </is>
      </c>
      <c r="V45" s="0" t="inlineStr">
        <is>
          <t>クラウドAPIを介してスクリプトを実行し、横展開やシステム操作を実施。</t>
        </is>
      </c>
      <c r="W45" s="0" t="n">
        <v>3</v>
      </c>
      <c r="X45" s="8" t="n">
        <v>2</v>
      </c>
      <c r="Y45" s="3">
        <f>IF(SPRV_Source_For_Formulas!G176&lt;=0.2,3,IF(SPRV_Source_For_Formulas!G176&lt;=0.5,2,1))</f>
        <v/>
      </c>
      <c r="Z45" s="8">
        <f>4-Y45</f>
        <v/>
      </c>
      <c r="AA45" s="9">
        <f>IF(AND(W45=3,X45*Z45&gt;=6),"A",IF(AND(W45=3,X45*Z45&gt;=3),"B",IF(AND(W45=3,X45*Z45&gt;=1),"C","")))</f>
        <v/>
      </c>
      <c r="AB45" s="0" t="inlineStr">
        <is>
          <t>β’モデル「3.3.6 コマンド実行制御」や「3.2.3 脆弱性管理」、Cloud API利用は正規用途でもあり、異常操作の見分けが困難、CSPMやSIEMによる振る舞い監視が必要だが完全ではない</t>
        </is>
      </c>
      <c r="AC45" s="3">
        <f>SPRV_Source_For_Formulas!D177</f>
        <v/>
      </c>
      <c r="AD45" s="0" t="inlineStr">
        <is>
          <t>My Number Administrative System on GovCloud</t>
        </is>
      </c>
      <c r="AE45"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45" s="0" t="n">
        <v>3</v>
      </c>
      <c r="AG45" s="8" t="n">
        <v>2</v>
      </c>
      <c r="AH45" s="3">
        <f>IF(SPRV_Source_For_Formulas!G177&lt;=0.2,3,IF(SPRV_Source_For_Formulas!G177&lt;=0.5,2,1))</f>
        <v/>
      </c>
      <c r="AI45" s="8">
        <f>4-AH45</f>
        <v/>
      </c>
      <c r="AJ45" s="9">
        <f>IF(AND(AF45=3,AG45*AI45&gt;=6),"A",IF(AND(AF45=3,AG45*AI45&gt;=3),"B",IF(AND(AF45=3,AG45*AI45&gt;=1),"C","")))</f>
        <v/>
      </c>
      <c r="AK45"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45" s="8">
        <f>MAX(E45,N45,W45,AF45)</f>
        <v/>
      </c>
      <c r="AM45" s="8" t="n">
        <v>2</v>
      </c>
      <c r="AN45" s="8">
        <f>MAX(G45,P45,Y45,AH45)</f>
        <v/>
      </c>
      <c r="AO45" s="8">
        <f>4-AN45</f>
        <v/>
      </c>
      <c r="AP45" s="8">
        <f>IF(AND(AL45=3,AM45*AO45&gt;=6),"A",IF(AND(AL45=3,AM45*AO45&gt;=3),"B",IF(AND(AL45=3,AM45*AO45&gt;=1),"C","")))</f>
        <v/>
      </c>
      <c r="AQ45" s="8">
        <f>"Scenario-level Threat=2; Step1="&amp;I45&amp;" Step2="&amp;R45&amp;" Step3="&amp;AA45&amp;" Step4="&amp;AJ45&amp;" ; Overall Threat fixed=2, Max Mitigation="&amp;AN45&amp;" =&gt; Overall="&amp;AP45</f>
        <v/>
      </c>
    </row>
    <row r="46">
      <c r="A46" s="0" t="n">
        <v>45</v>
      </c>
      <c r="B46" s="3">
        <f>SPRV_Source_For_Formulas!D178</f>
        <v/>
      </c>
      <c r="C46" s="0" t="inlineStr">
        <is>
          <t>VDI Auth server</t>
        </is>
      </c>
      <c r="D46"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46" s="0" t="n">
        <v>3</v>
      </c>
      <c r="F46" s="8" t="n">
        <v>2</v>
      </c>
      <c r="G46" s="3">
        <f>IF(SPRV_Source_For_Formulas!G178&lt;=0.2,3,IF(SPRV_Source_For_Formulas!G178&lt;=0.5,2,1))</f>
        <v/>
      </c>
      <c r="H46" s="8">
        <f>4-G46</f>
        <v/>
      </c>
      <c r="I46" s="9">
        <f>IF(AND(E46=3,F46*H46&gt;=6),"A",IF(AND(E46=3,F46*H46&gt;=3),"B",IF(AND(E46=3,F46*H46&gt;=1),"C","")))</f>
        <v/>
      </c>
      <c r="J46"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46" s="3">
        <f>SPRV_Source_For_Formulas!D179</f>
        <v/>
      </c>
      <c r="L46" s="0" t="inlineStr">
        <is>
          <t>VDI Auth server</t>
        </is>
      </c>
      <c r="M46" s="0" t="inlineStr">
        <is>
          <t>クラウド認証で使用されるIAMトークンやAPIキーを盗み出し、正規ユーザになりすまし再ログイン。</t>
        </is>
      </c>
      <c r="N46" s="0" t="n">
        <v>3</v>
      </c>
      <c r="O46" s="8" t="n">
        <v>2</v>
      </c>
      <c r="P46" s="3">
        <f>IF(SPRV_Source_For_Formulas!G179&lt;=0.2,3,IF(SPRV_Source_For_Formulas!G179&lt;=0.5,2,1))</f>
        <v/>
      </c>
      <c r="Q46" s="8">
        <f>4-P46</f>
        <v/>
      </c>
      <c r="R46" s="9">
        <f>IF(AND(N46=3,O46*Q46&gt;=6),"A",IF(AND(N46=3,O46*Q46&gt;=3),"B",IF(AND(N46=3,O46*Q46&gt;=1),"C","")))</f>
        <v/>
      </c>
      <c r="S46" s="0" t="inlineStr">
        <is>
          <t>管理者アカウント削除防止策として、RBACとMFA、CloudTrail等の操作ログ監視が推奨されている（β’モデル 3.4.2）が、削除自体の即時ブロックは難しく、事後検知になるケースも多いため効果は中程度。</t>
        </is>
      </c>
      <c r="T46" s="3">
        <f>SPRV_Source_For_Formulas!D180</f>
        <v/>
      </c>
      <c r="U46" s="0" t="inlineStr">
        <is>
          <t>VDI server</t>
        </is>
      </c>
      <c r="V46" s="0" t="inlineStr">
        <is>
          <t>グループポリシーやAzure ADの設定変更により、認可ルールを操作。</t>
        </is>
      </c>
      <c r="W46" s="0" t="n">
        <v>3</v>
      </c>
      <c r="X46" s="8" t="n">
        <v>2</v>
      </c>
      <c r="Y46" s="3">
        <f>IF(SPRV_Source_For_Formulas!G180&lt;=0.2,3,IF(SPRV_Source_For_Formulas!G180&lt;=0.5,2,1))</f>
        <v/>
      </c>
      <c r="Z46" s="8">
        <f>4-Y46</f>
        <v/>
      </c>
      <c r="AA46" s="9">
        <f>IF(AND(W46=3,X46*Z46&gt;=6),"A",IF(AND(W46=3,X46*Z46&gt;=3),"B",IF(AND(W46=3,X46*Z46&gt;=1),"C","")))</f>
        <v/>
      </c>
      <c r="AB46" s="0" t="inlineStr">
        <is>
          <t>β’モデル：
「3.3.1 権限管理」「3.3.5 設定変更検知」「3.4.1 操作記録」等。
補足評価：
GPO改変は一度権限を奪取された後に、正規操作として行われる可能性が高く、検知・阻止が難しい。
特にVDI環境などでは検知の即時性に限界があるため、評価「2（低）」は妥当。</t>
        </is>
      </c>
      <c r="AC46" s="3">
        <f>SPRV_Source_For_Formulas!D181</f>
        <v/>
      </c>
      <c r="AD46" s="0" t="inlineStr">
        <is>
          <t>My Number Administrative System on GovCloud</t>
        </is>
      </c>
      <c r="AE46" s="0" t="inlineStr">
        <is>
          <t>クラウドサービスの意図的な異常終了により業務を妨害。</t>
        </is>
      </c>
      <c r="AF46" s="0" t="n">
        <v>3</v>
      </c>
      <c r="AG46" s="8" t="n">
        <v>2</v>
      </c>
      <c r="AH46" s="3">
        <f>IF(SPRV_Source_For_Formulas!G181&lt;=0.2,3,IF(SPRV_Source_For_Formulas!G181&lt;=0.5,2,1))</f>
        <v/>
      </c>
      <c r="AI46" s="8">
        <f>4-AH46</f>
        <v/>
      </c>
      <c r="AJ46" s="9">
        <f>IF(AND(AF46=3,AG46*AI46&gt;=6),"A",IF(AND(AF46=3,AG46*AI46&gt;=3),"B",IF(AND(AF46=3,AG46*AI46&gt;=1),"C","")))</f>
        <v/>
      </c>
      <c r="AK46" s="0" t="inlineStr">
        <is>
          <t>β’モデル＋ガバメントクラウド資料にてIAM最小権限、API監査、CSPM運用が整備されていれば、有効性は高い。ただし初期検知遅延やアラート無視等には注意が必要。</t>
        </is>
      </c>
      <c r="AL46" s="8">
        <f>MAX(E46,N46,W46,AF46)</f>
        <v/>
      </c>
      <c r="AM46" s="8" t="n">
        <v>2</v>
      </c>
      <c r="AN46" s="8">
        <f>MAX(G46,P46,Y46,AH46)</f>
        <v/>
      </c>
      <c r="AO46" s="8">
        <f>4-AN46</f>
        <v/>
      </c>
      <c r="AP46" s="8">
        <f>IF(AND(AL46=3,AM46*AO46&gt;=6),"A",IF(AND(AL46=3,AM46*AO46&gt;=3),"B",IF(AND(AL46=3,AM46*AO46&gt;=1),"C","")))</f>
        <v/>
      </c>
      <c r="AQ46" s="8">
        <f>"Scenario-level Threat=2; Step1="&amp;I46&amp;" Step2="&amp;R46&amp;" Step3="&amp;AA46&amp;" Step4="&amp;AJ46&amp;" ; Overall Threat fixed=2, Max Mitigation="&amp;AN46&amp;" =&gt; Overall="&amp;AP46</f>
        <v/>
      </c>
    </row>
    <row r="47">
      <c r="A47" s="0" t="n">
        <v>46</v>
      </c>
      <c r="B47" s="3">
        <f>SPRV_Source_For_Formulas!D182</f>
        <v/>
      </c>
      <c r="C47" s="0" t="inlineStr">
        <is>
          <t>VDI Auth server</t>
        </is>
      </c>
      <c r="D47"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47" s="0" t="n">
        <v>3</v>
      </c>
      <c r="F47" s="8" t="n">
        <v>2</v>
      </c>
      <c r="G47" s="3">
        <f>IF(SPRV_Source_For_Formulas!G182&lt;=0.2,3,IF(SPRV_Source_For_Formulas!G182&lt;=0.5,2,1))</f>
        <v/>
      </c>
      <c r="H47" s="8">
        <f>4-G47</f>
        <v/>
      </c>
      <c r="I47" s="9">
        <f>IF(AND(E47=3,F47*H47&gt;=6),"A",IF(AND(E47=3,F47*H47&gt;=3),"B",IF(AND(E47=3,F47*H47&gt;=1),"C","")))</f>
        <v/>
      </c>
      <c r="J47"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47" s="3">
        <f>SPRV_Source_For_Formulas!D183</f>
        <v/>
      </c>
      <c r="L47" s="0" t="inlineStr">
        <is>
          <t>VDI Auth server</t>
        </is>
      </c>
      <c r="M47" s="0" t="inlineStr">
        <is>
          <t>クラウド認証で使用されるIAMトークンやAPIキーを盗み出し、正規ユーザになりすまし再ログイン。</t>
        </is>
      </c>
      <c r="N47" s="0" t="n">
        <v>3</v>
      </c>
      <c r="O47" s="8" t="n">
        <v>2</v>
      </c>
      <c r="P47" s="3">
        <f>IF(SPRV_Source_For_Formulas!G183&lt;=0.2,3,IF(SPRV_Source_For_Formulas!G183&lt;=0.5,2,1))</f>
        <v/>
      </c>
      <c r="Q47" s="8">
        <f>4-P47</f>
        <v/>
      </c>
      <c r="R47" s="9">
        <f>IF(AND(N47=3,O47*Q47&gt;=6),"A",IF(AND(N47=3,O47*Q47&gt;=3),"B",IF(AND(N47=3,O47*Q47&gt;=1),"C","")))</f>
        <v/>
      </c>
      <c r="S47" s="0" t="inlineStr">
        <is>
          <t>管理者アカウント削除防止策として、RBACとMFA、CloudTrail等の操作ログ監視が推奨されている（β’モデル 3.4.2）が、削除自体の即時ブロックは難しく、事後検知になるケースも多いため効果は中程度。</t>
        </is>
      </c>
      <c r="T47" s="3">
        <f>SPRV_Source_For_Formulas!D184</f>
        <v/>
      </c>
      <c r="U47" s="0" t="inlineStr">
        <is>
          <t>VDI server</t>
        </is>
      </c>
      <c r="V47" s="0" t="inlineStr">
        <is>
          <t>グループポリシーやAzure ADの設定変更により、認可ルールを操作。</t>
        </is>
      </c>
      <c r="W47" s="0" t="n">
        <v>3</v>
      </c>
      <c r="X47" s="8" t="n">
        <v>2</v>
      </c>
      <c r="Y47" s="3">
        <f>IF(SPRV_Source_For_Formulas!G184&lt;=0.2,3,IF(SPRV_Source_For_Formulas!G184&lt;=0.5,2,1))</f>
        <v/>
      </c>
      <c r="Z47" s="8">
        <f>4-Y47</f>
        <v/>
      </c>
      <c r="AA47" s="9">
        <f>IF(AND(W47=3,X47*Z47&gt;=6),"A",IF(AND(W47=3,X47*Z47&gt;=3),"B",IF(AND(W47=3,X47*Z47&gt;=1),"C","")))</f>
        <v/>
      </c>
      <c r="AB47" s="0" t="inlineStr">
        <is>
          <t>β’モデル：
「3.3.1 権限管理」「3.3.5 設定変更検知」「3.4.1 操作記録」等。
補足評価：
GPO改変は一度権限を奪取された後に、正規操作として行われる可能性が高く、検知・阻止が難しい。
特にVDI環境などでは検知の即時性に限界があるため、評価「2（低）」は妥当。</t>
        </is>
      </c>
      <c r="AC47" s="3">
        <f>SPRV_Source_For_Formulas!D185</f>
        <v/>
      </c>
      <c r="AD47" s="0" t="inlineStr">
        <is>
          <t>My Number Administrative System on GovCloud</t>
        </is>
      </c>
      <c r="AE47" s="0" t="inlineStr">
        <is>
          <t>クラウドサービスを完全停止に近い状態に追い込み、持続的業務不能にする。</t>
        </is>
      </c>
      <c r="AF47" s="0" t="n">
        <v>3</v>
      </c>
      <c r="AG47" s="8" t="n">
        <v>2</v>
      </c>
      <c r="AH47" s="3">
        <f>IF(SPRV_Source_For_Formulas!G185&lt;=0.2,3,IF(SPRV_Source_For_Formulas!G185&lt;=0.5,2,1))</f>
        <v/>
      </c>
      <c r="AI47" s="8">
        <f>4-AH47</f>
        <v/>
      </c>
      <c r="AJ47" s="9">
        <f>IF(AND(AF47=3,AG47*AI47&gt;=6),"A",IF(AND(AF47=3,AG47*AI47&gt;=3),"B",IF(AND(AF47=3,AG47*AI47&gt;=1),"C","")))</f>
        <v/>
      </c>
      <c r="AK47" s="0" t="inlineStr">
        <is>
          <t>仮想マシンに対するネットワーク分離、IAM制御、ログ監視により不正操作の抑止・検知が可能。推奨対策と合致。</t>
        </is>
      </c>
      <c r="AL47" s="8">
        <f>MAX(E47,N47,W47,AF47)</f>
        <v/>
      </c>
      <c r="AM47" s="8" t="n">
        <v>2</v>
      </c>
      <c r="AN47" s="8">
        <f>MAX(G47,P47,Y47,AH47)</f>
        <v/>
      </c>
      <c r="AO47" s="8">
        <f>4-AN47</f>
        <v/>
      </c>
      <c r="AP47" s="8">
        <f>IF(AND(AL47=3,AM47*AO47&gt;=6),"A",IF(AND(AL47=3,AM47*AO47&gt;=3),"B",IF(AND(AL47=3,AM47*AO47&gt;=1),"C","")))</f>
        <v/>
      </c>
      <c r="AQ47" s="8">
        <f>"Scenario-level Threat=2; Step1="&amp;I47&amp;" Step2="&amp;R47&amp;" Step3="&amp;AA47&amp;" Step4="&amp;AJ47&amp;" ; Overall Threat fixed=2, Max Mitigation="&amp;AN47&amp;" =&gt; Overall="&amp;AP47</f>
        <v/>
      </c>
    </row>
    <row r="48">
      <c r="A48" s="0" t="n">
        <v>47</v>
      </c>
      <c r="B48" s="3">
        <f>SPRV_Source_For_Formulas!D186</f>
        <v/>
      </c>
      <c r="C48" s="0" t="inlineStr">
        <is>
          <t>VDI Auth server</t>
        </is>
      </c>
      <c r="D48"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48" s="0" t="n">
        <v>3</v>
      </c>
      <c r="F48" s="8" t="n">
        <v>2</v>
      </c>
      <c r="G48" s="3">
        <f>IF(SPRV_Source_For_Formulas!G186&lt;=0.2,3,IF(SPRV_Source_For_Formulas!G186&lt;=0.5,2,1))</f>
        <v/>
      </c>
      <c r="H48" s="8">
        <f>4-G48</f>
        <v/>
      </c>
      <c r="I48" s="9">
        <f>IF(AND(E48=3,F48*H48&gt;=6),"A",IF(AND(E48=3,F48*H48&gt;=3),"B",IF(AND(E48=3,F48*H48&gt;=1),"C","")))</f>
        <v/>
      </c>
      <c r="J48"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48" s="3">
        <f>SPRV_Source_For_Formulas!D187</f>
        <v/>
      </c>
      <c r="L48" s="0" t="inlineStr">
        <is>
          <t>VDI Auth server</t>
        </is>
      </c>
      <c r="M48" s="0" t="inlineStr">
        <is>
          <t>クラウド認証で使用されるIAMトークンやAPIキーを盗み出し、正規ユーザになりすまし再ログイン。</t>
        </is>
      </c>
      <c r="N48" s="0" t="n">
        <v>3</v>
      </c>
      <c r="O48" s="8" t="n">
        <v>2</v>
      </c>
      <c r="P48" s="3">
        <f>IF(SPRV_Source_For_Formulas!G187&lt;=0.2,3,IF(SPRV_Source_For_Formulas!G187&lt;=0.5,2,1))</f>
        <v/>
      </c>
      <c r="Q48" s="8">
        <f>4-P48</f>
        <v/>
      </c>
      <c r="R48" s="9">
        <f>IF(AND(N48=3,O48*Q48&gt;=6),"A",IF(AND(N48=3,O48*Q48&gt;=3),"B",IF(AND(N48=3,O48*Q48&gt;=1),"C","")))</f>
        <v/>
      </c>
      <c r="S48" s="0" t="inlineStr">
        <is>
          <t>管理者アカウント削除防止策として、RBACとMFA、CloudTrail等の操作ログ監視が推奨されている（β’モデル 3.4.2）が、削除自体の即時ブロックは難しく、事後検知になるケースも多いため効果は中程度。</t>
        </is>
      </c>
      <c r="T48" s="3">
        <f>SPRV_Source_For_Formulas!D188</f>
        <v/>
      </c>
      <c r="U48" s="0" t="inlineStr">
        <is>
          <t>VDI server</t>
        </is>
      </c>
      <c r="V48" s="0" t="inlineStr">
        <is>
          <t>グループポリシーやAzure ADの設定変更により、認可ルールを操作。</t>
        </is>
      </c>
      <c r="W48" s="0" t="n">
        <v>3</v>
      </c>
      <c r="X48" s="8" t="n">
        <v>2</v>
      </c>
      <c r="Y48" s="3">
        <f>IF(SPRV_Source_For_Formulas!G188&lt;=0.2,3,IF(SPRV_Source_For_Formulas!G188&lt;=0.5,2,1))</f>
        <v/>
      </c>
      <c r="Z48" s="8">
        <f>4-Y48</f>
        <v/>
      </c>
      <c r="AA48" s="9">
        <f>IF(AND(W48=3,X48*Z48&gt;=6),"A",IF(AND(W48=3,X48*Z48&gt;=3),"B",IF(AND(W48=3,X48*Z48&gt;=1),"C","")))</f>
        <v/>
      </c>
      <c r="AB48" s="0" t="inlineStr">
        <is>
          <t>β’モデル：
「3.3.1 権限管理」「3.3.5 設定変更検知」「3.4.1 操作記録」等。
補足評価：
GPO改変は一度権限を奪取された後に、正規操作として行われる可能性が高く、検知・阻止が難しい。
特にVDI環境などでは検知の即時性に限界があるため、評価「2（低）」は妥当。</t>
        </is>
      </c>
      <c r="AC48" s="3">
        <f>SPRV_Source_For_Formulas!D189</f>
        <v/>
      </c>
      <c r="AD48" s="0" t="inlineStr">
        <is>
          <t>My Number Administrative System on GovCloud</t>
        </is>
      </c>
      <c r="AE48"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48" s="0" t="n">
        <v>3</v>
      </c>
      <c r="AG48" s="8" t="n">
        <v>2</v>
      </c>
      <c r="AH48" s="3">
        <f>IF(SPRV_Source_For_Formulas!G189&lt;=0.2,3,IF(SPRV_Source_For_Formulas!G189&lt;=0.5,2,1))</f>
        <v/>
      </c>
      <c r="AI48" s="8">
        <f>4-AH48</f>
        <v/>
      </c>
      <c r="AJ48" s="9">
        <f>IF(AND(AF48=3,AG48*AI48&gt;=6),"A",IF(AND(AF48=3,AG48*AI48&gt;=3),"B",IF(AND(AF48=3,AG48*AI48&gt;=1),"C","")))</f>
        <v/>
      </c>
      <c r="AK48"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48" s="8">
        <f>MAX(E48,N48,W48,AF48)</f>
        <v/>
      </c>
      <c r="AM48" s="8" t="n">
        <v>2</v>
      </c>
      <c r="AN48" s="8">
        <f>MAX(G48,P48,Y48,AH48)</f>
        <v/>
      </c>
      <c r="AO48" s="8">
        <f>4-AN48</f>
        <v/>
      </c>
      <c r="AP48" s="8">
        <f>IF(AND(AL48=3,AM48*AO48&gt;=6),"A",IF(AND(AL48=3,AM48*AO48&gt;=3),"B",IF(AND(AL48=3,AM48*AO48&gt;=1),"C","")))</f>
        <v/>
      </c>
      <c r="AQ48" s="8">
        <f>"Scenario-level Threat=2; Step1="&amp;I48&amp;" Step2="&amp;R48&amp;" Step3="&amp;AA48&amp;" Step4="&amp;AJ48&amp;" ; Overall Threat fixed=2, Max Mitigation="&amp;AN48&amp;" =&gt; Overall="&amp;AP48</f>
        <v/>
      </c>
    </row>
    <row r="49">
      <c r="A49" s="0" t="n">
        <v>48</v>
      </c>
      <c r="B49" s="3">
        <f>SPRV_Source_For_Formulas!D190</f>
        <v/>
      </c>
      <c r="C49" s="0" t="inlineStr">
        <is>
          <t>VDI Auth server</t>
        </is>
      </c>
      <c r="D49"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49" s="0" t="n">
        <v>3</v>
      </c>
      <c r="F49" s="8" t="n">
        <v>2</v>
      </c>
      <c r="G49" s="3">
        <f>IF(SPRV_Source_For_Formulas!G190&lt;=0.2,3,IF(SPRV_Source_For_Formulas!G190&lt;=0.5,2,1))</f>
        <v/>
      </c>
      <c r="H49" s="8">
        <f>4-G49</f>
        <v/>
      </c>
      <c r="I49" s="9">
        <f>IF(AND(E49=3,F49*H49&gt;=6),"A",IF(AND(E49=3,F49*H49&gt;=3),"B",IF(AND(E49=3,F49*H49&gt;=1),"C","")))</f>
        <v/>
      </c>
      <c r="J49"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49" s="3">
        <f>SPRV_Source_For_Formulas!D191</f>
        <v/>
      </c>
      <c r="L49" s="0" t="inlineStr">
        <is>
          <t>VDI Auth server</t>
        </is>
      </c>
      <c r="M49" s="0" t="inlineStr">
        <is>
          <t>クラウド認証で使用されるIAMトークンやAPIキーを盗み出し、正規ユーザになりすまし再ログイン。</t>
        </is>
      </c>
      <c r="N49" s="0" t="n">
        <v>3</v>
      </c>
      <c r="O49" s="8" t="n">
        <v>2</v>
      </c>
      <c r="P49" s="3">
        <f>IF(SPRV_Source_For_Formulas!G191&lt;=0.2,3,IF(SPRV_Source_For_Formulas!G191&lt;=0.5,2,1))</f>
        <v/>
      </c>
      <c r="Q49" s="8">
        <f>4-P49</f>
        <v/>
      </c>
      <c r="R49" s="9">
        <f>IF(AND(N49=3,O49*Q49&gt;=6),"A",IF(AND(N49=3,O49*Q49&gt;=3),"B",IF(AND(N49=3,O49*Q49&gt;=1),"C","")))</f>
        <v/>
      </c>
      <c r="S49" s="0" t="inlineStr">
        <is>
          <t>管理者アカウント削除防止策として、RBACとMFA、CloudTrail等の操作ログ監視が推奨されている（β’モデル 3.4.2）が、削除自体の即時ブロックは難しく、事後検知になるケースも多いため効果は中程度。</t>
        </is>
      </c>
      <c r="T49" s="3">
        <f>SPRV_Source_For_Formulas!D192</f>
        <v/>
      </c>
      <c r="U49" s="0" t="inlineStr">
        <is>
          <t>VDI server</t>
        </is>
      </c>
      <c r="V49" s="0" t="inlineStr">
        <is>
          <t>グループポリシーやAzure ADの設定変更により、認可ルールを操作。</t>
        </is>
      </c>
      <c r="W49" s="0" t="n">
        <v>3</v>
      </c>
      <c r="X49" s="8" t="n">
        <v>2</v>
      </c>
      <c r="Y49" s="3">
        <f>IF(SPRV_Source_For_Formulas!G192&lt;=0.2,3,IF(SPRV_Source_For_Formulas!G192&lt;=0.5,2,1))</f>
        <v/>
      </c>
      <c r="Z49" s="8">
        <f>4-Y49</f>
        <v/>
      </c>
      <c r="AA49" s="9">
        <f>IF(AND(W49=3,X49*Z49&gt;=6),"A",IF(AND(W49=3,X49*Z49&gt;=3),"B",IF(AND(W49=3,X49*Z49&gt;=1),"C","")))</f>
        <v/>
      </c>
      <c r="AB49" s="0" t="inlineStr">
        <is>
          <t>β’モデル：
「3.3.1 権限管理」「3.3.5 設定変更検知」「3.4.1 操作記録」等。
補足評価：
GPO改変は一度権限を奪取された後に、正規操作として行われる可能性が高く、検知・阻止が難しい。
特にVDI環境などでは検知の即時性に限界があるため、評価「2（低）」は妥当。</t>
        </is>
      </c>
      <c r="AC49" s="3">
        <f>SPRV_Source_For_Formulas!D193</f>
        <v/>
      </c>
      <c r="AD49" s="0" t="inlineStr">
        <is>
          <t>My Number Administrative System on GovCloud</t>
        </is>
      </c>
      <c r="AE49"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49" s="0" t="n">
        <v>3</v>
      </c>
      <c r="AG49" s="8" t="n">
        <v>2</v>
      </c>
      <c r="AH49" s="3">
        <f>IF(SPRV_Source_For_Formulas!G193&lt;=0.2,3,IF(SPRV_Source_For_Formulas!G193&lt;=0.5,2,1))</f>
        <v/>
      </c>
      <c r="AI49" s="8">
        <f>4-AH49</f>
        <v/>
      </c>
      <c r="AJ49" s="9">
        <f>IF(AND(AF49=3,AG49*AI49&gt;=6),"A",IF(AND(AF49=3,AG49*AI49&gt;=3),"B",IF(AND(AF49=3,AG49*AI49&gt;=1),"C","")))</f>
        <v/>
      </c>
      <c r="AK49"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49" s="8">
        <f>MAX(E49,N49,W49,AF49)</f>
        <v/>
      </c>
      <c r="AM49" s="8" t="n">
        <v>2</v>
      </c>
      <c r="AN49" s="8">
        <f>MAX(G49,P49,Y49,AH49)</f>
        <v/>
      </c>
      <c r="AO49" s="8">
        <f>4-AN49</f>
        <v/>
      </c>
      <c r="AP49" s="8">
        <f>IF(AND(AL49=3,AM49*AO49&gt;=6),"A",IF(AND(AL49=3,AM49*AO49&gt;=3),"B",IF(AND(AL49=3,AM49*AO49&gt;=1),"C","")))</f>
        <v/>
      </c>
      <c r="AQ49" s="8">
        <f>"Scenario-level Threat=2; Step1="&amp;I49&amp;" Step2="&amp;R49&amp;" Step3="&amp;AA49&amp;" Step4="&amp;AJ49&amp;" ; Overall Threat fixed=2, Max Mitigation="&amp;AN49&amp;" =&gt; Overall="&amp;AP49</f>
        <v/>
      </c>
    </row>
    <row r="50">
      <c r="A50" s="0" t="n">
        <v>49</v>
      </c>
      <c r="B50" s="3">
        <f>SPRV_Source_For_Formulas!D194</f>
        <v/>
      </c>
      <c r="C50" s="0" t="inlineStr">
        <is>
          <t>VDI Auth server</t>
        </is>
      </c>
      <c r="D50"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50" s="0" t="n">
        <v>3</v>
      </c>
      <c r="F50" s="8" t="n">
        <v>2</v>
      </c>
      <c r="G50" s="3">
        <f>IF(SPRV_Source_For_Formulas!G194&lt;=0.2,3,IF(SPRV_Source_For_Formulas!G194&lt;=0.5,2,1))</f>
        <v/>
      </c>
      <c r="H50" s="8">
        <f>4-G50</f>
        <v/>
      </c>
      <c r="I50" s="9">
        <f>IF(AND(E50=3,F50*H50&gt;=6),"A",IF(AND(E50=3,F50*H50&gt;=3),"B",IF(AND(E50=3,F50*H50&gt;=1),"C","")))</f>
        <v/>
      </c>
      <c r="J50"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50" s="3">
        <f>SPRV_Source_For_Formulas!D195</f>
        <v/>
      </c>
      <c r="L50" s="0" t="inlineStr">
        <is>
          <t>VDI Auth server</t>
        </is>
      </c>
      <c r="M50" s="0" t="inlineStr">
        <is>
          <t>管理ポリシー変更を通じて内部制御権を乗っ取り、サーバ接続ルートを確保。　　　　　　　　　　　　　　　　　　　　　　　　　　　　　　　　　　　　　　＜VDI Auth serverへのGPO改変＞
ドメイン内の認証サーバ（VDI Auth server）に対して、攻撃者が GPOを変更。
たとえば、「監査ログの無効化」「パスワード変更の禁止」「RDPの無制限有効化」など。
これにより検知回避や恒久的な不正アクセス手段の確保（Persistence）を図る。</t>
        </is>
      </c>
      <c r="N50" s="0" t="n">
        <v>3</v>
      </c>
      <c r="O50" s="8" t="n">
        <v>2</v>
      </c>
      <c r="P50" s="3">
        <f>IF(SPRV_Source_For_Formulas!G195&lt;=0.2,3,IF(SPRV_Source_For_Formulas!G195&lt;=0.5,2,1))</f>
        <v/>
      </c>
      <c r="Q50" s="8">
        <f>4-P50</f>
        <v/>
      </c>
      <c r="R50" s="9">
        <f>IF(AND(N50=3,O50*Q50&gt;=6),"A",IF(AND(N50=3,O50*Q50&gt;=3),"B",IF(AND(N50=3,O50*Q50&gt;=1),"C","")))</f>
        <v/>
      </c>
      <c r="S50"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50" s="3">
        <f>SPRV_Source_For_Formulas!D196</f>
        <v/>
      </c>
      <c r="U50" s="0" t="inlineStr">
        <is>
          <t>VDI server</t>
        </is>
      </c>
      <c r="V50"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50" s="0" t="n">
        <v>3</v>
      </c>
      <c r="X50" s="8" t="n">
        <v>2</v>
      </c>
      <c r="Y50" s="3">
        <f>IF(SPRV_Source_For_Formulas!G196&lt;=0.2,3,IF(SPRV_Source_For_Formulas!G196&lt;=0.5,2,1))</f>
        <v/>
      </c>
      <c r="Z50" s="8">
        <f>4-Y50</f>
        <v/>
      </c>
      <c r="AA50" s="9">
        <f>IF(AND(W50=3,X50*Z50&gt;=6),"A",IF(AND(W50=3,X50*Z50&gt;=3),"B",IF(AND(W50=3,X50*Z50&gt;=1),"C","")))</f>
        <v/>
      </c>
      <c r="AB50" s="0" t="inlineStr">
        <is>
          <t>β’モデル「3.3.4 認証」：ID管理・パスワード強度・MFA導入を規定
ガイドラインはID統制とアクセスログ確認を強調。一方で正規認証情報が漏洩した場合の防御は難しい（内部者攻撃やクレデンシャル再利用には限界）</t>
        </is>
      </c>
      <c r="AC50" s="3">
        <f>SPRV_Source_For_Formulas!D197</f>
        <v/>
      </c>
      <c r="AD50" s="0" t="inlineStr">
        <is>
          <t>My Number Administrative System on GovCloud</t>
        </is>
      </c>
      <c r="AE50" s="0" t="inlineStr">
        <is>
          <t>クラウドを異常終了させ、DoS状態に追い込む。</t>
        </is>
      </c>
      <c r="AF50" s="0" t="n">
        <v>3</v>
      </c>
      <c r="AG50" s="8" t="n">
        <v>2</v>
      </c>
      <c r="AH50" s="3">
        <f>IF(SPRV_Source_For_Formulas!G197&lt;=0.2,3,IF(SPRV_Source_For_Formulas!G197&lt;=0.5,2,1))</f>
        <v/>
      </c>
      <c r="AI50" s="8">
        <f>4-AH50</f>
        <v/>
      </c>
      <c r="AJ50" s="9">
        <f>IF(AND(AF50=3,AG50*AI50&gt;=6),"A",IF(AND(AF50=3,AG50*AI50&gt;=3),"B",IF(AND(AF50=3,AG50*AI50&gt;=1),"C","")))</f>
        <v/>
      </c>
      <c r="AK50" s="0" t="inlineStr">
        <is>
          <t>β’モデル＋ガバメントクラウド資料にてIAM最小権限、API監査、CSPM運用が整備されていれば、有効性は高い。ただし初期検知遅延やアラート無視等には注意が必要。</t>
        </is>
      </c>
      <c r="AL50" s="8">
        <f>MAX(E50,N50,W50,AF50)</f>
        <v/>
      </c>
      <c r="AM50" s="8" t="n">
        <v>2</v>
      </c>
      <c r="AN50" s="8">
        <f>MAX(G50,P50,Y50,AH50)</f>
        <v/>
      </c>
      <c r="AO50" s="8">
        <f>4-AN50</f>
        <v/>
      </c>
      <c r="AP50" s="8">
        <f>IF(AND(AL50=3,AM50*AO50&gt;=6),"A",IF(AND(AL50=3,AM50*AO50&gt;=3),"B",IF(AND(AL50=3,AM50*AO50&gt;=1),"C","")))</f>
        <v/>
      </c>
      <c r="AQ50" s="8">
        <f>"Scenario-level Threat=2; Step1="&amp;I50&amp;" Step2="&amp;R50&amp;" Step3="&amp;AA50&amp;" Step4="&amp;AJ50&amp;" ; Overall Threat fixed=2, Max Mitigation="&amp;AN50&amp;" =&gt; Overall="&amp;AP50</f>
        <v/>
      </c>
    </row>
    <row r="51">
      <c r="A51" s="0" t="n">
        <v>50</v>
      </c>
      <c r="B51" s="3">
        <f>SPRV_Source_For_Formulas!D198</f>
        <v/>
      </c>
      <c r="C51" s="0" t="inlineStr">
        <is>
          <t>VDI Auth server</t>
        </is>
      </c>
      <c r="D51"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51" s="0" t="n">
        <v>3</v>
      </c>
      <c r="F51" s="8" t="n">
        <v>2</v>
      </c>
      <c r="G51" s="3">
        <f>IF(SPRV_Source_For_Formulas!G198&lt;=0.2,3,IF(SPRV_Source_For_Formulas!G198&lt;=0.5,2,1))</f>
        <v/>
      </c>
      <c r="H51" s="8">
        <f>4-G51</f>
        <v/>
      </c>
      <c r="I51" s="9">
        <f>IF(AND(E51=3,F51*H51&gt;=6),"A",IF(AND(E51=3,F51*H51&gt;=3),"B",IF(AND(E51=3,F51*H51&gt;=1),"C","")))</f>
        <v/>
      </c>
      <c r="J51"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51" s="3">
        <f>SPRV_Source_For_Formulas!D199</f>
        <v/>
      </c>
      <c r="L51" s="0" t="inlineStr">
        <is>
          <t>VDI Auth server</t>
        </is>
      </c>
      <c r="M51" s="0" t="inlineStr">
        <is>
          <t>管理ポリシー変更を通じて内部制御権を乗っ取り、サーバ接続ルートを確保。</t>
        </is>
      </c>
      <c r="N51" s="0" t="n">
        <v>3</v>
      </c>
      <c r="O51" s="8" t="n">
        <v>2</v>
      </c>
      <c r="P51" s="3">
        <f>IF(SPRV_Source_For_Formulas!G199&lt;=0.2,3,IF(SPRV_Source_For_Formulas!G199&lt;=0.5,2,1))</f>
        <v/>
      </c>
      <c r="Q51" s="8">
        <f>4-P51</f>
        <v/>
      </c>
      <c r="R51" s="9">
        <f>IF(AND(N51=3,O51*Q51&gt;=6),"A",IF(AND(N51=3,O51*Q51&gt;=3),"B",IF(AND(N51=3,O51*Q51&gt;=1),"C","")))</f>
        <v/>
      </c>
      <c r="S51"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51" s="3">
        <f>SPRV_Source_For_Formulas!D200</f>
        <v/>
      </c>
      <c r="U51" s="0" t="inlineStr">
        <is>
          <t>VDI server</t>
        </is>
      </c>
      <c r="V51"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51" s="0" t="n">
        <v>3</v>
      </c>
      <c r="X51" s="8" t="n">
        <v>2</v>
      </c>
      <c r="Y51" s="3">
        <f>IF(SPRV_Source_For_Formulas!G200&lt;=0.2,3,IF(SPRV_Source_For_Formulas!G200&lt;=0.5,2,1))</f>
        <v/>
      </c>
      <c r="Z51" s="8">
        <f>4-Y51</f>
        <v/>
      </c>
      <c r="AA51" s="9">
        <f>IF(AND(W51=3,X51*Z51&gt;=6),"A",IF(AND(W51=3,X51*Z51&gt;=3),"B",IF(AND(W51=3,X51*Z51&gt;=1),"C","")))</f>
        <v/>
      </c>
      <c r="AB51" s="0" t="inlineStr">
        <is>
          <t>β’モデル「3.3.4 認証」：ID管理・パスワード強度・MFA導入を規定
ガイドラインはID統制とアクセスログ確認を強調。一方で正規認証情報が漏洩した場合の防御は難しい（内部者攻撃やクレデンシャル再利用には限界）</t>
        </is>
      </c>
      <c r="AC51" s="3">
        <f>SPRV_Source_For_Formulas!D201</f>
        <v/>
      </c>
      <c r="AD51" s="0" t="inlineStr">
        <is>
          <t>My Number Administrative System on GovCloud</t>
        </is>
      </c>
      <c r="AE51" s="0" t="inlineStr">
        <is>
          <t>クラウド停止操作により業務継続性を妨害。</t>
        </is>
      </c>
      <c r="AF51" s="0" t="n">
        <v>3</v>
      </c>
      <c r="AG51" s="8" t="n">
        <v>2</v>
      </c>
      <c r="AH51" s="3">
        <f>IF(SPRV_Source_For_Formulas!G201&lt;=0.2,3,IF(SPRV_Source_For_Formulas!G201&lt;=0.5,2,1))</f>
        <v/>
      </c>
      <c r="AI51" s="8">
        <f>4-AH51</f>
        <v/>
      </c>
      <c r="AJ51" s="9">
        <f>IF(AND(AF51=3,AG51*AI51&gt;=6),"A",IF(AND(AF51=3,AG51*AI51&gt;=3),"B",IF(AND(AF51=3,AG51*AI51&gt;=1),"C","")))</f>
        <v/>
      </c>
      <c r="AK51" s="0" t="inlineStr">
        <is>
          <t>仮想マシンに対するネットワーク分離、IAM制御、ログ監視により不正操作の抑止・検知が可能。推奨対策と合致。</t>
        </is>
      </c>
      <c r="AL51" s="8">
        <f>MAX(E51,N51,W51,AF51)</f>
        <v/>
      </c>
      <c r="AM51" s="8" t="n">
        <v>2</v>
      </c>
      <c r="AN51" s="8">
        <f>MAX(G51,P51,Y51,AH51)</f>
        <v/>
      </c>
      <c r="AO51" s="8">
        <f>4-AN51</f>
        <v/>
      </c>
      <c r="AP51" s="8">
        <f>IF(AND(AL51=3,AM51*AO51&gt;=6),"A",IF(AND(AL51=3,AM51*AO51&gt;=3),"B",IF(AND(AL51=3,AM51*AO51&gt;=1),"C","")))</f>
        <v/>
      </c>
      <c r="AQ51" s="8">
        <f>"Scenario-level Threat=2; Step1="&amp;I51&amp;" Step2="&amp;R51&amp;" Step3="&amp;AA51&amp;" Step4="&amp;AJ51&amp;" ; Overall Threat fixed=2, Max Mitigation="&amp;AN51&amp;" =&gt; Overall="&amp;AP51</f>
        <v/>
      </c>
    </row>
    <row r="52">
      <c r="A52" s="0" t="n">
        <v>51</v>
      </c>
      <c r="B52" s="3">
        <f>SPRV_Source_For_Formulas!D202</f>
        <v/>
      </c>
      <c r="C52" s="0" t="inlineStr">
        <is>
          <t>VDI Auth server</t>
        </is>
      </c>
      <c r="D52"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52" s="0" t="n">
        <v>3</v>
      </c>
      <c r="F52" s="8" t="n">
        <v>2</v>
      </c>
      <c r="G52" s="3">
        <f>IF(SPRV_Source_For_Formulas!G202&lt;=0.2,3,IF(SPRV_Source_For_Formulas!G202&lt;=0.5,2,1))</f>
        <v/>
      </c>
      <c r="H52" s="8">
        <f>4-G52</f>
        <v/>
      </c>
      <c r="I52" s="9">
        <f>IF(AND(E52=3,F52*H52&gt;=6),"A",IF(AND(E52=3,F52*H52&gt;=3),"B",IF(AND(E52=3,F52*H52&gt;=1),"C","")))</f>
        <v/>
      </c>
      <c r="J52"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52" s="3">
        <f>SPRV_Source_For_Formulas!D203</f>
        <v/>
      </c>
      <c r="L52" s="0" t="inlineStr">
        <is>
          <t>VDI Auth server</t>
        </is>
      </c>
      <c r="M52" s="0" t="inlineStr">
        <is>
          <t>管理ポリシー変更を通じて内部制御権を乗っ取り、サーバ接続ルートを確保。</t>
        </is>
      </c>
      <c r="N52" s="0" t="n">
        <v>3</v>
      </c>
      <c r="O52" s="8" t="n">
        <v>2</v>
      </c>
      <c r="P52" s="3">
        <f>IF(SPRV_Source_For_Formulas!G203&lt;=0.2,3,IF(SPRV_Source_For_Formulas!G203&lt;=0.5,2,1))</f>
        <v/>
      </c>
      <c r="Q52" s="8">
        <f>4-P52</f>
        <v/>
      </c>
      <c r="R52" s="9">
        <f>IF(AND(N52=3,O52*Q52&gt;=6),"A",IF(AND(N52=3,O52*Q52&gt;=3),"B",IF(AND(N52=3,O52*Q52&gt;=1),"C","")))</f>
        <v/>
      </c>
      <c r="S52"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52" s="3">
        <f>SPRV_Source_For_Formulas!D204</f>
        <v/>
      </c>
      <c r="U52" s="0" t="inlineStr">
        <is>
          <t>VDI server</t>
        </is>
      </c>
      <c r="V52"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52" s="0" t="n">
        <v>3</v>
      </c>
      <c r="X52" s="8" t="n">
        <v>2</v>
      </c>
      <c r="Y52" s="3">
        <f>IF(SPRV_Source_For_Formulas!G204&lt;=0.2,3,IF(SPRV_Source_For_Formulas!G204&lt;=0.5,2,1))</f>
        <v/>
      </c>
      <c r="Z52" s="8">
        <f>4-Y52</f>
        <v/>
      </c>
      <c r="AA52" s="9">
        <f>IF(AND(W52=3,X52*Z52&gt;=6),"A",IF(AND(W52=3,X52*Z52&gt;=3),"B",IF(AND(W52=3,X52*Z52&gt;=1),"C","")))</f>
        <v/>
      </c>
      <c r="AB52" s="0" t="inlineStr">
        <is>
          <t>β’モデル「3.3.4 認証」：ID管理・パスワード強度・MFA導入を規定
ガイドラインはID統制とアクセスログ確認を強調。一方で正規認証情報が漏洩した場合の防御は難しい（内部者攻撃やクレデンシャル再利用には限界）</t>
        </is>
      </c>
      <c r="AC52" s="3">
        <f>SPRV_Source_For_Formulas!D205</f>
        <v/>
      </c>
      <c r="AD52" s="0" t="inlineStr">
        <is>
          <t>My Number Administrative System on GovCloud</t>
        </is>
      </c>
      <c r="AE52"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52" s="0" t="n">
        <v>3</v>
      </c>
      <c r="AG52" s="8" t="n">
        <v>2</v>
      </c>
      <c r="AH52" s="3">
        <f>IF(SPRV_Source_For_Formulas!G205&lt;=0.2,3,IF(SPRV_Source_For_Formulas!G205&lt;=0.5,2,1))</f>
        <v/>
      </c>
      <c r="AI52" s="8">
        <f>4-AH52</f>
        <v/>
      </c>
      <c r="AJ52" s="9">
        <f>IF(AND(AF52=3,AG52*AI52&gt;=6),"A",IF(AND(AF52=3,AG52*AI52&gt;=3),"B",IF(AND(AF52=3,AG52*AI52&gt;=1),"C","")))</f>
        <v/>
      </c>
      <c r="AK52"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52" s="8">
        <f>MAX(E52,N52,W52,AF52)</f>
        <v/>
      </c>
      <c r="AM52" s="8" t="n">
        <v>2</v>
      </c>
      <c r="AN52" s="8">
        <f>MAX(G52,P52,Y52,AH52)</f>
        <v/>
      </c>
      <c r="AO52" s="8">
        <f>4-AN52</f>
        <v/>
      </c>
      <c r="AP52" s="8">
        <f>IF(AND(AL52=3,AM52*AO52&gt;=6),"A",IF(AND(AL52=3,AM52*AO52&gt;=3),"B",IF(AND(AL52=3,AM52*AO52&gt;=1),"C","")))</f>
        <v/>
      </c>
      <c r="AQ52" s="8">
        <f>"Scenario-level Threat=2; Step1="&amp;I52&amp;" Step2="&amp;R52&amp;" Step3="&amp;AA52&amp;" Step4="&amp;AJ52&amp;" ; Overall Threat fixed=2, Max Mitigation="&amp;AN52&amp;" =&gt; Overall="&amp;AP52</f>
        <v/>
      </c>
    </row>
    <row r="53">
      <c r="A53" s="0" t="n">
        <v>52</v>
      </c>
      <c r="B53" s="3">
        <f>SPRV_Source_For_Formulas!D206</f>
        <v/>
      </c>
      <c r="C53" s="0" t="inlineStr">
        <is>
          <t>VDI Auth server</t>
        </is>
      </c>
      <c r="D53"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53" s="0" t="n">
        <v>3</v>
      </c>
      <c r="F53" s="8" t="n">
        <v>2</v>
      </c>
      <c r="G53" s="3">
        <f>IF(SPRV_Source_For_Formulas!G206&lt;=0.2,3,IF(SPRV_Source_For_Formulas!G206&lt;=0.5,2,1))</f>
        <v/>
      </c>
      <c r="H53" s="8">
        <f>4-G53</f>
        <v/>
      </c>
      <c r="I53" s="9">
        <f>IF(AND(E53=3,F53*H53&gt;=6),"A",IF(AND(E53=3,F53*H53&gt;=3),"B",IF(AND(E53=3,F53*H53&gt;=1),"C","")))</f>
        <v/>
      </c>
      <c r="J53"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53" s="3">
        <f>SPRV_Source_For_Formulas!D207</f>
        <v/>
      </c>
      <c r="L53" s="0" t="inlineStr">
        <is>
          <t>VDI Auth server</t>
        </is>
      </c>
      <c r="M53" s="0" t="inlineStr">
        <is>
          <t>管理ポリシー変更を通じて内部制御権を乗っ取り、サーバ接続ルートを確保。</t>
        </is>
      </c>
      <c r="N53" s="0" t="n">
        <v>3</v>
      </c>
      <c r="O53" s="8" t="n">
        <v>2</v>
      </c>
      <c r="P53" s="3">
        <f>IF(SPRV_Source_For_Formulas!G207&lt;=0.2,3,IF(SPRV_Source_For_Formulas!G207&lt;=0.5,2,1))</f>
        <v/>
      </c>
      <c r="Q53" s="8">
        <f>4-P53</f>
        <v/>
      </c>
      <c r="R53" s="9">
        <f>IF(AND(N53=3,O53*Q53&gt;=6),"A",IF(AND(N53=3,O53*Q53&gt;=3),"B",IF(AND(N53=3,O53*Q53&gt;=1),"C","")))</f>
        <v/>
      </c>
      <c r="S53"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53" s="3">
        <f>SPRV_Source_For_Formulas!D208</f>
        <v/>
      </c>
      <c r="U53" s="0" t="inlineStr">
        <is>
          <t>VDI server</t>
        </is>
      </c>
      <c r="V53" s="0" t="inlineStr">
        <is>
          <t>Step1で VDI Auth Serverを突破 し、Step2で 不正クラウドインスタンス生成（T1578.002） に成功した攻撃者は、VDI環境全体を制御するために クラウド管理コマンドを直接行使 。
想定される操作例は以下の通り：
クラウド管理API/CLIを使用してVDI Serverの設定変更を実行
仮想NIC設定を変更してC2通信を許可
ストレージスナップショットを外部リージョンへ転送
認証関連構成を改変
VDIログオンポリシーを緩和
管理者アカウントの権限を昇格
痕跡隠蔽
監査ログを削除または外部に退避し検知回避
VDI Serverの構成を一時的に復旧させ、運用担当者に異常を気づかせない
→ 攻撃の本質は、クラウド環境の“正規管理操作”を不正に実行してVDI基盤を乗っ取る点にあり、検知困難性が非常に高いのが特徴</t>
        </is>
      </c>
      <c r="W53" s="0" t="n">
        <v>3</v>
      </c>
      <c r="X53" s="8" t="n">
        <v>2</v>
      </c>
      <c r="Y53" s="3">
        <f>IF(SPRV_Source_For_Formulas!G208&lt;=0.2,3,IF(SPRV_Source_For_Formulas!G208&lt;=0.5,2,1))</f>
        <v/>
      </c>
      <c r="Z53" s="8">
        <f>4-Y53</f>
        <v/>
      </c>
      <c r="AA53" s="9">
        <f>IF(AND(W53=3,X53*Z53&gt;=6),"A",IF(AND(W53=3,X53*Z53&gt;=3),"B",IF(AND(W53=3,X53*Z53&gt;=1),"C","")))</f>
        <v/>
      </c>
      <c r="AB53" s="0" t="inlineStr">
        <is>
          <t>β’モデル「3.3.4 認証」：ID管理・パスワード強度・MFA導入を規定
ガイドラインはID統制とアクセスログ確認を強調。一方で正規認証情報が漏洩した場合の防御は難しい（内部者攻撃やクレデンシャル再利用には限界）</t>
        </is>
      </c>
      <c r="AC53" s="3">
        <f>SPRV_Source_For_Formulas!D209</f>
        <v/>
      </c>
      <c r="AD53" s="0" t="inlineStr">
        <is>
          <t>My Number Administrative System on GovCloud</t>
        </is>
      </c>
      <c r="AE53"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53" s="0" t="n">
        <v>3</v>
      </c>
      <c r="AG53" s="8" t="n">
        <v>2</v>
      </c>
      <c r="AH53" s="3">
        <f>IF(SPRV_Source_For_Formulas!G209&lt;=0.2,3,IF(SPRV_Source_For_Formulas!G209&lt;=0.5,2,1))</f>
        <v/>
      </c>
      <c r="AI53" s="8">
        <f>4-AH53</f>
        <v/>
      </c>
      <c r="AJ53" s="9">
        <f>IF(AND(AF53=3,AG53*AI53&gt;=6),"A",IF(AND(AF53=3,AG53*AI53&gt;=3),"B",IF(AND(AF53=3,AG53*AI53&gt;=1),"C","")))</f>
        <v/>
      </c>
      <c r="AK53"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53" s="8">
        <f>MAX(E53,N53,W53,AF53)</f>
        <v/>
      </c>
      <c r="AM53" s="8" t="n">
        <v>2</v>
      </c>
      <c r="AN53" s="8">
        <f>MAX(G53,P53,Y53,AH53)</f>
        <v/>
      </c>
      <c r="AO53" s="8">
        <f>4-AN53</f>
        <v/>
      </c>
      <c r="AP53" s="8">
        <f>IF(AND(AL53=3,AM53*AO53&gt;=6),"A",IF(AND(AL53=3,AM53*AO53&gt;=3),"B",IF(AND(AL53=3,AM53*AO53&gt;=1),"C","")))</f>
        <v/>
      </c>
      <c r="AQ53" s="8">
        <f>"Scenario-level Threat=2; Step1="&amp;I53&amp;" Step2="&amp;R53&amp;" Step3="&amp;AA53&amp;" Step4="&amp;AJ53&amp;" ; Overall Threat fixed=2, Max Mitigation="&amp;AN53&amp;" =&gt; Overall="&amp;AP53</f>
        <v/>
      </c>
    </row>
    <row r="54">
      <c r="A54" s="0" t="n">
        <v>53</v>
      </c>
      <c r="B54" s="3">
        <f>SPRV_Source_For_Formulas!D210</f>
        <v/>
      </c>
      <c r="C54" s="0" t="inlineStr">
        <is>
          <t>VDI Auth server</t>
        </is>
      </c>
      <c r="D54"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54" s="0" t="n">
        <v>3</v>
      </c>
      <c r="F54" s="8" t="n">
        <v>2</v>
      </c>
      <c r="G54" s="3">
        <f>IF(SPRV_Source_For_Formulas!G210&lt;=0.2,3,IF(SPRV_Source_For_Formulas!G210&lt;=0.5,2,1))</f>
        <v/>
      </c>
      <c r="H54" s="8">
        <f>4-G54</f>
        <v/>
      </c>
      <c r="I54" s="9">
        <f>IF(AND(E54=3,F54*H54&gt;=6),"A",IF(AND(E54=3,F54*H54&gt;=3),"B",IF(AND(E54=3,F54*H54&gt;=1),"C","")))</f>
        <v/>
      </c>
      <c r="J54"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54" s="3">
        <f>SPRV_Source_For_Formulas!D211</f>
        <v/>
      </c>
      <c r="L54" s="0" t="inlineStr">
        <is>
          <t>VDI Auth server</t>
        </is>
      </c>
      <c r="M54" s="0" t="inlineStr">
        <is>
          <t>管理ポリシー変更を通じて内部制御権を乗っ取り、サーバ接続ルートを確保。</t>
        </is>
      </c>
      <c r="N54" s="0" t="n">
        <v>3</v>
      </c>
      <c r="O54" s="8" t="n">
        <v>2</v>
      </c>
      <c r="P54" s="3">
        <f>IF(SPRV_Source_For_Formulas!G211&lt;=0.2,3,IF(SPRV_Source_For_Formulas!G211&lt;=0.5,2,1))</f>
        <v/>
      </c>
      <c r="Q54" s="8">
        <f>4-P54</f>
        <v/>
      </c>
      <c r="R54" s="9">
        <f>IF(AND(N54=3,O54*Q54&gt;=6),"A",IF(AND(N54=3,O54*Q54&gt;=3),"B",IF(AND(N54=3,O54*Q54&gt;=1),"C","")))</f>
        <v/>
      </c>
      <c r="S54"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54" s="3">
        <f>SPRV_Source_For_Formulas!D212</f>
        <v/>
      </c>
      <c r="U54" s="0" t="inlineStr">
        <is>
          <t>VDI server</t>
        </is>
      </c>
      <c r="V54"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54" s="0" t="n">
        <v>3</v>
      </c>
      <c r="X54" s="8" t="n">
        <v>2</v>
      </c>
      <c r="Y54" s="3">
        <f>IF(SPRV_Source_For_Formulas!G212&lt;=0.2,3,IF(SPRV_Source_For_Formulas!G212&lt;=0.5,2,1))</f>
        <v/>
      </c>
      <c r="Z54" s="8">
        <f>4-Y54</f>
        <v/>
      </c>
      <c r="AA54" s="9">
        <f>IF(AND(W54=3,X54*Z54&gt;=6),"A",IF(AND(W54=3,X54*Z54&gt;=3),"B",IF(AND(W54=3,X54*Z54&gt;=1),"C","")))</f>
        <v/>
      </c>
      <c r="AB54" s="0" t="inlineStr">
        <is>
          <t>β’モデル「3.2.5 初期ID/パスワード変更の義務」「3.3.1 権限設定」、初期アカウントの削除・無効化を義務付け済みであれば抑止可能、運用が徹底されていれば高い有効性</t>
        </is>
      </c>
      <c r="AC54" s="3">
        <f>SPRV_Source_For_Formulas!D213</f>
        <v/>
      </c>
      <c r="AD54" s="0" t="inlineStr">
        <is>
          <t>My Number Administrative System on GovCloud</t>
        </is>
      </c>
      <c r="AE54" s="0" t="inlineStr">
        <is>
          <t>クラウドを異常終了させ、DoS状態に追い込む。</t>
        </is>
      </c>
      <c r="AF54" s="0" t="n">
        <v>3</v>
      </c>
      <c r="AG54" s="8" t="n">
        <v>2</v>
      </c>
      <c r="AH54" s="3">
        <f>IF(SPRV_Source_For_Formulas!G213&lt;=0.2,3,IF(SPRV_Source_For_Formulas!G213&lt;=0.5,2,1))</f>
        <v/>
      </c>
      <c r="AI54" s="8">
        <f>4-AH54</f>
        <v/>
      </c>
      <c r="AJ54" s="9">
        <f>IF(AND(AF54=3,AG54*AI54&gt;=6),"A",IF(AND(AF54=3,AG54*AI54&gt;=3),"B",IF(AND(AF54=3,AG54*AI54&gt;=1),"C","")))</f>
        <v/>
      </c>
      <c r="AK54" s="0" t="inlineStr">
        <is>
          <t>β’モデル＋ガバメントクラウド資料にてIAM最小権限、API監査、CSPM運用が整備されていれば、有効性は高い。ただし初期検知遅延やアラート無視等には注意が必要。</t>
        </is>
      </c>
      <c r="AL54" s="8">
        <f>MAX(E54,N54,W54,AF54)</f>
        <v/>
      </c>
      <c r="AM54" s="8" t="n">
        <v>2</v>
      </c>
      <c r="AN54" s="8">
        <f>MAX(G54,P54,Y54,AH54)</f>
        <v/>
      </c>
      <c r="AO54" s="8">
        <f>4-AN54</f>
        <v/>
      </c>
      <c r="AP54" s="8">
        <f>IF(AND(AL54=3,AM54*AO54&gt;=6),"A",IF(AND(AL54=3,AM54*AO54&gt;=3),"B",IF(AND(AL54=3,AM54*AO54&gt;=1),"C","")))</f>
        <v/>
      </c>
      <c r="AQ54" s="8">
        <f>"Scenario-level Threat=2; Step1="&amp;I54&amp;" Step2="&amp;R54&amp;" Step3="&amp;AA54&amp;" Step4="&amp;AJ54&amp;" ; Overall Threat fixed=2, Max Mitigation="&amp;AN54&amp;" =&gt; Overall="&amp;AP54</f>
        <v/>
      </c>
    </row>
    <row r="55">
      <c r="A55" s="0" t="n">
        <v>54</v>
      </c>
      <c r="B55" s="3">
        <f>SPRV_Source_For_Formulas!D214</f>
        <v/>
      </c>
      <c r="C55" s="0" t="inlineStr">
        <is>
          <t>VDI Auth server</t>
        </is>
      </c>
      <c r="D55"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55" s="0" t="n">
        <v>3</v>
      </c>
      <c r="F55" s="8" t="n">
        <v>2</v>
      </c>
      <c r="G55" s="3">
        <f>IF(SPRV_Source_For_Formulas!G214&lt;=0.2,3,IF(SPRV_Source_For_Formulas!G214&lt;=0.5,2,1))</f>
        <v/>
      </c>
      <c r="H55" s="8">
        <f>4-G55</f>
        <v/>
      </c>
      <c r="I55" s="9">
        <f>IF(AND(E55=3,F55*H55&gt;=6),"A",IF(AND(E55=3,F55*H55&gt;=3),"B",IF(AND(E55=3,F55*H55&gt;=1),"C","")))</f>
        <v/>
      </c>
      <c r="J55"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55" s="3">
        <f>SPRV_Source_For_Formulas!D215</f>
        <v/>
      </c>
      <c r="L55" s="0" t="inlineStr">
        <is>
          <t>VDI Auth server</t>
        </is>
      </c>
      <c r="M55" s="0" t="inlineStr">
        <is>
          <t>管理ポリシー変更を通じて内部制御権を乗っ取り、サーバ接続ルートを確保。</t>
        </is>
      </c>
      <c r="N55" s="0" t="n">
        <v>3</v>
      </c>
      <c r="O55" s="8" t="n">
        <v>2</v>
      </c>
      <c r="P55" s="3">
        <f>IF(SPRV_Source_For_Formulas!G215&lt;=0.2,3,IF(SPRV_Source_For_Formulas!G215&lt;=0.5,2,1))</f>
        <v/>
      </c>
      <c r="Q55" s="8">
        <f>4-P55</f>
        <v/>
      </c>
      <c r="R55" s="9">
        <f>IF(AND(N55=3,O55*Q55&gt;=6),"A",IF(AND(N55=3,O55*Q55&gt;=3),"B",IF(AND(N55=3,O55*Q55&gt;=1),"C","")))</f>
        <v/>
      </c>
      <c r="S55"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55" s="3">
        <f>SPRV_Source_For_Formulas!D216</f>
        <v/>
      </c>
      <c r="U55" s="0" t="inlineStr">
        <is>
          <t>VDI server</t>
        </is>
      </c>
      <c r="V55"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55" s="0" t="n">
        <v>3</v>
      </c>
      <c r="X55" s="8" t="n">
        <v>2</v>
      </c>
      <c r="Y55" s="3">
        <f>IF(SPRV_Source_For_Formulas!G216&lt;=0.2,3,IF(SPRV_Source_For_Formulas!G216&lt;=0.5,2,1))</f>
        <v/>
      </c>
      <c r="Z55" s="8">
        <f>4-Y55</f>
        <v/>
      </c>
      <c r="AA55" s="9">
        <f>IF(AND(W55=3,X55*Z55&gt;=6),"A",IF(AND(W55=3,X55*Z55&gt;=3),"B",IF(AND(W55=3,X55*Z55&gt;=1),"C","")))</f>
        <v/>
      </c>
      <c r="AB55" s="0" t="inlineStr">
        <is>
          <t>β’モデル「3.2.5 初期ID/パスワード変更の義務」「3.3.1 権限設定」、初期アカウントの削除・無効化を義務付け済みであれば抑止可能、運用が徹底されていれば高い有効性</t>
        </is>
      </c>
      <c r="AC55" s="3">
        <f>SPRV_Source_For_Formulas!D217</f>
        <v/>
      </c>
      <c r="AD55" s="0" t="inlineStr">
        <is>
          <t>My Number Administrative System on GovCloud</t>
        </is>
      </c>
      <c r="AE55" s="0" t="inlineStr">
        <is>
          <t>クラウド停止操作により業務継続性を妨害。</t>
        </is>
      </c>
      <c r="AF55" s="0" t="n">
        <v>3</v>
      </c>
      <c r="AG55" s="8" t="n">
        <v>2</v>
      </c>
      <c r="AH55" s="3">
        <f>IF(SPRV_Source_For_Formulas!G217&lt;=0.2,3,IF(SPRV_Source_For_Formulas!G217&lt;=0.5,2,1))</f>
        <v/>
      </c>
      <c r="AI55" s="8">
        <f>4-AH55</f>
        <v/>
      </c>
      <c r="AJ55" s="9">
        <f>IF(AND(AF55=3,AG55*AI55&gt;=6),"A",IF(AND(AF55=3,AG55*AI55&gt;=3),"B",IF(AND(AF55=3,AG55*AI55&gt;=1),"C","")))</f>
        <v/>
      </c>
      <c r="AK55" s="0" t="inlineStr">
        <is>
          <t>仮想マシンに対するネットワーク分離、IAM制御、ログ監視により不正操作の抑止・検知が可能。推奨対策と合致。</t>
        </is>
      </c>
      <c r="AL55" s="8">
        <f>MAX(E55,N55,W55,AF55)</f>
        <v/>
      </c>
      <c r="AM55" s="8" t="n">
        <v>2</v>
      </c>
      <c r="AN55" s="8">
        <f>MAX(G55,P55,Y55,AH55)</f>
        <v/>
      </c>
      <c r="AO55" s="8">
        <f>4-AN55</f>
        <v/>
      </c>
      <c r="AP55" s="8">
        <f>IF(AND(AL55=3,AM55*AO55&gt;=6),"A",IF(AND(AL55=3,AM55*AO55&gt;=3),"B",IF(AND(AL55=3,AM55*AO55&gt;=1),"C","")))</f>
        <v/>
      </c>
      <c r="AQ55" s="8">
        <f>"Scenario-level Threat=2; Step1="&amp;I55&amp;" Step2="&amp;R55&amp;" Step3="&amp;AA55&amp;" Step4="&amp;AJ55&amp;" ; Overall Threat fixed=2, Max Mitigation="&amp;AN55&amp;" =&gt; Overall="&amp;AP55</f>
        <v/>
      </c>
    </row>
    <row r="56">
      <c r="A56" s="0" t="n">
        <v>55</v>
      </c>
      <c r="B56" s="3">
        <f>SPRV_Source_For_Formulas!D218</f>
        <v/>
      </c>
      <c r="C56" s="0" t="inlineStr">
        <is>
          <t>VDI Auth server</t>
        </is>
      </c>
      <c r="D56"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56" s="0" t="n">
        <v>3</v>
      </c>
      <c r="F56" s="8" t="n">
        <v>2</v>
      </c>
      <c r="G56" s="3">
        <f>IF(SPRV_Source_For_Formulas!G218&lt;=0.2,3,IF(SPRV_Source_For_Formulas!G218&lt;=0.5,2,1))</f>
        <v/>
      </c>
      <c r="H56" s="8">
        <f>4-G56</f>
        <v/>
      </c>
      <c r="I56" s="9">
        <f>IF(AND(E56=3,F56*H56&gt;=6),"A",IF(AND(E56=3,F56*H56&gt;=3),"B",IF(AND(E56=3,F56*H56&gt;=1),"C","")))</f>
        <v/>
      </c>
      <c r="J56"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56" s="3">
        <f>SPRV_Source_For_Formulas!D219</f>
        <v/>
      </c>
      <c r="L56" s="0" t="inlineStr">
        <is>
          <t>VDI Auth server</t>
        </is>
      </c>
      <c r="M56" s="0" t="inlineStr">
        <is>
          <t>管理ポリシー変更を通じて内部制御権を乗っ取り、サーバ接続ルートを確保。</t>
        </is>
      </c>
      <c r="N56" s="0" t="n">
        <v>3</v>
      </c>
      <c r="O56" s="8" t="n">
        <v>2</v>
      </c>
      <c r="P56" s="3">
        <f>IF(SPRV_Source_For_Formulas!G219&lt;=0.2,3,IF(SPRV_Source_For_Formulas!G219&lt;=0.5,2,1))</f>
        <v/>
      </c>
      <c r="Q56" s="8">
        <f>4-P56</f>
        <v/>
      </c>
      <c r="R56" s="9">
        <f>IF(AND(N56=3,O56*Q56&gt;=6),"A",IF(AND(N56=3,O56*Q56&gt;=3),"B",IF(AND(N56=3,O56*Q56&gt;=1),"C","")))</f>
        <v/>
      </c>
      <c r="S56"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56" s="3">
        <f>SPRV_Source_For_Formulas!D220</f>
        <v/>
      </c>
      <c r="U56" s="0" t="inlineStr">
        <is>
          <t>VDI server</t>
        </is>
      </c>
      <c r="V56"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56" s="0" t="n">
        <v>3</v>
      </c>
      <c r="X56" s="8" t="n">
        <v>2</v>
      </c>
      <c r="Y56" s="3">
        <f>IF(SPRV_Source_For_Formulas!G220&lt;=0.2,3,IF(SPRV_Source_For_Formulas!G220&lt;=0.5,2,1))</f>
        <v/>
      </c>
      <c r="Z56" s="8">
        <f>4-Y56</f>
        <v/>
      </c>
      <c r="AA56" s="9">
        <f>IF(AND(W56=3,X56*Z56&gt;=6),"A",IF(AND(W56=3,X56*Z56&gt;=3),"B",IF(AND(W56=3,X56*Z56&gt;=1),"C","")))</f>
        <v/>
      </c>
      <c r="AB56" s="0" t="inlineStr">
        <is>
          <t>β’モデル「3.2.5 初期ID/パスワード変更の義務」「3.3.1 権限設定」、初期アカウントの削除・無効化を義務付け済みであれば抑止可能、運用が徹底されていれば高い有効性</t>
        </is>
      </c>
      <c r="AC56" s="3">
        <f>SPRV_Source_For_Formulas!D221</f>
        <v/>
      </c>
      <c r="AD56" s="0" t="inlineStr">
        <is>
          <t>My Number Administrative System on GovCloud</t>
        </is>
      </c>
      <c r="AE56"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56" s="0" t="n">
        <v>3</v>
      </c>
      <c r="AG56" s="8" t="n">
        <v>2</v>
      </c>
      <c r="AH56" s="3">
        <f>IF(SPRV_Source_For_Formulas!G221&lt;=0.2,3,IF(SPRV_Source_For_Formulas!G221&lt;=0.5,2,1))</f>
        <v/>
      </c>
      <c r="AI56" s="8">
        <f>4-AH56</f>
        <v/>
      </c>
      <c r="AJ56" s="9">
        <f>IF(AND(AF56=3,AG56*AI56&gt;=6),"A",IF(AND(AF56=3,AG56*AI56&gt;=3),"B",IF(AND(AF56=3,AG56*AI56&gt;=1),"C","")))</f>
        <v/>
      </c>
      <c r="AK56"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56" s="8">
        <f>MAX(E56,N56,W56,AF56)</f>
        <v/>
      </c>
      <c r="AM56" s="8" t="n">
        <v>2</v>
      </c>
      <c r="AN56" s="8">
        <f>MAX(G56,P56,Y56,AH56)</f>
        <v/>
      </c>
      <c r="AO56" s="8">
        <f>4-AN56</f>
        <v/>
      </c>
      <c r="AP56" s="8">
        <f>IF(AND(AL56=3,AM56*AO56&gt;=6),"A",IF(AND(AL56=3,AM56*AO56&gt;=3),"B",IF(AND(AL56=3,AM56*AO56&gt;=1),"C","")))</f>
        <v/>
      </c>
      <c r="AQ56" s="8">
        <f>"Scenario-level Threat=2; Step1="&amp;I56&amp;" Step2="&amp;R56&amp;" Step3="&amp;AA56&amp;" Step4="&amp;AJ56&amp;" ; Overall Threat fixed=2, Max Mitigation="&amp;AN56&amp;" =&gt; Overall="&amp;AP56</f>
        <v/>
      </c>
    </row>
    <row r="57">
      <c r="A57" s="0" t="n">
        <v>56</v>
      </c>
      <c r="B57" s="3">
        <f>SPRV_Source_For_Formulas!D222</f>
        <v/>
      </c>
      <c r="C57" s="0" t="inlineStr">
        <is>
          <t>VDI Auth server</t>
        </is>
      </c>
      <c r="D57"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57" s="0" t="n">
        <v>3</v>
      </c>
      <c r="F57" s="8" t="n">
        <v>2</v>
      </c>
      <c r="G57" s="3">
        <f>IF(SPRV_Source_For_Formulas!G222&lt;=0.2,3,IF(SPRV_Source_For_Formulas!G222&lt;=0.5,2,1))</f>
        <v/>
      </c>
      <c r="H57" s="8">
        <f>4-G57</f>
        <v/>
      </c>
      <c r="I57" s="9">
        <f>IF(AND(E57=3,F57*H57&gt;=6),"A",IF(AND(E57=3,F57*H57&gt;=3),"B",IF(AND(E57=3,F57*H57&gt;=1),"C","")))</f>
        <v/>
      </c>
      <c r="J57"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57" s="3">
        <f>SPRV_Source_For_Formulas!D223</f>
        <v/>
      </c>
      <c r="L57" s="0" t="inlineStr">
        <is>
          <t>VDI Auth server</t>
        </is>
      </c>
      <c r="M57" s="0" t="inlineStr">
        <is>
          <t>管理ポリシー変更を通じて内部制御権を乗っ取り、サーバ接続ルートを確保。</t>
        </is>
      </c>
      <c r="N57" s="0" t="n">
        <v>3</v>
      </c>
      <c r="O57" s="8" t="n">
        <v>2</v>
      </c>
      <c r="P57" s="3">
        <f>IF(SPRV_Source_For_Formulas!G223&lt;=0.2,3,IF(SPRV_Source_For_Formulas!G223&lt;=0.5,2,1))</f>
        <v/>
      </c>
      <c r="Q57" s="8">
        <f>4-P57</f>
        <v/>
      </c>
      <c r="R57" s="9">
        <f>IF(AND(N57=3,O57*Q57&gt;=6),"A",IF(AND(N57=3,O57*Q57&gt;=3),"B",IF(AND(N57=3,O57*Q57&gt;=1),"C","")))</f>
        <v/>
      </c>
      <c r="S57"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57" s="3">
        <f>SPRV_Source_For_Formulas!D224</f>
        <v/>
      </c>
      <c r="U57" s="0" t="inlineStr">
        <is>
          <t>VDI server</t>
        </is>
      </c>
      <c r="V57" s="0" t="inlineStr">
        <is>
          <t>攻撃者は Step1・Step2 で VDI Auth Serverに侵入 → 不正クラウドインスタンス作成 に成功。次のStep3では、VDI Serverに保存されているクラウドシークレット管理ストアへのアクセスを悪用します。
具体的な攻撃手法は以下：
VDI Serverや関連アプリが利用する Secrets Manager／Key Vault／環境変数ストア を探索。
APIキー、VDI管理者アカウントのパスワード、DB認証情報、トークン等を抽出。
これらのSecretsを用いて、VDI管理コンソールや下位システムへ追加侵入。
認証情報を悪用して横展開や持続的アクセスを確立。
→ 特にVDIサーバは「認証の中枢」であるため、Secretsが奪取されると他の全職員アカウントへの侵入ルートに直結するリスクがあります。</t>
        </is>
      </c>
      <c r="W57" s="0" t="n">
        <v>3</v>
      </c>
      <c r="X57" s="8" t="n">
        <v>2</v>
      </c>
      <c r="Y57" s="3">
        <f>IF(SPRV_Source_For_Formulas!G224&lt;=0.2,3,IF(SPRV_Source_For_Formulas!G224&lt;=0.5,2,1))</f>
        <v/>
      </c>
      <c r="Z57" s="8">
        <f>4-Y57</f>
        <v/>
      </c>
      <c r="AA57" s="9">
        <f>IF(AND(W57=3,X57*Z57&gt;=6),"A",IF(AND(W57=3,X57*Z57&gt;=3),"B",IF(AND(W57=3,X57*Z57&gt;=1),"C","")))</f>
        <v/>
      </c>
      <c r="AB57" s="0" t="inlineStr">
        <is>
          <t>β’モデル「3.2.5 初期ID/パスワード変更の義務」「3.3.1 権限設定」、初期アカウントの削除・無効化を義務付け済みであれば抑止可能、運用が徹底されていれば高い有効性</t>
        </is>
      </c>
      <c r="AC57" s="3">
        <f>SPRV_Source_For_Formulas!D225</f>
        <v/>
      </c>
      <c r="AD57" s="0" t="inlineStr">
        <is>
          <t>My Number Administrative System on GovCloud</t>
        </is>
      </c>
      <c r="AE57"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57" s="0" t="n">
        <v>3</v>
      </c>
      <c r="AG57" s="8" t="n">
        <v>2</v>
      </c>
      <c r="AH57" s="3">
        <f>IF(SPRV_Source_For_Formulas!G225&lt;=0.2,3,IF(SPRV_Source_For_Formulas!G225&lt;=0.5,2,1))</f>
        <v/>
      </c>
      <c r="AI57" s="8">
        <f>4-AH57</f>
        <v/>
      </c>
      <c r="AJ57" s="9">
        <f>IF(AND(AF57=3,AG57*AI57&gt;=6),"A",IF(AND(AF57=3,AG57*AI57&gt;=3),"B",IF(AND(AF57=3,AG57*AI57&gt;=1),"C","")))</f>
        <v/>
      </c>
      <c r="AK57"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57" s="8">
        <f>MAX(E57,N57,W57,AF57)</f>
        <v/>
      </c>
      <c r="AM57" s="8" t="n">
        <v>2</v>
      </c>
      <c r="AN57" s="8">
        <f>MAX(G57,P57,Y57,AH57)</f>
        <v/>
      </c>
      <c r="AO57" s="8">
        <f>4-AN57</f>
        <v/>
      </c>
      <c r="AP57" s="8">
        <f>IF(AND(AL57=3,AM57*AO57&gt;=6),"A",IF(AND(AL57=3,AM57*AO57&gt;=3),"B",IF(AND(AL57=3,AM57*AO57&gt;=1),"C","")))</f>
        <v/>
      </c>
      <c r="AQ57" s="8">
        <f>"Scenario-level Threat=2; Step1="&amp;I57&amp;" Step2="&amp;R57&amp;" Step3="&amp;AA57&amp;" Step4="&amp;AJ57&amp;" ; Overall Threat fixed=2, Max Mitigation="&amp;AN57&amp;" =&gt; Overall="&amp;AP57</f>
        <v/>
      </c>
    </row>
    <row r="58">
      <c r="A58" s="0" t="n">
        <v>57</v>
      </c>
      <c r="B58" s="3">
        <f>SPRV_Source_For_Formulas!D226</f>
        <v/>
      </c>
      <c r="C58" s="0" t="inlineStr">
        <is>
          <t>VDI Auth server</t>
        </is>
      </c>
      <c r="D58"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58" s="0" t="n">
        <v>3</v>
      </c>
      <c r="F58" s="8" t="n">
        <v>2</v>
      </c>
      <c r="G58" s="3">
        <f>IF(SPRV_Source_For_Formulas!G226&lt;=0.2,3,IF(SPRV_Source_For_Formulas!G226&lt;=0.5,2,1))</f>
        <v/>
      </c>
      <c r="H58" s="8">
        <f>4-G58</f>
        <v/>
      </c>
      <c r="I58" s="9">
        <f>IF(AND(E58=3,F58*H58&gt;=6),"A",IF(AND(E58=3,F58*H58&gt;=3),"B",IF(AND(E58=3,F58*H58&gt;=1),"C","")))</f>
        <v/>
      </c>
      <c r="J58"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58" s="3">
        <f>SPRV_Source_For_Formulas!D227</f>
        <v/>
      </c>
      <c r="L58" s="0" t="inlineStr">
        <is>
          <t>VDI Auth server</t>
        </is>
      </c>
      <c r="M58" s="0" t="inlineStr">
        <is>
          <t>管理ポリシー変更を通じて内部制御権を乗っ取り、サーバ接続ルートを確保。</t>
        </is>
      </c>
      <c r="N58" s="0" t="n">
        <v>3</v>
      </c>
      <c r="O58" s="8" t="n">
        <v>2</v>
      </c>
      <c r="P58" s="3">
        <f>IF(SPRV_Source_For_Formulas!G227&lt;=0.2,3,IF(SPRV_Source_For_Formulas!G227&lt;=0.5,2,1))</f>
        <v/>
      </c>
      <c r="Q58" s="8">
        <f>4-P58</f>
        <v/>
      </c>
      <c r="R58" s="9">
        <f>IF(AND(N58=3,O58*Q58&gt;=6),"A",IF(AND(N58=3,O58*Q58&gt;=3),"B",IF(AND(N58=3,O58*Q58&gt;=1),"C","")))</f>
        <v/>
      </c>
      <c r="S58"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58" s="3">
        <f>SPRV_Source_For_Formulas!D228</f>
        <v/>
      </c>
      <c r="U58" s="0" t="inlineStr">
        <is>
          <t>VDI server</t>
        </is>
      </c>
      <c r="V58" s="0" t="inlineStr">
        <is>
          <t>Cloud API経由でPowerShellなどを用いたスクリプトを実行し、遠隔操作。</t>
        </is>
      </c>
      <c r="W58" s="0" t="n">
        <v>3</v>
      </c>
      <c r="X58" s="8" t="n">
        <v>2</v>
      </c>
      <c r="Y58" s="3">
        <f>IF(SPRV_Source_For_Formulas!G228&lt;=0.2,3,IF(SPRV_Source_For_Formulas!G228&lt;=0.5,2,1))</f>
        <v/>
      </c>
      <c r="Z58" s="8">
        <f>4-Y58</f>
        <v/>
      </c>
      <c r="AA58" s="9">
        <f>IF(AND(W58=3,X58*Z58&gt;=6),"A",IF(AND(W58=3,X58*Z58&gt;=3),"B",IF(AND(W58=3,X58*Z58&gt;=1),"C","")))</f>
        <v/>
      </c>
      <c r="AB58" s="0" t="inlineStr">
        <is>
          <t>β’モデル「3.3.6 コマンド実行制御」や「3.2.3 脆弱性管理」、Cloud API利用は正規用途でもあり、異常操作の見分けが困難、CSPMやSIEMによる振る舞い監視が必要だが完全ではない</t>
        </is>
      </c>
      <c r="AC58" s="3">
        <f>SPRV_Source_For_Formulas!D229</f>
        <v/>
      </c>
      <c r="AD58" s="0" t="inlineStr">
        <is>
          <t>My Number Administrative System on GovCloud</t>
        </is>
      </c>
      <c r="AE58" s="0" t="inlineStr">
        <is>
          <t>クラウドを異常終了させ、DoS状態に追い込む。</t>
        </is>
      </c>
      <c r="AF58" s="0" t="n">
        <v>3</v>
      </c>
      <c r="AG58" s="8" t="n">
        <v>2</v>
      </c>
      <c r="AH58" s="3">
        <f>IF(SPRV_Source_For_Formulas!G229&lt;=0.2,3,IF(SPRV_Source_For_Formulas!G229&lt;=0.5,2,1))</f>
        <v/>
      </c>
      <c r="AI58" s="8">
        <f>4-AH58</f>
        <v/>
      </c>
      <c r="AJ58" s="9">
        <f>IF(AND(AF58=3,AG58*AI58&gt;=6),"A",IF(AND(AF58=3,AG58*AI58&gt;=3),"B",IF(AND(AF58=3,AG58*AI58&gt;=1),"C","")))</f>
        <v/>
      </c>
      <c r="AK58" s="0" t="inlineStr">
        <is>
          <t>β’モデル＋ガバメントクラウド資料にてIAM最小権限、API監査、CSPM運用が整備されていれば、有効性は高い。ただし初期検知遅延やアラート無視等には注意が必要。</t>
        </is>
      </c>
      <c r="AL58" s="8">
        <f>MAX(E58,N58,W58,AF58)</f>
        <v/>
      </c>
      <c r="AM58" s="8" t="n">
        <v>2</v>
      </c>
      <c r="AN58" s="8">
        <f>MAX(G58,P58,Y58,AH58)</f>
        <v/>
      </c>
      <c r="AO58" s="8">
        <f>4-AN58</f>
        <v/>
      </c>
      <c r="AP58" s="8">
        <f>IF(AND(AL58=3,AM58*AO58&gt;=6),"A",IF(AND(AL58=3,AM58*AO58&gt;=3),"B",IF(AND(AL58=3,AM58*AO58&gt;=1),"C","")))</f>
        <v/>
      </c>
      <c r="AQ58" s="8">
        <f>"Scenario-level Threat=2; Step1="&amp;I58&amp;" Step2="&amp;R58&amp;" Step3="&amp;AA58&amp;" Step4="&amp;AJ58&amp;" ; Overall Threat fixed=2, Max Mitigation="&amp;AN58&amp;" =&gt; Overall="&amp;AP58</f>
        <v/>
      </c>
    </row>
    <row r="59">
      <c r="A59" s="0" t="n">
        <v>58</v>
      </c>
      <c r="B59" s="3">
        <f>SPRV_Source_For_Formulas!D230</f>
        <v/>
      </c>
      <c r="C59" s="0" t="inlineStr">
        <is>
          <t>VDI Auth server</t>
        </is>
      </c>
      <c r="D59"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59" s="0" t="n">
        <v>3</v>
      </c>
      <c r="F59" s="8" t="n">
        <v>2</v>
      </c>
      <c r="G59" s="3">
        <f>IF(SPRV_Source_For_Formulas!G230&lt;=0.2,3,IF(SPRV_Source_For_Formulas!G230&lt;=0.5,2,1))</f>
        <v/>
      </c>
      <c r="H59" s="8">
        <f>4-G59</f>
        <v/>
      </c>
      <c r="I59" s="9">
        <f>IF(AND(E59=3,F59*H59&gt;=6),"A",IF(AND(E59=3,F59*H59&gt;=3),"B",IF(AND(E59=3,F59*H59&gt;=1),"C","")))</f>
        <v/>
      </c>
      <c r="J59"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59" s="3">
        <f>SPRV_Source_For_Formulas!D231</f>
        <v/>
      </c>
      <c r="L59" s="0" t="inlineStr">
        <is>
          <t>VDI Auth server</t>
        </is>
      </c>
      <c r="M59" s="0" t="inlineStr">
        <is>
          <t>管理ポリシー変更を通じて内部制御権を乗っ取り、サーバ接続ルートを確保。</t>
        </is>
      </c>
      <c r="N59" s="0" t="n">
        <v>3</v>
      </c>
      <c r="O59" s="8" t="n">
        <v>2</v>
      </c>
      <c r="P59" s="3">
        <f>IF(SPRV_Source_For_Formulas!G231&lt;=0.2,3,IF(SPRV_Source_For_Formulas!G231&lt;=0.5,2,1))</f>
        <v/>
      </c>
      <c r="Q59" s="8">
        <f>4-P59</f>
        <v/>
      </c>
      <c r="R59" s="9">
        <f>IF(AND(N59=3,O59*Q59&gt;=6),"A",IF(AND(N59=3,O59*Q59&gt;=3),"B",IF(AND(N59=3,O59*Q59&gt;=1),"C","")))</f>
        <v/>
      </c>
      <c r="S59"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59" s="3">
        <f>SPRV_Source_For_Formulas!D232</f>
        <v/>
      </c>
      <c r="U59" s="0" t="inlineStr">
        <is>
          <t>VDI server</t>
        </is>
      </c>
      <c r="V59" s="0" t="inlineStr">
        <is>
          <t>Cloud API経由でPowerShellなどを用いたスクリプトを実行し、遠隔操作。</t>
        </is>
      </c>
      <c r="W59" s="0" t="n">
        <v>3</v>
      </c>
      <c r="X59" s="8" t="n">
        <v>2</v>
      </c>
      <c r="Y59" s="3">
        <f>IF(SPRV_Source_For_Formulas!G232&lt;=0.2,3,IF(SPRV_Source_For_Formulas!G232&lt;=0.5,2,1))</f>
        <v/>
      </c>
      <c r="Z59" s="8">
        <f>4-Y59</f>
        <v/>
      </c>
      <c r="AA59" s="9">
        <f>IF(AND(W59=3,X59*Z59&gt;=6),"A",IF(AND(W59=3,X59*Z59&gt;=3),"B",IF(AND(W59=3,X59*Z59&gt;=1),"C","")))</f>
        <v/>
      </c>
      <c r="AB59" s="0" t="inlineStr">
        <is>
          <t>β’モデル「3.3.6 コマンド実行制御」や「3.2.3 脆弱性管理」、Cloud API利用は正規用途でもあり、異常操作の見分けが困難、CSPMやSIEMによる振る舞い監視が必要だが完全ではない</t>
        </is>
      </c>
      <c r="AC59" s="3">
        <f>SPRV_Source_For_Formulas!D233</f>
        <v/>
      </c>
      <c r="AD59" s="0" t="inlineStr">
        <is>
          <t>My Number Administrative System on GovCloud</t>
        </is>
      </c>
      <c r="AE59" s="0" t="inlineStr">
        <is>
          <t>クラウド停止操作により業務継続性を妨害。</t>
        </is>
      </c>
      <c r="AF59" s="0" t="n">
        <v>3</v>
      </c>
      <c r="AG59" s="8" t="n">
        <v>2</v>
      </c>
      <c r="AH59" s="3">
        <f>IF(SPRV_Source_For_Formulas!G233&lt;=0.2,3,IF(SPRV_Source_For_Formulas!G233&lt;=0.5,2,1))</f>
        <v/>
      </c>
      <c r="AI59" s="8">
        <f>4-AH59</f>
        <v/>
      </c>
      <c r="AJ59" s="9">
        <f>IF(AND(AF59=3,AG59*AI59&gt;=6),"A",IF(AND(AF59=3,AG59*AI59&gt;=3),"B",IF(AND(AF59=3,AG59*AI59&gt;=1),"C","")))</f>
        <v/>
      </c>
      <c r="AK59" s="0" t="inlineStr">
        <is>
          <t>仮想マシンに対するネットワーク分離、IAM制御、ログ監視により不正操作の抑止・検知が可能。推奨対策と合致。</t>
        </is>
      </c>
      <c r="AL59" s="8">
        <f>MAX(E59,N59,W59,AF59)</f>
        <v/>
      </c>
      <c r="AM59" s="8" t="n">
        <v>2</v>
      </c>
      <c r="AN59" s="8">
        <f>MAX(G59,P59,Y59,AH59)</f>
        <v/>
      </c>
      <c r="AO59" s="8">
        <f>4-AN59</f>
        <v/>
      </c>
      <c r="AP59" s="8">
        <f>IF(AND(AL59=3,AM59*AO59&gt;=6),"A",IF(AND(AL59=3,AM59*AO59&gt;=3),"B",IF(AND(AL59=3,AM59*AO59&gt;=1),"C","")))</f>
        <v/>
      </c>
      <c r="AQ59" s="8">
        <f>"Scenario-level Threat=2; Step1="&amp;I59&amp;" Step2="&amp;R59&amp;" Step3="&amp;AA59&amp;" Step4="&amp;AJ59&amp;" ; Overall Threat fixed=2, Max Mitigation="&amp;AN59&amp;" =&gt; Overall="&amp;AP59</f>
        <v/>
      </c>
    </row>
    <row r="60">
      <c r="A60" s="0" t="n">
        <v>59</v>
      </c>
      <c r="B60" s="3">
        <f>SPRV_Source_For_Formulas!D234</f>
        <v/>
      </c>
      <c r="C60" s="0" t="inlineStr">
        <is>
          <t>VDI Auth server</t>
        </is>
      </c>
      <c r="D60"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60" s="0" t="n">
        <v>3</v>
      </c>
      <c r="F60" s="8" t="n">
        <v>2</v>
      </c>
      <c r="G60" s="3">
        <f>IF(SPRV_Source_For_Formulas!G234&lt;=0.2,3,IF(SPRV_Source_For_Formulas!G234&lt;=0.5,2,1))</f>
        <v/>
      </c>
      <c r="H60" s="8">
        <f>4-G60</f>
        <v/>
      </c>
      <c r="I60" s="9">
        <f>IF(AND(E60=3,F60*H60&gt;=6),"A",IF(AND(E60=3,F60*H60&gt;=3),"B",IF(AND(E60=3,F60*H60&gt;=1),"C","")))</f>
        <v/>
      </c>
      <c r="J60"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60" s="3">
        <f>SPRV_Source_For_Formulas!D235</f>
        <v/>
      </c>
      <c r="L60" s="0" t="inlineStr">
        <is>
          <t>VDI Auth server</t>
        </is>
      </c>
      <c r="M60" s="0" t="inlineStr">
        <is>
          <t>管理ポリシー変更を通じて内部制御権を乗っ取り、サーバ接続ルートを確保。</t>
        </is>
      </c>
      <c r="N60" s="0" t="n">
        <v>3</v>
      </c>
      <c r="O60" s="8" t="n">
        <v>2</v>
      </c>
      <c r="P60" s="3">
        <f>IF(SPRV_Source_For_Formulas!G235&lt;=0.2,3,IF(SPRV_Source_For_Formulas!G235&lt;=0.5,2,1))</f>
        <v/>
      </c>
      <c r="Q60" s="8">
        <f>4-P60</f>
        <v/>
      </c>
      <c r="R60" s="9">
        <f>IF(AND(N60=3,O60*Q60&gt;=6),"A",IF(AND(N60=3,O60*Q60&gt;=3),"B",IF(AND(N60=3,O60*Q60&gt;=1),"C","")))</f>
        <v/>
      </c>
      <c r="S60"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60" s="3">
        <f>SPRV_Source_For_Formulas!D236</f>
        <v/>
      </c>
      <c r="U60" s="0" t="inlineStr">
        <is>
          <t>VDI server</t>
        </is>
      </c>
      <c r="V60" s="0" t="inlineStr">
        <is>
          <t>Cloud API経由でPowerShellなどを用いたスクリプトを実行し、遠隔操作。</t>
        </is>
      </c>
      <c r="W60" s="0" t="n">
        <v>3</v>
      </c>
      <c r="X60" s="8" t="n">
        <v>2</v>
      </c>
      <c r="Y60" s="3">
        <f>IF(SPRV_Source_For_Formulas!G236&lt;=0.2,3,IF(SPRV_Source_For_Formulas!G236&lt;=0.5,2,1))</f>
        <v/>
      </c>
      <c r="Z60" s="8">
        <f>4-Y60</f>
        <v/>
      </c>
      <c r="AA60" s="9">
        <f>IF(AND(W60=3,X60*Z60&gt;=6),"A",IF(AND(W60=3,X60*Z60&gt;=3),"B",IF(AND(W60=3,X60*Z60&gt;=1),"C","")))</f>
        <v/>
      </c>
      <c r="AB60" s="0" t="inlineStr">
        <is>
          <t>β’モデル「3.3.6 コマンド実行制御」や「3.2.3 脆弱性管理」、Cloud API利用は正規用途でもあり、異常操作の見分けが困難、CSPMやSIEMによる振る舞い監視が必要だが完全ではない</t>
        </is>
      </c>
      <c r="AC60" s="3">
        <f>SPRV_Source_For_Formulas!D237</f>
        <v/>
      </c>
      <c r="AD60" s="0" t="inlineStr">
        <is>
          <t>My Number Administrative System on GovCloud</t>
        </is>
      </c>
      <c r="AE60"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60" s="0" t="n">
        <v>3</v>
      </c>
      <c r="AG60" s="8" t="n">
        <v>2</v>
      </c>
      <c r="AH60" s="3">
        <f>IF(SPRV_Source_For_Formulas!G237&lt;=0.2,3,IF(SPRV_Source_For_Formulas!G237&lt;=0.5,2,1))</f>
        <v/>
      </c>
      <c r="AI60" s="8">
        <f>4-AH60</f>
        <v/>
      </c>
      <c r="AJ60" s="9">
        <f>IF(AND(AF60=3,AG60*AI60&gt;=6),"A",IF(AND(AF60=3,AG60*AI60&gt;=3),"B",IF(AND(AF60=3,AG60*AI60&gt;=1),"C","")))</f>
        <v/>
      </c>
      <c r="AK60"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60" s="8">
        <f>MAX(E60,N60,W60,AF60)</f>
        <v/>
      </c>
      <c r="AM60" s="8" t="n">
        <v>2</v>
      </c>
      <c r="AN60" s="8">
        <f>MAX(G60,P60,Y60,AH60)</f>
        <v/>
      </c>
      <c r="AO60" s="8">
        <f>4-AN60</f>
        <v/>
      </c>
      <c r="AP60" s="8">
        <f>IF(AND(AL60=3,AM60*AO60&gt;=6),"A",IF(AND(AL60=3,AM60*AO60&gt;=3),"B",IF(AND(AL60=3,AM60*AO60&gt;=1),"C","")))</f>
        <v/>
      </c>
      <c r="AQ60" s="8">
        <f>"Scenario-level Threat=2; Step1="&amp;I60&amp;" Step2="&amp;R60&amp;" Step3="&amp;AA60&amp;" Step4="&amp;AJ60&amp;" ; Overall Threat fixed=2, Max Mitigation="&amp;AN60&amp;" =&gt; Overall="&amp;AP60</f>
        <v/>
      </c>
    </row>
    <row r="61">
      <c r="A61" s="0" t="n">
        <v>60</v>
      </c>
      <c r="B61" s="3">
        <f>SPRV_Source_For_Formulas!D238</f>
        <v/>
      </c>
      <c r="C61" s="0" t="inlineStr">
        <is>
          <t>VDI Auth server</t>
        </is>
      </c>
      <c r="D61"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61" s="0" t="n">
        <v>3</v>
      </c>
      <c r="F61" s="8" t="n">
        <v>2</v>
      </c>
      <c r="G61" s="3">
        <f>IF(SPRV_Source_For_Formulas!G238&lt;=0.2,3,IF(SPRV_Source_For_Formulas!G238&lt;=0.5,2,1))</f>
        <v/>
      </c>
      <c r="H61" s="8">
        <f>4-G61</f>
        <v/>
      </c>
      <c r="I61" s="9">
        <f>IF(AND(E61=3,F61*H61&gt;=6),"A",IF(AND(E61=3,F61*H61&gt;=3),"B",IF(AND(E61=3,F61*H61&gt;=1),"C","")))</f>
        <v/>
      </c>
      <c r="J61"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61" s="3">
        <f>SPRV_Source_For_Formulas!D239</f>
        <v/>
      </c>
      <c r="L61" s="0" t="inlineStr">
        <is>
          <t>VDI Auth server</t>
        </is>
      </c>
      <c r="M61" s="0" t="inlineStr">
        <is>
          <t>管理ポリシー変更を通じて内部制御権を乗っ取り、サーバ接続ルートを確保。</t>
        </is>
      </c>
      <c r="N61" s="0" t="n">
        <v>3</v>
      </c>
      <c r="O61" s="8" t="n">
        <v>2</v>
      </c>
      <c r="P61" s="3">
        <f>IF(SPRV_Source_For_Formulas!G239&lt;=0.2,3,IF(SPRV_Source_For_Formulas!G239&lt;=0.5,2,1))</f>
        <v/>
      </c>
      <c r="Q61" s="8">
        <f>4-P61</f>
        <v/>
      </c>
      <c r="R61" s="9">
        <f>IF(AND(N61=3,O61*Q61&gt;=6),"A",IF(AND(N61=3,O61*Q61&gt;=3),"B",IF(AND(N61=3,O61*Q61&gt;=1),"C","")))</f>
        <v/>
      </c>
      <c r="S61"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61" s="3">
        <f>SPRV_Source_For_Formulas!D240</f>
        <v/>
      </c>
      <c r="U61" s="0" t="inlineStr">
        <is>
          <t>VDI server</t>
        </is>
      </c>
      <c r="V61" s="0" t="inlineStr">
        <is>
          <t>Cloud API経由でPowerShellなどを用いたスクリプトを実行し、遠隔操作。</t>
        </is>
      </c>
      <c r="W61" s="0" t="n">
        <v>3</v>
      </c>
      <c r="X61" s="8" t="n">
        <v>2</v>
      </c>
      <c r="Y61" s="3">
        <f>IF(SPRV_Source_For_Formulas!G240&lt;=0.2,3,IF(SPRV_Source_For_Formulas!G240&lt;=0.5,2,1))</f>
        <v/>
      </c>
      <c r="Z61" s="8">
        <f>4-Y61</f>
        <v/>
      </c>
      <c r="AA61" s="9">
        <f>IF(AND(W61=3,X61*Z61&gt;=6),"A",IF(AND(W61=3,X61*Z61&gt;=3),"B",IF(AND(W61=3,X61*Z61&gt;=1),"C","")))</f>
        <v/>
      </c>
      <c r="AB61" s="0" t="inlineStr">
        <is>
          <t>β’モデル「3.3.6 コマンド実行制御」や「3.2.3 脆弱性管理」、Cloud API利用は正規用途でもあり、異常操作の見分けが困難、CSPMやSIEMによる振る舞い監視が必要だが完全ではない</t>
        </is>
      </c>
      <c r="AC61" s="3">
        <f>SPRV_Source_For_Formulas!D241</f>
        <v/>
      </c>
      <c r="AD61" s="0" t="inlineStr">
        <is>
          <t>My Number Administrative System on GovCloud</t>
        </is>
      </c>
      <c r="AE61"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61" s="0" t="n">
        <v>3</v>
      </c>
      <c r="AG61" s="8" t="n">
        <v>2</v>
      </c>
      <c r="AH61" s="3">
        <f>IF(SPRV_Source_For_Formulas!G241&lt;=0.2,3,IF(SPRV_Source_For_Formulas!G241&lt;=0.5,2,1))</f>
        <v/>
      </c>
      <c r="AI61" s="8">
        <f>4-AH61</f>
        <v/>
      </c>
      <c r="AJ61" s="9">
        <f>IF(AND(AF61=3,AG61*AI61&gt;=6),"A",IF(AND(AF61=3,AG61*AI61&gt;=3),"B",IF(AND(AF61=3,AG61*AI61&gt;=1),"C","")))</f>
        <v/>
      </c>
      <c r="AK61"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61" s="8">
        <f>MAX(E61,N61,W61,AF61)</f>
        <v/>
      </c>
      <c r="AM61" s="8" t="n">
        <v>2</v>
      </c>
      <c r="AN61" s="8">
        <f>MAX(G61,P61,Y61,AH61)</f>
        <v/>
      </c>
      <c r="AO61" s="8">
        <f>4-AN61</f>
        <v/>
      </c>
      <c r="AP61" s="8">
        <f>IF(AND(AL61=3,AM61*AO61&gt;=6),"A",IF(AND(AL61=3,AM61*AO61&gt;=3),"B",IF(AND(AL61=3,AM61*AO61&gt;=1),"C","")))</f>
        <v/>
      </c>
      <c r="AQ61" s="8">
        <f>"Scenario-level Threat=2; Step1="&amp;I61&amp;" Step2="&amp;R61&amp;" Step3="&amp;AA61&amp;" Step4="&amp;AJ61&amp;" ; Overall Threat fixed=2, Max Mitigation="&amp;AN61&amp;" =&gt; Overall="&amp;AP61</f>
        <v/>
      </c>
    </row>
    <row r="62">
      <c r="A62" s="0" t="n">
        <v>61</v>
      </c>
      <c r="B62" s="3">
        <f>SPRV_Source_For_Formulas!D242</f>
        <v/>
      </c>
      <c r="C62" s="0" t="inlineStr">
        <is>
          <t>VDI Auth server</t>
        </is>
      </c>
      <c r="D62"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62" s="0" t="n">
        <v>3</v>
      </c>
      <c r="F62" s="8" t="n">
        <v>2</v>
      </c>
      <c r="G62" s="3">
        <f>IF(SPRV_Source_For_Formulas!G242&lt;=0.2,3,IF(SPRV_Source_For_Formulas!G242&lt;=0.5,2,1))</f>
        <v/>
      </c>
      <c r="H62" s="8">
        <f>4-G62</f>
        <v/>
      </c>
      <c r="I62" s="9">
        <f>IF(AND(E62=3,F62*H62&gt;=6),"A",IF(AND(E62=3,F62*H62&gt;=3),"B",IF(AND(E62=3,F62*H62&gt;=1),"C","")))</f>
        <v/>
      </c>
      <c r="J62"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62" s="3">
        <f>SPRV_Source_For_Formulas!D243</f>
        <v/>
      </c>
      <c r="L62" s="0" t="inlineStr">
        <is>
          <t>VDI Auth server</t>
        </is>
      </c>
      <c r="M62" s="0" t="inlineStr">
        <is>
          <t>管理ポリシー変更を通じて内部制御権を乗っ取り、サーバ接続ルートを確保。</t>
        </is>
      </c>
      <c r="N62" s="0" t="n">
        <v>3</v>
      </c>
      <c r="O62" s="8" t="n">
        <v>2</v>
      </c>
      <c r="P62" s="3">
        <f>IF(SPRV_Source_For_Formulas!G243&lt;=0.2,3,IF(SPRV_Source_For_Formulas!G243&lt;=0.5,2,1))</f>
        <v/>
      </c>
      <c r="Q62" s="8">
        <f>4-P62</f>
        <v/>
      </c>
      <c r="R62" s="9">
        <f>IF(AND(N62=3,O62*Q62&gt;=6),"A",IF(AND(N62=3,O62*Q62&gt;=3),"B",IF(AND(N62=3,O62*Q62&gt;=1),"C","")))</f>
        <v/>
      </c>
      <c r="S62"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62" s="3">
        <f>SPRV_Source_For_Formulas!D244</f>
        <v/>
      </c>
      <c r="U62" s="0" t="inlineStr">
        <is>
          <t>VDI server</t>
        </is>
      </c>
      <c r="V62" s="0" t="inlineStr">
        <is>
          <t>GPOの改変でVDIサーバ上の制限を解除し、権限を横展開。</t>
        </is>
      </c>
      <c r="W62" s="0" t="n">
        <v>3</v>
      </c>
      <c r="X62" s="8" t="n">
        <v>2</v>
      </c>
      <c r="Y62" s="3">
        <f>IF(SPRV_Source_For_Formulas!G244&lt;=0.2,3,IF(SPRV_Source_For_Formulas!G244&lt;=0.5,2,1))</f>
        <v/>
      </c>
      <c r="Z62" s="8">
        <f>4-Y62</f>
        <v/>
      </c>
      <c r="AA62" s="9">
        <f>IF(AND(W62=3,X62*Z62&gt;=6),"A",IF(AND(W62=3,X62*Z62&gt;=3),"B",IF(AND(W62=3,X62*Z62&gt;=1),"C","")))</f>
        <v/>
      </c>
      <c r="AB62" s="0" t="inlineStr">
        <is>
          <t>β’モデル：
「3.3.1 権限管理」「3.3.5 設定変更検知」「3.4.1 操作記録」等。
補足評価：
GPO改変は一度権限を奪取された後に、正規操作として行われる可能性が高く、検知・阻止が難しい。
特にVDI環境などでは検知の即時性に限界があるため、評価「2（低）」は妥当。</t>
        </is>
      </c>
      <c r="AC62" s="3">
        <f>SPRV_Source_For_Formulas!D245</f>
        <v/>
      </c>
      <c r="AD62" s="0" t="inlineStr">
        <is>
          <t>My Number Administrative System on GovCloud</t>
        </is>
      </c>
      <c r="AE62" s="0" t="inlineStr">
        <is>
          <t>クラウドを異常終了させ、DoS状態に追い込む。</t>
        </is>
      </c>
      <c r="AF62" s="0" t="n">
        <v>3</v>
      </c>
      <c r="AG62" s="8" t="n">
        <v>2</v>
      </c>
      <c r="AH62" s="3">
        <f>IF(SPRV_Source_For_Formulas!G245&lt;=0.2,3,IF(SPRV_Source_For_Formulas!G245&lt;=0.5,2,1))</f>
        <v/>
      </c>
      <c r="AI62" s="8">
        <f>4-AH62</f>
        <v/>
      </c>
      <c r="AJ62" s="9">
        <f>IF(AND(AF62=3,AG62*AI62&gt;=6),"A",IF(AND(AF62=3,AG62*AI62&gt;=3),"B",IF(AND(AF62=3,AG62*AI62&gt;=1),"C","")))</f>
        <v/>
      </c>
      <c r="AK62" s="0" t="inlineStr">
        <is>
          <t>β’モデル＋ガバメントクラウド資料にてIAM最小権限、API監査、CSPM運用が整備されていれば、有効性は高い。ただし初期検知遅延やアラート無視等には注意が必要。</t>
        </is>
      </c>
      <c r="AL62" s="8">
        <f>MAX(E62,N62,W62,AF62)</f>
        <v/>
      </c>
      <c r="AM62" s="8" t="n">
        <v>2</v>
      </c>
      <c r="AN62" s="8">
        <f>MAX(G62,P62,Y62,AH62)</f>
        <v/>
      </c>
      <c r="AO62" s="8">
        <f>4-AN62</f>
        <v/>
      </c>
      <c r="AP62" s="8">
        <f>IF(AND(AL62=3,AM62*AO62&gt;=6),"A",IF(AND(AL62=3,AM62*AO62&gt;=3),"B",IF(AND(AL62=3,AM62*AO62&gt;=1),"C","")))</f>
        <v/>
      </c>
      <c r="AQ62" s="8">
        <f>"Scenario-level Threat=2; Step1="&amp;I62&amp;" Step2="&amp;R62&amp;" Step3="&amp;AA62&amp;" Step4="&amp;AJ62&amp;" ; Overall Threat fixed=2, Max Mitigation="&amp;AN62&amp;" =&gt; Overall="&amp;AP62</f>
        <v/>
      </c>
    </row>
    <row r="63">
      <c r="A63" s="0" t="n">
        <v>62</v>
      </c>
      <c r="B63" s="3">
        <f>SPRV_Source_For_Formulas!D246</f>
        <v/>
      </c>
      <c r="C63" s="0" t="inlineStr">
        <is>
          <t>VDI Auth server</t>
        </is>
      </c>
      <c r="D63"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63" s="0" t="n">
        <v>3</v>
      </c>
      <c r="F63" s="8" t="n">
        <v>2</v>
      </c>
      <c r="G63" s="3">
        <f>IF(SPRV_Source_For_Formulas!G246&lt;=0.2,3,IF(SPRV_Source_For_Formulas!G246&lt;=0.5,2,1))</f>
        <v/>
      </c>
      <c r="H63" s="8">
        <f>4-G63</f>
        <v/>
      </c>
      <c r="I63" s="9">
        <f>IF(AND(E63=3,F63*H63&gt;=6),"A",IF(AND(E63=3,F63*H63&gt;=3),"B",IF(AND(E63=3,F63*H63&gt;=1),"C","")))</f>
        <v/>
      </c>
      <c r="J63"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63" s="3">
        <f>SPRV_Source_For_Formulas!D247</f>
        <v/>
      </c>
      <c r="L63" s="0" t="inlineStr">
        <is>
          <t>VDI Auth server</t>
        </is>
      </c>
      <c r="M63" s="0" t="inlineStr">
        <is>
          <t>管理ポリシー変更を通じて内部制御権を乗っ取り、サーバ接続ルートを確保。</t>
        </is>
      </c>
      <c r="N63" s="0" t="n">
        <v>3</v>
      </c>
      <c r="O63" s="8" t="n">
        <v>2</v>
      </c>
      <c r="P63" s="3">
        <f>IF(SPRV_Source_For_Formulas!G247&lt;=0.2,3,IF(SPRV_Source_For_Formulas!G247&lt;=0.5,2,1))</f>
        <v/>
      </c>
      <c r="Q63" s="8">
        <f>4-P63</f>
        <v/>
      </c>
      <c r="R63" s="9">
        <f>IF(AND(N63=3,O63*Q63&gt;=6),"A",IF(AND(N63=3,O63*Q63&gt;=3),"B",IF(AND(N63=3,O63*Q63&gt;=1),"C","")))</f>
        <v/>
      </c>
      <c r="S63"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63" s="3">
        <f>SPRV_Source_For_Formulas!D248</f>
        <v/>
      </c>
      <c r="U63" s="0" t="inlineStr">
        <is>
          <t>VDI server</t>
        </is>
      </c>
      <c r="V63" s="0" t="inlineStr">
        <is>
          <t>GPOの改変でVDIサーバ上の制限を解除し、権限を横展開。</t>
        </is>
      </c>
      <c r="W63" s="0" t="n">
        <v>3</v>
      </c>
      <c r="X63" s="8" t="n">
        <v>2</v>
      </c>
      <c r="Y63" s="3">
        <f>IF(SPRV_Source_For_Formulas!G248&lt;=0.2,3,IF(SPRV_Source_For_Formulas!G248&lt;=0.5,2,1))</f>
        <v/>
      </c>
      <c r="Z63" s="8">
        <f>4-Y63</f>
        <v/>
      </c>
      <c r="AA63" s="9">
        <f>IF(AND(W63=3,X63*Z63&gt;=6),"A",IF(AND(W63=3,X63*Z63&gt;=3),"B",IF(AND(W63=3,X63*Z63&gt;=1),"C","")))</f>
        <v/>
      </c>
      <c r="AB63" s="0" t="inlineStr">
        <is>
          <t>β’モデル：
「3.3.1 権限管理」「3.3.5 設定変更検知」「3.4.1 操作記録」等。
補足評価：
GPO改変は一度権限を奪取された後に、正規操作として行われる可能性が高く、検知・阻止が難しい。
特にVDI環境などでは検知の即時性に限界があるため、評価「2（低）」は妥当。</t>
        </is>
      </c>
      <c r="AC63" s="3">
        <f>SPRV_Source_For_Formulas!D249</f>
        <v/>
      </c>
      <c r="AD63" s="0" t="inlineStr">
        <is>
          <t>My Number Administrative System on GovCloud</t>
        </is>
      </c>
      <c r="AE63" s="0" t="inlineStr">
        <is>
          <t>クラウド停止操作により業務継続性を妨害。</t>
        </is>
      </c>
      <c r="AF63" s="0" t="n">
        <v>3</v>
      </c>
      <c r="AG63" s="8" t="n">
        <v>2</v>
      </c>
      <c r="AH63" s="3">
        <f>IF(SPRV_Source_For_Formulas!G249&lt;=0.2,3,IF(SPRV_Source_For_Formulas!G249&lt;=0.5,2,1))</f>
        <v/>
      </c>
      <c r="AI63" s="8">
        <f>4-AH63</f>
        <v/>
      </c>
      <c r="AJ63" s="9">
        <f>IF(AND(AF63=3,AG63*AI63&gt;=6),"A",IF(AND(AF63=3,AG63*AI63&gt;=3),"B",IF(AND(AF63=3,AG63*AI63&gt;=1),"C","")))</f>
        <v/>
      </c>
      <c r="AK63" s="0" t="inlineStr">
        <is>
          <t>仮想マシンに対するネットワーク分離、IAM制御、ログ監視により不正操作の抑止・検知が可能。推奨対策と合致。</t>
        </is>
      </c>
      <c r="AL63" s="8">
        <f>MAX(E63,N63,W63,AF63)</f>
        <v/>
      </c>
      <c r="AM63" s="8" t="n">
        <v>2</v>
      </c>
      <c r="AN63" s="8">
        <f>MAX(G63,P63,Y63,AH63)</f>
        <v/>
      </c>
      <c r="AO63" s="8">
        <f>4-AN63</f>
        <v/>
      </c>
      <c r="AP63" s="8">
        <f>IF(AND(AL63=3,AM63*AO63&gt;=6),"A",IF(AND(AL63=3,AM63*AO63&gt;=3),"B",IF(AND(AL63=3,AM63*AO63&gt;=1),"C","")))</f>
        <v/>
      </c>
      <c r="AQ63" s="8">
        <f>"Scenario-level Threat=2; Step1="&amp;I63&amp;" Step2="&amp;R63&amp;" Step3="&amp;AA63&amp;" Step4="&amp;AJ63&amp;" ; Overall Threat fixed=2, Max Mitigation="&amp;AN63&amp;" =&gt; Overall="&amp;AP63</f>
        <v/>
      </c>
    </row>
    <row r="64">
      <c r="A64" s="0" t="n">
        <v>63</v>
      </c>
      <c r="B64" s="3">
        <f>SPRV_Source_For_Formulas!D250</f>
        <v/>
      </c>
      <c r="C64" s="0" t="inlineStr">
        <is>
          <t>VDI Auth server</t>
        </is>
      </c>
      <c r="D64"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64" s="0" t="n">
        <v>3</v>
      </c>
      <c r="F64" s="8" t="n">
        <v>2</v>
      </c>
      <c r="G64" s="3">
        <f>IF(SPRV_Source_For_Formulas!G250&lt;=0.2,3,IF(SPRV_Source_For_Formulas!G250&lt;=0.5,2,1))</f>
        <v/>
      </c>
      <c r="H64" s="8">
        <f>4-G64</f>
        <v/>
      </c>
      <c r="I64" s="9">
        <f>IF(AND(E64=3,F64*H64&gt;=6),"A",IF(AND(E64=3,F64*H64&gt;=3),"B",IF(AND(E64=3,F64*H64&gt;=1),"C","")))</f>
        <v/>
      </c>
      <c r="J64"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64" s="3">
        <f>SPRV_Source_For_Formulas!D251</f>
        <v/>
      </c>
      <c r="L64" s="0" t="inlineStr">
        <is>
          <t>VDI Auth server</t>
        </is>
      </c>
      <c r="M64" s="0" t="inlineStr">
        <is>
          <t>管理ポリシー変更を通じて内部制御権を乗っ取り、サーバ接続ルートを確保。</t>
        </is>
      </c>
      <c r="N64" s="0" t="n">
        <v>3</v>
      </c>
      <c r="O64" s="8" t="n">
        <v>2</v>
      </c>
      <c r="P64" s="3">
        <f>IF(SPRV_Source_For_Formulas!G251&lt;=0.2,3,IF(SPRV_Source_For_Formulas!G251&lt;=0.5,2,1))</f>
        <v/>
      </c>
      <c r="Q64" s="8">
        <f>4-P64</f>
        <v/>
      </c>
      <c r="R64" s="9">
        <f>IF(AND(N64=3,O64*Q64&gt;=6),"A",IF(AND(N64=3,O64*Q64&gt;=3),"B",IF(AND(N64=3,O64*Q64&gt;=1),"C","")))</f>
        <v/>
      </c>
      <c r="S64"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64" s="3">
        <f>SPRV_Source_For_Formulas!D252</f>
        <v/>
      </c>
      <c r="U64" s="0" t="inlineStr">
        <is>
          <t>VDI server</t>
        </is>
      </c>
      <c r="V64" s="0" t="inlineStr">
        <is>
          <t>GPOの改変でVDIサーバ上の制限を解除し、権限を横展開。</t>
        </is>
      </c>
      <c r="W64" s="0" t="n">
        <v>3</v>
      </c>
      <c r="X64" s="8" t="n">
        <v>2</v>
      </c>
      <c r="Y64" s="3">
        <f>IF(SPRV_Source_For_Formulas!G252&lt;=0.2,3,IF(SPRV_Source_For_Formulas!G252&lt;=0.5,2,1))</f>
        <v/>
      </c>
      <c r="Z64" s="8">
        <f>4-Y64</f>
        <v/>
      </c>
      <c r="AA64" s="9">
        <f>IF(AND(W64=3,X64*Z64&gt;=6),"A",IF(AND(W64=3,X64*Z64&gt;=3),"B",IF(AND(W64=3,X64*Z64&gt;=1),"C","")))</f>
        <v/>
      </c>
      <c r="AB64" s="0" t="inlineStr">
        <is>
          <t>β’モデル：
「3.3.1 権限管理」「3.3.5 設定変更検知」「3.4.1 操作記録」等。
補足評価：
GPO改変は一度権限を奪取された後に、正規操作として行われる可能性が高く、検知・阻止が難しい。
特にVDI環境などでは検知の即時性に限界があるため、評価「2（低）」は妥当。</t>
        </is>
      </c>
      <c r="AC64" s="3">
        <f>SPRV_Source_For_Formulas!D253</f>
        <v/>
      </c>
      <c r="AD64" s="0" t="inlineStr">
        <is>
          <t>My Number Administrative System on GovCloud</t>
        </is>
      </c>
      <c r="AE64" s="0" t="inlineStr">
        <is>
          <t>攻撃手法の具体化
Step1〜Step3を経て攻撃者は VDI Auth → VDI Serverを経由し、クラウド管理権限を取得済み。
この状態で、攻撃者は My Number System上の業務データを暗号化し、業務停止やデータロックアウトを引き起こす。
想定される攻撃シナリオは以下：
クラウド管理API／CLIを利用して、DBボリュームやストレージ（EBS, Blob, RDS等）を強制暗号化。
新しいKMSキーを攻撃者側で生成・割当し、既存キーを削除または無効化。
OSレベルでスクリプトを投入し、ファイルシステム全体を暗号化（Linux LUKS, Windows BitLocker等）。
Cloud Snapshotやバックアップを削除／無効化し、復旧不能状態に誘導。
結果として、マイナンバー業務全体が停止し、行政サービスに甚大な影響が発生する。</t>
        </is>
      </c>
      <c r="AF64" s="0" t="n">
        <v>3</v>
      </c>
      <c r="AG64" s="8" t="n">
        <v>2</v>
      </c>
      <c r="AH64" s="3">
        <f>IF(SPRV_Source_For_Formulas!G253&lt;=0.2,3,IF(SPRV_Source_For_Formulas!G253&lt;=0.5,2,1))</f>
        <v/>
      </c>
      <c r="AI64" s="8">
        <f>4-AH64</f>
        <v/>
      </c>
      <c r="AJ64" s="9">
        <f>IF(AND(AF64=3,AG64*AI64&gt;=6),"A",IF(AND(AF64=3,AG64*AI64&gt;=3),"B",IF(AND(AF64=3,AG64*AI64&gt;=1),"C","")))</f>
        <v/>
      </c>
      <c r="AK64" s="0" t="inlineStr">
        <is>
          <t>| 評価観点              | 状況・施策内容                                                      | 評価     |
| ----------------- | ------------------------------------------------------------ | ------ |
| データ暗号化制御          | KMSによる暗号化・権限分離は導入済。ただし攻撃者が管理者権限を奪取した場合、正規の暗号化APIを利用され迂回可能。   | ★★☆（2） |
| バックアップとリストア体制     | バックアップは定期取得されているが、スナップショット削除防止機能（Vault Lock等）は未導入で、削除耐性に弱点。  | ★★☆（2） |
| API監視・検知          | CloudTrail＋SIEMで監査は有効。しかし暗号化コマンドやスナップショット削除のリアルタイム検知ルールは不完全。 | ★★☆（2） |
| 承認フロー             | 通常業務での暗号化設定変更は承認必須だが、緊急対応・管理者例外が存在し、悪用される可能性を残している。          | ★★☆（2） |
| **CSPM／CIEM逸脱検知** | CSPMは導入済。だが暗号化操作やバックアップ削除の挙動検知は限定的。CIEMによる権限逸脱検知も一部のみ適用。     | ★★☆（2） |→総合評価：２</t>
        </is>
      </c>
      <c r="AL64" s="8">
        <f>MAX(E64,N64,W64,AF64)</f>
        <v/>
      </c>
      <c r="AM64" s="8" t="n">
        <v>2</v>
      </c>
      <c r="AN64" s="8">
        <f>MAX(G64,P64,Y64,AH64)</f>
        <v/>
      </c>
      <c r="AO64" s="8">
        <f>4-AN64</f>
        <v/>
      </c>
      <c r="AP64" s="8">
        <f>IF(AND(AL64=3,AM64*AO64&gt;=6),"A",IF(AND(AL64=3,AM64*AO64&gt;=3),"B",IF(AND(AL64=3,AM64*AO64&gt;=1),"C","")))</f>
        <v/>
      </c>
      <c r="AQ64" s="8">
        <f>"Scenario-level Threat=2; Step1="&amp;I64&amp;" Step2="&amp;R64&amp;" Step3="&amp;AA64&amp;" Step4="&amp;AJ64&amp;" ; Overall Threat fixed=2, Max Mitigation="&amp;AN64&amp;" =&gt; Overall="&amp;AP64</f>
        <v/>
      </c>
    </row>
    <row r="65">
      <c r="A65" s="0" t="n">
        <v>64</v>
      </c>
      <c r="B65" s="3">
        <f>SPRV_Source_For_Formulas!D254</f>
        <v/>
      </c>
      <c r="C65" s="0" t="inlineStr">
        <is>
          <t>VDI Auth server</t>
        </is>
      </c>
      <c r="D65" s="0" t="inlineStr">
        <is>
          <t>外出先からSASE経由でVDI Auth Serverにアクセスする職員の通信を狙い、Citrix Gatewayの既知の脆弱性（例：CVE-2019-19781 など）を悪用して認証バイパスを実行。正規ユーザになりすまし、庁内ネットワークへの初期侵入に成功。</t>
        </is>
      </c>
      <c r="E65" s="0" t="n">
        <v>3</v>
      </c>
      <c r="F65" s="8" t="n">
        <v>2</v>
      </c>
      <c r="G65" s="3">
        <f>IF(SPRV_Source_For_Formulas!G254&lt;=0.2,3,IF(SPRV_Source_For_Formulas!G254&lt;=0.5,2,1))</f>
        <v/>
      </c>
      <c r="H65" s="8">
        <f>4-G65</f>
        <v/>
      </c>
      <c r="I65" s="9">
        <f>IF(AND(E65=3,F65*H65&gt;=6),"A",IF(AND(E65=3,F65*H65&gt;=3),"B",IF(AND(E65=3,F65*H65&gt;=1),"C","")))</f>
        <v/>
      </c>
      <c r="J65" s="0" t="inlineStr">
        <is>
          <t>根拠（既知脆弱性への限定対応とβ’モデル基準）：
既知脆弱性に対する対策は技術・運用の両面で確立可能
総務省β’モデル「3.2.3 脆弱性管理」では、重大脆弱性に対し「48時間以内にパッチ適用」などのSLAを定めることが推奨されている。
さらに、「脆弱性の収集 → 影響評価 → 優先順位付け → 修正 → 再確認」の脆弱性管理ライフサイクルが整備されていれば、CVE-2019-19781のような既知の脆弱性はカバー可能。
SASE＋WAF＋ZTNAによる多層防御が機能すれば、侵入リスクは大幅に軽減
WAFにおける既知の攻撃シグネチャ対応は一般的であり、IDS/IPSやEDRとの組み合わせで侵入前に阻止できる。
SASEにおけるZTNAの導入により、「未認証端末からの直接到達不可」「職員IDベースの接続制御」「MDMによる端末衛生チェック」が可能。
構成管理や攻撃面最小化（attack surface reduction）も含めた対応が前提
公開Webアプリに対する構成管理（例：DMZ分離、最小限ポート公開、不要機能無効化等）が実施されていれば、既知脆弱性を突かれる余地は少ない。</t>
        </is>
      </c>
      <c r="K65" s="3">
        <f>SPRV_Source_For_Formulas!D255</f>
        <v/>
      </c>
      <c r="L65" s="0" t="inlineStr">
        <is>
          <t>VDI Auth server</t>
        </is>
      </c>
      <c r="M65" s="0" t="inlineStr">
        <is>
          <t>管理ポリシー変更を通じて内部制御権を乗っ取り、サーバ接続ルートを確保。</t>
        </is>
      </c>
      <c r="N65" s="0" t="n">
        <v>3</v>
      </c>
      <c r="O65" s="8" t="n">
        <v>2</v>
      </c>
      <c r="P65" s="3">
        <f>IF(SPRV_Source_For_Formulas!G255&lt;=0.2,3,IF(SPRV_Source_For_Formulas!G255&lt;=0.5,2,1))</f>
        <v/>
      </c>
      <c r="Q65" s="8">
        <f>4-P65</f>
        <v/>
      </c>
      <c r="R65" s="9">
        <f>IF(AND(N65=3,O65*Q65&gt;=6),"A",IF(AND(N65=3,O65*Q65&gt;=3),"B",IF(AND(N65=3,O65*Q65&gt;=1),"C","")))</f>
        <v/>
      </c>
      <c r="S65" s="0" t="inlineStr">
        <is>
          <t>GPO改変防止のためには、専用の管理OU、GPO変更通知、RBAC制限など複合的対策が必要であり、構成が整っていれば防止可能。ガイドラインにも「管理者権限の最小化」「設定変更の多層的検知」が記載（β’モデル 3.2.1, 3.3.1）。</t>
        </is>
      </c>
      <c r="T65" s="3">
        <f>SPRV_Source_For_Formulas!D256</f>
        <v/>
      </c>
      <c r="U65" s="0" t="inlineStr">
        <is>
          <t>VDI server</t>
        </is>
      </c>
      <c r="V65" s="0" t="inlineStr">
        <is>
          <t>GPOの改変でVDIサーバ上の制限を解除し、権限を横展開。</t>
        </is>
      </c>
      <c r="W65" s="0" t="n">
        <v>3</v>
      </c>
      <c r="X65" s="8" t="n">
        <v>2</v>
      </c>
      <c r="Y65" s="3">
        <f>IF(SPRV_Source_For_Formulas!G256&lt;=0.2,3,IF(SPRV_Source_For_Formulas!G256&lt;=0.5,2,1))</f>
        <v/>
      </c>
      <c r="Z65" s="8">
        <f>4-Y65</f>
        <v/>
      </c>
      <c r="AA65" s="9">
        <f>IF(AND(W65=3,X65*Z65&gt;=6),"A",IF(AND(W65=3,X65*Z65&gt;=3),"B",IF(AND(W65=3,X65*Z65&gt;=1),"C","")))</f>
        <v/>
      </c>
      <c r="AB65" s="0" t="inlineStr">
        <is>
          <t>β’モデル：
「3.3.1 権限管理」「3.3.5 設定変更検知」「3.4.1 操作記録」等。
補足評価：
GPO改変は一度権限を奪取された後に、正規操作として行われる可能性が高く、検知・阻止が難しい。
特にVDI環境などでは検知の即時性に限界があるため、評価「2（低）」は妥当。</t>
        </is>
      </c>
      <c r="AC65" s="3">
        <f>SPRV_Source_For_Formulas!D257</f>
        <v/>
      </c>
      <c r="AD65" s="0" t="inlineStr">
        <is>
          <t>My Number Administrative System on GovCloud</t>
        </is>
      </c>
      <c r="AE65" s="0" t="inlineStr">
        <is>
          <t>攻撃手法の具体化
Step1〜Step3で VDI Auth Server → VDI Server に侵入済みの攻撃者は、最終段階として マイナンバー事務系システムのリソース（特に帯域幅）を不正利用 。
攻撃の具体例：
マイナンバーシステム上で稼働する VM／コンテナに不正ソフトを導入し、外部DDoS攻撃の踏み台として帯域を消費。
内部帯域を過剰利用し、正規業務処理の遅延や停止を誘発。
帯域消費によりクラウド課金を膨張させ、経済的損害を与える。
通信トラフィックに混在させて、C2通信やデータ流出を隠蔽。
→ この攻撃は 「可用性の破壊」と「リソース濫用」 の両面を狙っており、暗号化攻撃（T1486）と比べても検知が難しい特徴がある。</t>
        </is>
      </c>
      <c r="AF65" s="0" t="n">
        <v>3</v>
      </c>
      <c r="AG65" s="8" t="n">
        <v>2</v>
      </c>
      <c r="AH65" s="3">
        <f>IF(SPRV_Source_For_Formulas!G257&lt;=0.2,3,IF(SPRV_Source_For_Formulas!G257&lt;=0.5,2,1))</f>
        <v/>
      </c>
      <c r="AI65" s="8">
        <f>4-AH65</f>
        <v/>
      </c>
      <c r="AJ65" s="9">
        <f>IF(AND(AF65=3,AG65*AI65&gt;=6),"A",IF(AND(AF65=3,AG65*AI65&gt;=3),"B",IF(AND(AF65=3,AG65*AI65&gt;=1),"C","")))</f>
        <v/>
      </c>
      <c r="AK65" s="0" t="inlineStr">
        <is>
          <t>| 評価観点           | 状況・施策内容                                              | 評価     |
| -------------- | ---------------------------------------------------- | ------ |
| 帯域使用監視・検知      | CloudWatch／Monitor等で帯域監視は実施。ただしリアルタイム異常検知ルールは一部未整備。  | ★★☆（2） |
| DDoS対策         | 一般的なDDoS対策サービスは契約済。ただし全トラフィック網羅ではなく、業務系ネットワークの一部対象外。 | ★★☆（2） |
| 出口通信制御         | Proxy・FWルールで外部接続制御済。ただしVDI経由トラフィックは例外許容ケースあり。        | ★★☆（2） |
| CSPM／CIEMによる検知 | 過剰権限は定期監査されるが、自動検知ルールは不十分。帯域逸脱の直接検知機能は限定的。           | ★★☆（2） |
| 監査と課金異常モニタリング  | 月次監査とクラウド課金監視あり。ただし異常利用を即座にアラート化する仕組みは未導入。           | ★★☆（2） |→ 総合評価：2.0 → レベル2</t>
        </is>
      </c>
      <c r="AL65" s="8">
        <f>MAX(E65,N65,W65,AF65)</f>
        <v/>
      </c>
      <c r="AM65" s="8" t="n">
        <v>2</v>
      </c>
      <c r="AN65" s="8">
        <f>MAX(G65,P65,Y65,AH65)</f>
        <v/>
      </c>
      <c r="AO65" s="8">
        <f>4-AN65</f>
        <v/>
      </c>
      <c r="AP65" s="8">
        <f>IF(AND(AL65=3,AM65*AO65&gt;=6),"A",IF(AND(AL65=3,AM65*AO65&gt;=3),"B",IF(AND(AL65=3,AM65*AO65&gt;=1),"C","")))</f>
        <v/>
      </c>
      <c r="AQ65" s="8">
        <f>"Scenario-level Threat=2; Step1="&amp;I65&amp;" Step2="&amp;R65&amp;" Step3="&amp;AA65&amp;" Step4="&amp;AJ65&amp;" ; Overall Threat fixed=2, Max Mitigation="&amp;AN65&amp;" =&gt; Overall="&amp;AP65</f>
        <v/>
      </c>
    </row>
  </sheetData>
  <autoFilter ref="A1:AP1"/>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G262"/>
  <sheetViews>
    <sheetView workbookViewId="0">
      <selection activeCell="A1" sqref="A1"/>
    </sheetView>
  </sheetViews>
  <sheetFormatPr baseColWidth="8" defaultRowHeight="18"/>
  <cols>
    <col width="16.9140625" customWidth="1" style="1" min="5" max="5"/>
    <col width="22.9140625" customWidth="1" style="1" min="6" max="6"/>
  </cols>
  <sheetData>
    <row r="1">
      <c r="A1" s="2" t="inlineStr">
        <is>
          <t>Purpose</t>
        </is>
      </c>
      <c r="B1" s="2" t="inlineStr">
        <is>
          <t>Convert SPRV Pi/Mi to IPA Threat/Mitigation (3-level)</t>
        </is>
      </c>
      <c r="C1" s="2" t="n"/>
      <c r="D1" s="2" t="n"/>
      <c r="E1" s="2" t="n"/>
      <c r="F1" s="2" t="n"/>
      <c r="G1" s="2" t="n"/>
    </row>
    <row r="2">
      <c r="A2" s="0" t="inlineStr">
        <is>
          <t>Threat rule</t>
        </is>
      </c>
      <c r="B2" s="0" t="inlineStr">
        <is>
          <t>Pi&lt;=0.2 =&gt; 1 ; 0.2&lt;Pi&lt;=0.5 =&gt; 2 ; Pi&gt;0.5 =&gt; 3</t>
        </is>
      </c>
    </row>
    <row r="3">
      <c r="A3" s="0" t="inlineStr">
        <is>
          <t>Mitigation rule</t>
        </is>
      </c>
      <c r="B3" s="0" t="inlineStr">
        <is>
          <t>Mi&lt;=0.2 =&gt; 3 ; 0.2&lt;Mi&lt;=0.5 =&gt; 2 ; Mi&gt;0.5 =&gt; 1</t>
        </is>
      </c>
    </row>
    <row r="4">
      <c r="A4" s="0" t="inlineStr">
        <is>
          <t>Overall rule</t>
        </is>
      </c>
      <c r="B4" s="0" t="inlineStr">
        <is>
          <t>Business Impact / Threat / Mitigation are each the maximum across Step1-Step4</t>
        </is>
      </c>
    </row>
    <row r="6">
      <c r="A6" s="0" t="inlineStr">
        <is>
          <t>AttackPathRow</t>
        </is>
      </c>
      <c r="B6" s="0" t="inlineStr">
        <is>
          <t>StepNo</t>
        </is>
      </c>
      <c r="C6" s="0" t="inlineStr">
        <is>
          <t>IPA_Technique_ID</t>
        </is>
      </c>
      <c r="D6" s="0" t="inlineStr">
        <is>
          <t>Source_Pi</t>
        </is>
      </c>
      <c r="E6" s="0" t="inlineStr">
        <is>
          <t>IPA_Threat</t>
        </is>
      </c>
      <c r="F6" s="0" t="inlineStr">
        <is>
          <t>Source_Mi</t>
        </is>
      </c>
      <c r="G6" s="0" t="inlineStr">
        <is>
          <t>IPA_Mitigation</t>
        </is>
      </c>
    </row>
    <row r="7">
      <c r="A7" s="0" t="n">
        <v>2</v>
      </c>
      <c r="B7" s="0" t="n">
        <v>1</v>
      </c>
      <c r="C7" s="0" t="inlineStr">
        <is>
          <t>T1190</t>
        </is>
      </c>
      <c r="D7" s="0" t="n">
        <v>0.9</v>
      </c>
      <c r="E7" s="0" t="n">
        <v>3</v>
      </c>
      <c r="F7" s="0" t="n">
        <v>0.46</v>
      </c>
      <c r="G7" s="0" t="n">
        <v>2</v>
      </c>
    </row>
    <row r="8">
      <c r="A8" s="0" t="n">
        <v>2</v>
      </c>
      <c r="B8" s="0" t="n">
        <v>2</v>
      </c>
      <c r="C8" s="0" t="inlineStr">
        <is>
          <t>T1578.002</t>
        </is>
      </c>
      <c r="D8" s="0" t="n">
        <v>0.36</v>
      </c>
      <c r="E8" s="0" t="n">
        <v>2</v>
      </c>
      <c r="F8" s="0" t="n">
        <v>0.46</v>
      </c>
      <c r="G8" s="0" t="n">
        <v>2</v>
      </c>
    </row>
    <row r="9">
      <c r="A9" s="0" t="n">
        <v>2</v>
      </c>
      <c r="B9" s="0" t="n">
        <v>3</v>
      </c>
      <c r="C9" s="0" t="inlineStr">
        <is>
          <t>T1651</t>
        </is>
      </c>
      <c r="D9" s="0" t="n">
        <v>0.36</v>
      </c>
      <c r="E9" s="0" t="n">
        <v>2</v>
      </c>
      <c r="F9" s="0" t="n">
        <v>0.1</v>
      </c>
      <c r="G9" s="0" t="n">
        <v>3</v>
      </c>
    </row>
    <row r="10">
      <c r="A10" s="0" t="n">
        <v>2</v>
      </c>
      <c r="B10" s="0" t="n">
        <v>4</v>
      </c>
      <c r="C10" s="0" t="inlineStr">
        <is>
          <t>T1496.004</t>
        </is>
      </c>
      <c r="D10" s="0" t="n">
        <v>0.18</v>
      </c>
      <c r="E10" s="0" t="n">
        <v>1</v>
      </c>
      <c r="F10" s="0" t="n">
        <v>0.28</v>
      </c>
      <c r="G10" s="0" t="n">
        <v>2</v>
      </c>
    </row>
    <row r="11">
      <c r="A11" s="0" t="n">
        <v>3</v>
      </c>
      <c r="B11" s="0" t="n">
        <v>1</v>
      </c>
      <c r="C11" s="0" t="inlineStr">
        <is>
          <t>T1190</t>
        </is>
      </c>
      <c r="D11" s="0" t="n">
        <v>0.9</v>
      </c>
      <c r="E11" s="0" t="n">
        <v>3</v>
      </c>
      <c r="F11" s="0" t="n">
        <v>0.46</v>
      </c>
      <c r="G11" s="0" t="n">
        <v>2</v>
      </c>
    </row>
    <row r="12">
      <c r="A12" s="0" t="n">
        <v>3</v>
      </c>
      <c r="B12" s="0" t="n">
        <v>2</v>
      </c>
      <c r="C12" s="0" t="inlineStr">
        <is>
          <t>T1578.002</t>
        </is>
      </c>
      <c r="D12" s="0" t="n">
        <v>0.36</v>
      </c>
      <c r="E12" s="0" t="n">
        <v>2</v>
      </c>
      <c r="F12" s="0" t="n">
        <v>0.46</v>
      </c>
      <c r="G12" s="0" t="n">
        <v>2</v>
      </c>
    </row>
    <row r="13">
      <c r="A13" s="0" t="n">
        <v>3</v>
      </c>
      <c r="B13" s="0" t="n">
        <v>3</v>
      </c>
      <c r="C13" s="0" t="inlineStr">
        <is>
          <t>T1651</t>
        </is>
      </c>
      <c r="D13" s="0" t="n">
        <v>0.36</v>
      </c>
      <c r="E13" s="0" t="n">
        <v>2</v>
      </c>
      <c r="F13" s="0" t="n">
        <v>0.1</v>
      </c>
      <c r="G13" s="0" t="n">
        <v>3</v>
      </c>
    </row>
    <row r="14">
      <c r="A14" s="0" t="n">
        <v>3</v>
      </c>
      <c r="B14" s="0" t="n">
        <v>4</v>
      </c>
      <c r="C14" s="0" t="inlineStr">
        <is>
          <t>T1496.001</t>
        </is>
      </c>
      <c r="D14" s="0" t="n">
        <v>0.72</v>
      </c>
      <c r="E14" s="0" t="n">
        <v>3</v>
      </c>
      <c r="F14" s="0" t="n">
        <v>0.28</v>
      </c>
      <c r="G14" s="0" t="n">
        <v>2</v>
      </c>
    </row>
    <row r="15">
      <c r="A15" s="0" t="n">
        <v>4</v>
      </c>
      <c r="B15" s="0" t="n">
        <v>1</v>
      </c>
      <c r="C15" s="0" t="inlineStr">
        <is>
          <t>T1190</t>
        </is>
      </c>
      <c r="D15" s="0" t="n">
        <v>0.9</v>
      </c>
      <c r="E15" s="0" t="n">
        <v>3</v>
      </c>
      <c r="F15" s="0" t="n">
        <v>0.46</v>
      </c>
      <c r="G15" s="0" t="n">
        <v>2</v>
      </c>
    </row>
    <row r="16">
      <c r="A16" s="0" t="n">
        <v>4</v>
      </c>
      <c r="B16" s="0" t="n">
        <v>2</v>
      </c>
      <c r="C16" s="0" t="inlineStr">
        <is>
          <t>T1578.002</t>
        </is>
      </c>
      <c r="D16" s="0" t="n">
        <v>0.36</v>
      </c>
      <c r="E16" s="0" t="n">
        <v>2</v>
      </c>
      <c r="F16" s="0" t="n">
        <v>0.46</v>
      </c>
      <c r="G16" s="0" t="n">
        <v>2</v>
      </c>
    </row>
    <row r="17">
      <c r="A17" s="0" t="n">
        <v>4</v>
      </c>
      <c r="B17" s="0" t="n">
        <v>3</v>
      </c>
      <c r="C17" s="0" t="inlineStr">
        <is>
          <t>T1651</t>
        </is>
      </c>
      <c r="D17" s="0" t="n">
        <v>0.36</v>
      </c>
      <c r="E17" s="0" t="n">
        <v>2</v>
      </c>
      <c r="F17" s="0" t="n">
        <v>0.1</v>
      </c>
      <c r="G17" s="0" t="n">
        <v>3</v>
      </c>
    </row>
    <row r="18">
      <c r="A18" s="0" t="n">
        <v>4</v>
      </c>
      <c r="B18" s="0" t="n">
        <v>4</v>
      </c>
      <c r="C18" s="0" t="inlineStr">
        <is>
          <t>T1486</t>
        </is>
      </c>
      <c r="D18" s="0" t="n">
        <v>0.9</v>
      </c>
      <c r="E18" s="0" t="n">
        <v>3</v>
      </c>
      <c r="F18" s="0" t="n">
        <v>0.1</v>
      </c>
      <c r="G18" s="0" t="n">
        <v>3</v>
      </c>
    </row>
    <row r="19">
      <c r="A19" s="0" t="n">
        <v>5</v>
      </c>
      <c r="B19" s="0" t="n">
        <v>1</v>
      </c>
      <c r="C19" s="0" t="inlineStr">
        <is>
          <t>T1190</t>
        </is>
      </c>
      <c r="D19" s="0" t="n">
        <v>0.9</v>
      </c>
      <c r="E19" s="0" t="n">
        <v>3</v>
      </c>
      <c r="F19" s="0" t="n">
        <v>0.46</v>
      </c>
      <c r="G19" s="0" t="n">
        <v>2</v>
      </c>
    </row>
    <row r="20">
      <c r="A20" s="0" t="n">
        <v>5</v>
      </c>
      <c r="B20" s="0" t="n">
        <v>2</v>
      </c>
      <c r="C20" s="0" t="inlineStr">
        <is>
          <t>T1578.002</t>
        </is>
      </c>
      <c r="D20" s="0" t="n">
        <v>0.36</v>
      </c>
      <c r="E20" s="0" t="n">
        <v>2</v>
      </c>
      <c r="F20" s="0" t="n">
        <v>0.46</v>
      </c>
      <c r="G20" s="0" t="n">
        <v>2</v>
      </c>
    </row>
    <row r="21">
      <c r="A21" s="0" t="n">
        <v>5</v>
      </c>
      <c r="B21" s="0" t="n">
        <v>3</v>
      </c>
      <c r="C21" s="0" t="inlineStr">
        <is>
          <t>T1651</t>
        </is>
      </c>
      <c r="D21" s="0" t="n">
        <v>0.36</v>
      </c>
      <c r="E21" s="0" t="n">
        <v>2</v>
      </c>
      <c r="F21" s="0" t="n">
        <v>0.1</v>
      </c>
      <c r="G21" s="0" t="n">
        <v>3</v>
      </c>
    </row>
    <row r="22">
      <c r="A22" s="0" t="n">
        <v>5</v>
      </c>
      <c r="B22" s="0" t="n">
        <v>4</v>
      </c>
      <c r="C22" s="0" t="inlineStr">
        <is>
          <t>T1496.002</t>
        </is>
      </c>
      <c r="D22" s="0" t="n">
        <v>0.18</v>
      </c>
      <c r="E22" s="0" t="n">
        <v>1</v>
      </c>
      <c r="F22" s="0" t="n">
        <v>0.46</v>
      </c>
      <c r="G22" s="0" t="n">
        <v>2</v>
      </c>
    </row>
    <row r="23">
      <c r="A23" s="0" t="n">
        <v>6</v>
      </c>
      <c r="B23" s="0" t="n">
        <v>1</v>
      </c>
      <c r="C23" s="0" t="inlineStr">
        <is>
          <t>T1190</t>
        </is>
      </c>
      <c r="D23" s="0" t="n">
        <v>0.9</v>
      </c>
      <c r="E23" s="0" t="n">
        <v>3</v>
      </c>
      <c r="F23" s="0" t="n">
        <v>0.46</v>
      </c>
      <c r="G23" s="0" t="n">
        <v>2</v>
      </c>
    </row>
    <row r="24">
      <c r="A24" s="0" t="n">
        <v>6</v>
      </c>
      <c r="B24" s="0" t="n">
        <v>2</v>
      </c>
      <c r="C24" s="0" t="inlineStr">
        <is>
          <t>T1578.002</t>
        </is>
      </c>
      <c r="D24" s="0" t="n">
        <v>0.36</v>
      </c>
      <c r="E24" s="0" t="n">
        <v>2</v>
      </c>
      <c r="F24" s="0" t="n">
        <v>0.46</v>
      </c>
      <c r="G24" s="0" t="n">
        <v>2</v>
      </c>
    </row>
    <row r="25">
      <c r="A25" s="0" t="n">
        <v>6</v>
      </c>
      <c r="B25" s="0" t="n">
        <v>3</v>
      </c>
      <c r="C25" s="0" t="inlineStr">
        <is>
          <t>T1555.006</t>
        </is>
      </c>
      <c r="D25" s="0" t="n">
        <v>0.36</v>
      </c>
      <c r="E25" s="0" t="n">
        <v>2</v>
      </c>
      <c r="F25" s="0" t="n">
        <v>0.1</v>
      </c>
      <c r="G25" s="0" t="n">
        <v>3</v>
      </c>
    </row>
    <row r="26">
      <c r="A26" s="0" t="n">
        <v>6</v>
      </c>
      <c r="B26" s="0" t="n">
        <v>4</v>
      </c>
      <c r="C26" s="0" t="inlineStr">
        <is>
          <t>T1496.004</t>
        </is>
      </c>
      <c r="D26" s="0" t="n">
        <v>0.18</v>
      </c>
      <c r="E26" s="0" t="n">
        <v>1</v>
      </c>
      <c r="F26" s="0" t="n">
        <v>0.28</v>
      </c>
      <c r="G26" s="0" t="n">
        <v>2</v>
      </c>
    </row>
    <row r="27">
      <c r="A27" s="0" t="n">
        <v>7</v>
      </c>
      <c r="B27" s="0" t="n">
        <v>1</v>
      </c>
      <c r="C27" s="0" t="inlineStr">
        <is>
          <t>T1190</t>
        </is>
      </c>
      <c r="D27" s="0" t="n">
        <v>0.9</v>
      </c>
      <c r="E27" s="0" t="n">
        <v>3</v>
      </c>
      <c r="F27" s="0" t="n">
        <v>0.46</v>
      </c>
      <c r="G27" s="0" t="n">
        <v>2</v>
      </c>
    </row>
    <row r="28">
      <c r="A28" s="0" t="n">
        <v>7</v>
      </c>
      <c r="B28" s="0" t="n">
        <v>2</v>
      </c>
      <c r="C28" s="0" t="inlineStr">
        <is>
          <t>T1578.002</t>
        </is>
      </c>
      <c r="D28" s="0" t="n">
        <v>0.36</v>
      </c>
      <c r="E28" s="0" t="n">
        <v>2</v>
      </c>
      <c r="F28" s="0" t="n">
        <v>0.46</v>
      </c>
      <c r="G28" s="0" t="n">
        <v>2</v>
      </c>
    </row>
    <row r="29">
      <c r="A29" s="0" t="n">
        <v>7</v>
      </c>
      <c r="B29" s="0" t="n">
        <v>3</v>
      </c>
      <c r="C29" s="0" t="inlineStr">
        <is>
          <t>T1555.006</t>
        </is>
      </c>
      <c r="D29" s="0" t="n">
        <v>0.36</v>
      </c>
      <c r="E29" s="0" t="n">
        <v>2</v>
      </c>
      <c r="F29" s="0" t="n">
        <v>0.1</v>
      </c>
      <c r="G29" s="0" t="n">
        <v>3</v>
      </c>
    </row>
    <row r="30">
      <c r="A30" s="0" t="n">
        <v>7</v>
      </c>
      <c r="B30" s="0" t="n">
        <v>4</v>
      </c>
      <c r="C30" s="0" t="inlineStr">
        <is>
          <t>T1496.001</t>
        </is>
      </c>
      <c r="D30" s="0" t="n">
        <v>0.72</v>
      </c>
      <c r="E30" s="0" t="n">
        <v>3</v>
      </c>
      <c r="F30" s="0" t="n">
        <v>0.28</v>
      </c>
      <c r="G30" s="0" t="n">
        <v>2</v>
      </c>
    </row>
    <row r="31">
      <c r="A31" s="0" t="n">
        <v>8</v>
      </c>
      <c r="B31" s="0" t="n">
        <v>1</v>
      </c>
      <c r="C31" s="0" t="inlineStr">
        <is>
          <t>T1190</t>
        </is>
      </c>
      <c r="D31" s="0" t="n">
        <v>0.9</v>
      </c>
      <c r="E31" s="0" t="n">
        <v>3</v>
      </c>
      <c r="F31" s="0" t="n">
        <v>0.46</v>
      </c>
      <c r="G31" s="0" t="n">
        <v>2</v>
      </c>
    </row>
    <row r="32">
      <c r="A32" s="0" t="n">
        <v>8</v>
      </c>
      <c r="B32" s="0" t="n">
        <v>2</v>
      </c>
      <c r="C32" s="0" t="inlineStr">
        <is>
          <t>T1578.002</t>
        </is>
      </c>
      <c r="D32" s="0" t="n">
        <v>0.36</v>
      </c>
      <c r="E32" s="0" t="n">
        <v>2</v>
      </c>
      <c r="F32" s="0" t="n">
        <v>0.46</v>
      </c>
      <c r="G32" s="0" t="n">
        <v>2</v>
      </c>
    </row>
    <row r="33">
      <c r="A33" s="0" t="n">
        <v>8</v>
      </c>
      <c r="B33" s="0" t="n">
        <v>3</v>
      </c>
      <c r="C33" s="0" t="inlineStr">
        <is>
          <t>T1555.006</t>
        </is>
      </c>
      <c r="D33" s="0" t="n">
        <v>0.36</v>
      </c>
      <c r="E33" s="0" t="n">
        <v>2</v>
      </c>
      <c r="F33" s="0" t="n">
        <v>0.1</v>
      </c>
      <c r="G33" s="0" t="n">
        <v>3</v>
      </c>
    </row>
    <row r="34">
      <c r="A34" s="0" t="n">
        <v>8</v>
      </c>
      <c r="B34" s="0" t="n">
        <v>4</v>
      </c>
      <c r="C34" s="0" t="inlineStr">
        <is>
          <t>T1486</t>
        </is>
      </c>
      <c r="D34" s="0" t="n">
        <v>0.9</v>
      </c>
      <c r="E34" s="0" t="n">
        <v>3</v>
      </c>
      <c r="F34" s="0" t="n">
        <v>0.1</v>
      </c>
      <c r="G34" s="0" t="n">
        <v>3</v>
      </c>
    </row>
    <row r="35">
      <c r="A35" s="0" t="n">
        <v>9</v>
      </c>
      <c r="B35" s="0" t="n">
        <v>1</v>
      </c>
      <c r="C35" s="0" t="inlineStr">
        <is>
          <t>T1190</t>
        </is>
      </c>
      <c r="D35" s="0" t="n">
        <v>0.9</v>
      </c>
      <c r="E35" s="0" t="n">
        <v>3</v>
      </c>
      <c r="F35" s="0" t="n">
        <v>0.46</v>
      </c>
      <c r="G35" s="0" t="n">
        <v>2</v>
      </c>
    </row>
    <row r="36">
      <c r="A36" s="0" t="n">
        <v>9</v>
      </c>
      <c r="B36" s="0" t="n">
        <v>2</v>
      </c>
      <c r="C36" s="0" t="inlineStr">
        <is>
          <t>T1578.002</t>
        </is>
      </c>
      <c r="D36" s="0" t="n">
        <v>0.36</v>
      </c>
      <c r="E36" s="0" t="n">
        <v>2</v>
      </c>
      <c r="F36" s="0" t="n">
        <v>0.46</v>
      </c>
      <c r="G36" s="0" t="n">
        <v>2</v>
      </c>
    </row>
    <row r="37">
      <c r="A37" s="0" t="n">
        <v>9</v>
      </c>
      <c r="B37" s="0" t="n">
        <v>3</v>
      </c>
      <c r="C37" s="0" t="inlineStr">
        <is>
          <t>T1555.006</t>
        </is>
      </c>
      <c r="D37" s="0" t="n">
        <v>0.36</v>
      </c>
      <c r="E37" s="0" t="n">
        <v>2</v>
      </c>
      <c r="F37" s="0" t="n">
        <v>0.1</v>
      </c>
      <c r="G37" s="0" t="n">
        <v>3</v>
      </c>
    </row>
    <row r="38">
      <c r="A38" s="0" t="n">
        <v>9</v>
      </c>
      <c r="B38" s="0" t="n">
        <v>4</v>
      </c>
      <c r="C38" s="0" t="inlineStr">
        <is>
          <t>T1496.002</t>
        </is>
      </c>
      <c r="D38" s="0" t="n">
        <v>0.18</v>
      </c>
      <c r="E38" s="0" t="n">
        <v>1</v>
      </c>
      <c r="F38" s="0" t="n">
        <v>0.46</v>
      </c>
      <c r="G38" s="0" t="n">
        <v>2</v>
      </c>
    </row>
    <row r="39">
      <c r="A39" s="0" t="n">
        <v>10</v>
      </c>
      <c r="B39" s="0" t="n">
        <v>1</v>
      </c>
      <c r="C39" s="0" t="inlineStr">
        <is>
          <t>T1190</t>
        </is>
      </c>
      <c r="D39" s="0" t="n">
        <v>0.9</v>
      </c>
      <c r="E39" s="0" t="n">
        <v>3</v>
      </c>
      <c r="F39" s="0" t="n">
        <v>0.46</v>
      </c>
      <c r="G39" s="0" t="n">
        <v>2</v>
      </c>
    </row>
    <row r="40">
      <c r="A40" s="0" t="n">
        <v>10</v>
      </c>
      <c r="B40" s="0" t="n">
        <v>2</v>
      </c>
      <c r="C40" s="0" t="inlineStr">
        <is>
          <t>T1578.002</t>
        </is>
      </c>
      <c r="D40" s="0" t="n">
        <v>0.36</v>
      </c>
      <c r="E40" s="0" t="n">
        <v>2</v>
      </c>
      <c r="F40" s="0" t="n">
        <v>0.46</v>
      </c>
      <c r="G40" s="0" t="n">
        <v>2</v>
      </c>
    </row>
    <row r="41">
      <c r="A41" s="0" t="n">
        <v>10</v>
      </c>
      <c r="B41" s="0" t="n">
        <v>3</v>
      </c>
      <c r="C41" s="0" t="inlineStr">
        <is>
          <t>T1059.009</t>
        </is>
      </c>
      <c r="D41" s="0" t="n">
        <v>0.36</v>
      </c>
      <c r="E41" s="0" t="n">
        <v>2</v>
      </c>
      <c r="F41" s="0" t="n">
        <v>0.1</v>
      </c>
      <c r="G41" s="0" t="n">
        <v>3</v>
      </c>
    </row>
    <row r="42">
      <c r="A42" s="0" t="n">
        <v>10</v>
      </c>
      <c r="B42" s="0" t="n">
        <v>4</v>
      </c>
      <c r="C42" s="0" t="inlineStr">
        <is>
          <t>T1496.004</t>
        </is>
      </c>
      <c r="D42" s="0" t="n">
        <v>0.18</v>
      </c>
      <c r="E42" s="0" t="n">
        <v>1</v>
      </c>
      <c r="F42" s="0" t="n">
        <v>0.28</v>
      </c>
      <c r="G42" s="0" t="n">
        <v>2</v>
      </c>
    </row>
    <row r="43">
      <c r="A43" s="0" t="n">
        <v>11</v>
      </c>
      <c r="B43" s="0" t="n">
        <v>1</v>
      </c>
      <c r="C43" s="0" t="inlineStr">
        <is>
          <t>T1190</t>
        </is>
      </c>
      <c r="D43" s="0" t="n">
        <v>0.9</v>
      </c>
      <c r="E43" s="0" t="n">
        <v>3</v>
      </c>
      <c r="F43" s="0" t="n">
        <v>0.46</v>
      </c>
      <c r="G43" s="0" t="n">
        <v>2</v>
      </c>
    </row>
    <row r="44">
      <c r="A44" s="0" t="n">
        <v>11</v>
      </c>
      <c r="B44" s="0" t="n">
        <v>2</v>
      </c>
      <c r="C44" s="0" t="inlineStr">
        <is>
          <t>T1578.002</t>
        </is>
      </c>
      <c r="D44" s="0" t="n">
        <v>0.36</v>
      </c>
      <c r="E44" s="0" t="n">
        <v>2</v>
      </c>
      <c r="F44" s="0" t="n">
        <v>0.46</v>
      </c>
      <c r="G44" s="0" t="n">
        <v>2</v>
      </c>
    </row>
    <row r="45">
      <c r="A45" s="0" t="n">
        <v>11</v>
      </c>
      <c r="B45" s="0" t="n">
        <v>3</v>
      </c>
      <c r="C45" s="0" t="inlineStr">
        <is>
          <t>T1059.009</t>
        </is>
      </c>
      <c r="D45" s="0" t="n">
        <v>0.36</v>
      </c>
      <c r="E45" s="0" t="n">
        <v>2</v>
      </c>
      <c r="F45" s="0" t="n">
        <v>0.1</v>
      </c>
      <c r="G45" s="0" t="n">
        <v>3</v>
      </c>
    </row>
    <row r="46">
      <c r="A46" s="0" t="n">
        <v>11</v>
      </c>
      <c r="B46" s="0" t="n">
        <v>4</v>
      </c>
      <c r="C46" s="0" t="inlineStr">
        <is>
          <t>T1496.001</t>
        </is>
      </c>
      <c r="D46" s="0" t="n">
        <v>0.72</v>
      </c>
      <c r="E46" s="0" t="n">
        <v>3</v>
      </c>
      <c r="F46" s="0" t="n">
        <v>0.28</v>
      </c>
      <c r="G46" s="0" t="n">
        <v>2</v>
      </c>
    </row>
    <row r="47">
      <c r="A47" s="0" t="n">
        <v>12</v>
      </c>
      <c r="B47" s="0" t="n">
        <v>1</v>
      </c>
      <c r="C47" s="0" t="inlineStr">
        <is>
          <t>T1190</t>
        </is>
      </c>
      <c r="D47" s="0" t="n">
        <v>0.9</v>
      </c>
      <c r="E47" s="0" t="n">
        <v>3</v>
      </c>
      <c r="F47" s="0" t="n">
        <v>0.46</v>
      </c>
      <c r="G47" s="0" t="n">
        <v>2</v>
      </c>
    </row>
    <row r="48">
      <c r="A48" s="0" t="n">
        <v>12</v>
      </c>
      <c r="B48" s="0" t="n">
        <v>2</v>
      </c>
      <c r="C48" s="0" t="inlineStr">
        <is>
          <t>T1578.002</t>
        </is>
      </c>
      <c r="D48" s="0" t="n">
        <v>0.36</v>
      </c>
      <c r="E48" s="0" t="n">
        <v>2</v>
      </c>
      <c r="F48" s="0" t="n">
        <v>0.46</v>
      </c>
      <c r="G48" s="0" t="n">
        <v>2</v>
      </c>
    </row>
    <row r="49">
      <c r="A49" s="0" t="n">
        <v>12</v>
      </c>
      <c r="B49" s="0" t="n">
        <v>3</v>
      </c>
      <c r="C49" s="0" t="inlineStr">
        <is>
          <t>T1059.009</t>
        </is>
      </c>
      <c r="D49" s="0" t="n">
        <v>0.36</v>
      </c>
      <c r="E49" s="0" t="n">
        <v>2</v>
      </c>
      <c r="F49" s="0" t="n">
        <v>0.1</v>
      </c>
      <c r="G49" s="0" t="n">
        <v>3</v>
      </c>
    </row>
    <row r="50">
      <c r="A50" s="0" t="n">
        <v>12</v>
      </c>
      <c r="B50" s="0" t="n">
        <v>4</v>
      </c>
      <c r="C50" s="0" t="inlineStr">
        <is>
          <t>T1486</t>
        </is>
      </c>
      <c r="D50" s="0" t="n">
        <v>0.9</v>
      </c>
      <c r="E50" s="0" t="n">
        <v>3</v>
      </c>
      <c r="F50" s="0" t="n">
        <v>0.1</v>
      </c>
      <c r="G50" s="0" t="n">
        <v>3</v>
      </c>
    </row>
    <row r="51">
      <c r="A51" s="0" t="n">
        <v>13</v>
      </c>
      <c r="B51" s="0" t="n">
        <v>1</v>
      </c>
      <c r="C51" s="0" t="inlineStr">
        <is>
          <t>T1190</t>
        </is>
      </c>
      <c r="D51" s="0" t="n">
        <v>0.9</v>
      </c>
      <c r="E51" s="0" t="n">
        <v>3</v>
      </c>
      <c r="F51" s="0" t="n">
        <v>0.46</v>
      </c>
      <c r="G51" s="0" t="n">
        <v>2</v>
      </c>
    </row>
    <row r="52">
      <c r="A52" s="0" t="n">
        <v>13</v>
      </c>
      <c r="B52" s="0" t="n">
        <v>2</v>
      </c>
      <c r="C52" s="0" t="inlineStr">
        <is>
          <t>T1578.002</t>
        </is>
      </c>
      <c r="D52" s="0" t="n">
        <v>0.36</v>
      </c>
      <c r="E52" s="0" t="n">
        <v>2</v>
      </c>
      <c r="F52" s="0" t="n">
        <v>0.46</v>
      </c>
      <c r="G52" s="0" t="n">
        <v>2</v>
      </c>
    </row>
    <row r="53">
      <c r="A53" s="0" t="n">
        <v>13</v>
      </c>
      <c r="B53" s="0" t="n">
        <v>3</v>
      </c>
      <c r="C53" s="0" t="inlineStr">
        <is>
          <t>T1059.009</t>
        </is>
      </c>
      <c r="D53" s="0" t="n">
        <v>0.36</v>
      </c>
      <c r="E53" s="0" t="n">
        <v>2</v>
      </c>
      <c r="F53" s="0" t="n">
        <v>0.1</v>
      </c>
      <c r="G53" s="0" t="n">
        <v>3</v>
      </c>
    </row>
    <row r="54">
      <c r="A54" s="0" t="n">
        <v>13</v>
      </c>
      <c r="B54" s="0" t="n">
        <v>4</v>
      </c>
      <c r="C54" s="0" t="inlineStr">
        <is>
          <t>T1496.002</t>
        </is>
      </c>
      <c r="D54" s="0" t="n">
        <v>0.18</v>
      </c>
      <c r="E54" s="0" t="n">
        <v>1</v>
      </c>
      <c r="F54" s="0" t="n">
        <v>0.46</v>
      </c>
      <c r="G54" s="0" t="n">
        <v>2</v>
      </c>
    </row>
    <row r="55">
      <c r="A55" s="0" t="n">
        <v>14</v>
      </c>
      <c r="B55" s="0" t="n">
        <v>1</v>
      </c>
      <c r="C55" s="0" t="inlineStr">
        <is>
          <t>T1190</t>
        </is>
      </c>
      <c r="D55" s="0" t="n">
        <v>0.9</v>
      </c>
      <c r="E55" s="0" t="n">
        <v>3</v>
      </c>
      <c r="F55" s="0" t="n">
        <v>0.46</v>
      </c>
      <c r="G55" s="0" t="n">
        <v>2</v>
      </c>
    </row>
    <row r="56">
      <c r="A56" s="0" t="n">
        <v>14</v>
      </c>
      <c r="B56" s="0" t="n">
        <v>2</v>
      </c>
      <c r="C56" s="0" t="inlineStr">
        <is>
          <t>T1578.002</t>
        </is>
      </c>
      <c r="D56" s="0" t="n">
        <v>0.36</v>
      </c>
      <c r="E56" s="0" t="n">
        <v>2</v>
      </c>
      <c r="F56" s="0" t="n">
        <v>0.46</v>
      </c>
      <c r="G56" s="0" t="n">
        <v>2</v>
      </c>
    </row>
    <row r="57">
      <c r="A57" s="0" t="n">
        <v>14</v>
      </c>
      <c r="B57" s="0" t="n">
        <v>3</v>
      </c>
      <c r="C57" s="0" t="inlineStr">
        <is>
          <t>T1484.002</t>
        </is>
      </c>
      <c r="D57" s="0" t="n">
        <v>0.36</v>
      </c>
      <c r="E57" s="0" t="n">
        <v>2</v>
      </c>
      <c r="F57" s="0" t="n">
        <v>0.1</v>
      </c>
      <c r="G57" s="0" t="n">
        <v>3</v>
      </c>
    </row>
    <row r="58">
      <c r="A58" s="0" t="n">
        <v>14</v>
      </c>
      <c r="B58" s="0" t="n">
        <v>4</v>
      </c>
      <c r="C58" s="0" t="inlineStr">
        <is>
          <t>T1496.004</t>
        </is>
      </c>
      <c r="D58" s="0" t="n">
        <v>0.18</v>
      </c>
      <c r="E58" s="0" t="n">
        <v>1</v>
      </c>
      <c r="F58" s="0" t="n">
        <v>0.28</v>
      </c>
      <c r="G58" s="0" t="n">
        <v>2</v>
      </c>
    </row>
    <row r="59">
      <c r="A59" s="0" t="n">
        <v>15</v>
      </c>
      <c r="B59" s="0" t="n">
        <v>1</v>
      </c>
      <c r="C59" s="0" t="inlineStr">
        <is>
          <t>T1190</t>
        </is>
      </c>
      <c r="D59" s="0" t="n">
        <v>0.9</v>
      </c>
      <c r="E59" s="0" t="n">
        <v>3</v>
      </c>
      <c r="F59" s="0" t="n">
        <v>0.46</v>
      </c>
      <c r="G59" s="0" t="n">
        <v>2</v>
      </c>
    </row>
    <row r="60">
      <c r="A60" s="0" t="n">
        <v>15</v>
      </c>
      <c r="B60" s="0" t="n">
        <v>2</v>
      </c>
      <c r="C60" s="0" t="inlineStr">
        <is>
          <t>T1578.002</t>
        </is>
      </c>
      <c r="D60" s="0" t="n">
        <v>0.36</v>
      </c>
      <c r="E60" s="0" t="n">
        <v>2</v>
      </c>
      <c r="F60" s="0" t="n">
        <v>0.46</v>
      </c>
      <c r="G60" s="0" t="n">
        <v>2</v>
      </c>
    </row>
    <row r="61">
      <c r="A61" s="0" t="n">
        <v>15</v>
      </c>
      <c r="B61" s="0" t="n">
        <v>3</v>
      </c>
      <c r="C61" s="0" t="inlineStr">
        <is>
          <t>T1484.002</t>
        </is>
      </c>
      <c r="D61" s="0" t="n">
        <v>0.36</v>
      </c>
      <c r="E61" s="0" t="n">
        <v>2</v>
      </c>
      <c r="F61" s="0" t="n">
        <v>0.1</v>
      </c>
      <c r="G61" s="0" t="n">
        <v>3</v>
      </c>
    </row>
    <row r="62">
      <c r="A62" s="0" t="n">
        <v>15</v>
      </c>
      <c r="B62" s="0" t="n">
        <v>4</v>
      </c>
      <c r="C62" s="0" t="inlineStr">
        <is>
          <t>T1496.001</t>
        </is>
      </c>
      <c r="D62" s="0" t="n">
        <v>0.72</v>
      </c>
      <c r="E62" s="0" t="n">
        <v>3</v>
      </c>
      <c r="F62" s="0" t="n">
        <v>0.28</v>
      </c>
      <c r="G62" s="0" t="n">
        <v>2</v>
      </c>
    </row>
    <row r="63">
      <c r="A63" s="0" t="n">
        <v>16</v>
      </c>
      <c r="B63" s="0" t="n">
        <v>1</v>
      </c>
      <c r="C63" s="0" t="inlineStr">
        <is>
          <t>T1190</t>
        </is>
      </c>
      <c r="D63" s="0" t="n">
        <v>0.9</v>
      </c>
      <c r="E63" s="0" t="n">
        <v>3</v>
      </c>
      <c r="F63" s="0" t="n">
        <v>0.46</v>
      </c>
      <c r="G63" s="0" t="n">
        <v>2</v>
      </c>
    </row>
    <row r="64">
      <c r="A64" s="0" t="n">
        <v>16</v>
      </c>
      <c r="B64" s="0" t="n">
        <v>2</v>
      </c>
      <c r="C64" s="0" t="inlineStr">
        <is>
          <t>T1578.002</t>
        </is>
      </c>
      <c r="D64" s="0" t="n">
        <v>0.36</v>
      </c>
      <c r="E64" s="0" t="n">
        <v>2</v>
      </c>
      <c r="F64" s="0" t="n">
        <v>0.46</v>
      </c>
      <c r="G64" s="0" t="n">
        <v>2</v>
      </c>
    </row>
    <row r="65">
      <c r="A65" s="0" t="n">
        <v>16</v>
      </c>
      <c r="B65" s="0" t="n">
        <v>3</v>
      </c>
      <c r="C65" s="0" t="inlineStr">
        <is>
          <t>T1484.002</t>
        </is>
      </c>
      <c r="D65" s="0" t="n">
        <v>0.36</v>
      </c>
      <c r="E65" s="0" t="n">
        <v>2</v>
      </c>
      <c r="F65" s="0" t="n">
        <v>0.1</v>
      </c>
      <c r="G65" s="0" t="n">
        <v>3</v>
      </c>
    </row>
    <row r="66">
      <c r="A66" s="0" t="n">
        <v>16</v>
      </c>
      <c r="B66" s="0" t="n">
        <v>4</v>
      </c>
      <c r="C66" s="0" t="inlineStr">
        <is>
          <t>T1486</t>
        </is>
      </c>
      <c r="D66" s="0" t="n">
        <v>0.9</v>
      </c>
      <c r="E66" s="0" t="n">
        <v>3</v>
      </c>
      <c r="F66" s="0" t="n">
        <v>0.1</v>
      </c>
      <c r="G66" s="0" t="n">
        <v>3</v>
      </c>
    </row>
    <row r="67">
      <c r="A67" s="0" t="n">
        <v>17</v>
      </c>
      <c r="B67" s="0" t="n">
        <v>1</v>
      </c>
      <c r="C67" s="0" t="inlineStr">
        <is>
          <t>T1190</t>
        </is>
      </c>
      <c r="D67" s="0" t="n">
        <v>0.9</v>
      </c>
      <c r="E67" s="0" t="n">
        <v>3</v>
      </c>
      <c r="F67" s="0" t="n">
        <v>0.46</v>
      </c>
      <c r="G67" s="0" t="n">
        <v>2</v>
      </c>
    </row>
    <row r="68">
      <c r="A68" s="0" t="n">
        <v>17</v>
      </c>
      <c r="B68" s="0" t="n">
        <v>2</v>
      </c>
      <c r="C68" s="0" t="inlineStr">
        <is>
          <t>T1578.002</t>
        </is>
      </c>
      <c r="D68" s="0" t="n">
        <v>0.36</v>
      </c>
      <c r="E68" s="0" t="n">
        <v>2</v>
      </c>
      <c r="F68" s="0" t="n">
        <v>0.46</v>
      </c>
      <c r="G68" s="0" t="n">
        <v>2</v>
      </c>
    </row>
    <row r="69">
      <c r="A69" s="0" t="n">
        <v>17</v>
      </c>
      <c r="B69" s="0" t="n">
        <v>3</v>
      </c>
      <c r="C69" s="0" t="inlineStr">
        <is>
          <t>T1484.002</t>
        </is>
      </c>
      <c r="D69" s="0" t="n">
        <v>0.36</v>
      </c>
      <c r="E69" s="0" t="n">
        <v>2</v>
      </c>
      <c r="F69" s="0" t="n">
        <v>0.1</v>
      </c>
      <c r="G69" s="0" t="n">
        <v>3</v>
      </c>
    </row>
    <row r="70">
      <c r="A70" s="0" t="n">
        <v>17</v>
      </c>
      <c r="B70" s="0" t="n">
        <v>4</v>
      </c>
      <c r="C70" s="0" t="inlineStr">
        <is>
          <t>T1496.002</t>
        </is>
      </c>
      <c r="D70" s="0" t="n">
        <v>0.18</v>
      </c>
      <c r="E70" s="0" t="n">
        <v>1</v>
      </c>
      <c r="F70" s="0" t="n">
        <v>0.46</v>
      </c>
      <c r="G70" s="0" t="n">
        <v>2</v>
      </c>
    </row>
    <row r="71">
      <c r="A71" s="0" t="n">
        <v>18</v>
      </c>
      <c r="B71" s="0" t="n">
        <v>1</v>
      </c>
      <c r="C71" s="0" t="inlineStr">
        <is>
          <t>T1190</t>
        </is>
      </c>
      <c r="D71" s="0" t="n">
        <v>0.9</v>
      </c>
      <c r="E71" s="0" t="n">
        <v>3</v>
      </c>
      <c r="F71" s="0" t="n">
        <v>0.46</v>
      </c>
      <c r="G71" s="0" t="n">
        <v>2</v>
      </c>
    </row>
    <row r="72">
      <c r="A72" s="0" t="n">
        <v>18</v>
      </c>
      <c r="B72" s="0" t="n">
        <v>2</v>
      </c>
      <c r="C72" s="0" t="inlineStr">
        <is>
          <t>T1021.007</t>
        </is>
      </c>
      <c r="D72" s="0" t="n">
        <v>0.36</v>
      </c>
      <c r="E72" s="0" t="n">
        <v>2</v>
      </c>
      <c r="F72" s="0" t="n">
        <v>0.1</v>
      </c>
      <c r="G72" s="0" t="n">
        <v>3</v>
      </c>
    </row>
    <row r="73">
      <c r="A73" s="0" t="n">
        <v>18</v>
      </c>
      <c r="B73" s="0" t="n">
        <v>3</v>
      </c>
      <c r="C73" s="0" t="inlineStr">
        <is>
          <t>T1651</t>
        </is>
      </c>
      <c r="D73" s="0" t="n">
        <v>0.36</v>
      </c>
      <c r="E73" s="0" t="n">
        <v>2</v>
      </c>
      <c r="F73" s="0" t="n">
        <v>0.1</v>
      </c>
      <c r="G73" s="0" t="n">
        <v>3</v>
      </c>
    </row>
    <row r="74">
      <c r="A74" s="0" t="n">
        <v>18</v>
      </c>
      <c r="B74" s="0" t="n">
        <v>4</v>
      </c>
      <c r="C74" s="0" t="inlineStr">
        <is>
          <t>T1496.004</t>
        </is>
      </c>
      <c r="D74" s="0" t="n">
        <v>0.18</v>
      </c>
      <c r="E74" s="0" t="n">
        <v>1</v>
      </c>
      <c r="F74" s="0" t="n">
        <v>0.28</v>
      </c>
      <c r="G74" s="0" t="n">
        <v>2</v>
      </c>
    </row>
    <row r="75">
      <c r="A75" s="0" t="n">
        <v>19</v>
      </c>
      <c r="B75" s="0" t="n">
        <v>1</v>
      </c>
      <c r="C75" s="0" t="inlineStr">
        <is>
          <t>T1190</t>
        </is>
      </c>
      <c r="D75" s="0" t="n">
        <v>0.9</v>
      </c>
      <c r="E75" s="0" t="n">
        <v>3</v>
      </c>
      <c r="F75" s="0" t="n">
        <v>0.46</v>
      </c>
      <c r="G75" s="0" t="n">
        <v>2</v>
      </c>
    </row>
    <row r="76">
      <c r="A76" s="0" t="n">
        <v>19</v>
      </c>
      <c r="B76" s="0" t="n">
        <v>2</v>
      </c>
      <c r="C76" s="0" t="inlineStr">
        <is>
          <t>T1021.007</t>
        </is>
      </c>
      <c r="D76" s="0" t="n">
        <v>0.36</v>
      </c>
      <c r="E76" s="0" t="n">
        <v>2</v>
      </c>
      <c r="F76" s="0" t="n">
        <v>0.1</v>
      </c>
      <c r="G76" s="0" t="n">
        <v>3</v>
      </c>
    </row>
    <row r="77">
      <c r="A77" s="0" t="n">
        <v>19</v>
      </c>
      <c r="B77" s="0" t="n">
        <v>3</v>
      </c>
      <c r="C77" s="0" t="inlineStr">
        <is>
          <t>T1651</t>
        </is>
      </c>
      <c r="D77" s="0" t="n">
        <v>0.36</v>
      </c>
      <c r="E77" s="0" t="n">
        <v>2</v>
      </c>
      <c r="F77" s="0" t="n">
        <v>0.1</v>
      </c>
      <c r="G77" s="0" t="n">
        <v>3</v>
      </c>
    </row>
    <row r="78">
      <c r="A78" s="0" t="n">
        <v>19</v>
      </c>
      <c r="B78" s="0" t="n">
        <v>4</v>
      </c>
      <c r="C78" s="0" t="inlineStr">
        <is>
          <t>T1496.001</t>
        </is>
      </c>
      <c r="D78" s="0" t="n">
        <v>0.72</v>
      </c>
      <c r="E78" s="0" t="n">
        <v>3</v>
      </c>
      <c r="F78" s="0" t="n">
        <v>0.28</v>
      </c>
      <c r="G78" s="0" t="n">
        <v>2</v>
      </c>
    </row>
    <row r="79">
      <c r="A79" s="0" t="n">
        <v>20</v>
      </c>
      <c r="B79" s="0" t="n">
        <v>1</v>
      </c>
      <c r="C79" s="0" t="inlineStr">
        <is>
          <t>T1190</t>
        </is>
      </c>
      <c r="D79" s="0" t="n">
        <v>0.9</v>
      </c>
      <c r="E79" s="0" t="n">
        <v>3</v>
      </c>
      <c r="F79" s="0" t="n">
        <v>0.46</v>
      </c>
      <c r="G79" s="0" t="n">
        <v>2</v>
      </c>
    </row>
    <row r="80">
      <c r="A80" s="0" t="n">
        <v>20</v>
      </c>
      <c r="B80" s="0" t="n">
        <v>2</v>
      </c>
      <c r="C80" s="0" t="inlineStr">
        <is>
          <t>T1021.007</t>
        </is>
      </c>
      <c r="D80" s="0" t="n">
        <v>0.36</v>
      </c>
      <c r="E80" s="0" t="n">
        <v>2</v>
      </c>
      <c r="F80" s="0" t="n">
        <v>0.1</v>
      </c>
      <c r="G80" s="0" t="n">
        <v>3</v>
      </c>
    </row>
    <row r="81">
      <c r="A81" s="0" t="n">
        <v>20</v>
      </c>
      <c r="B81" s="0" t="n">
        <v>3</v>
      </c>
      <c r="C81" s="0" t="inlineStr">
        <is>
          <t>T1651</t>
        </is>
      </c>
      <c r="D81" s="0" t="n">
        <v>0.36</v>
      </c>
      <c r="E81" s="0" t="n">
        <v>2</v>
      </c>
      <c r="F81" s="0" t="n">
        <v>0.1</v>
      </c>
      <c r="G81" s="0" t="n">
        <v>3</v>
      </c>
    </row>
    <row r="82">
      <c r="A82" s="0" t="n">
        <v>20</v>
      </c>
      <c r="B82" s="0" t="n">
        <v>4</v>
      </c>
      <c r="C82" s="0" t="inlineStr">
        <is>
          <t>T1486</t>
        </is>
      </c>
      <c r="D82" s="0" t="n">
        <v>0.9</v>
      </c>
      <c r="E82" s="0" t="n">
        <v>3</v>
      </c>
      <c r="F82" s="0" t="n">
        <v>0.1</v>
      </c>
      <c r="G82" s="0" t="n">
        <v>3</v>
      </c>
    </row>
    <row r="83">
      <c r="A83" s="0" t="n">
        <v>21</v>
      </c>
      <c r="B83" s="0" t="n">
        <v>1</v>
      </c>
      <c r="C83" s="0" t="inlineStr">
        <is>
          <t>T1190</t>
        </is>
      </c>
      <c r="D83" s="0" t="n">
        <v>0.9</v>
      </c>
      <c r="E83" s="0" t="n">
        <v>3</v>
      </c>
      <c r="F83" s="0" t="n">
        <v>0.46</v>
      </c>
      <c r="G83" s="0" t="n">
        <v>2</v>
      </c>
    </row>
    <row r="84">
      <c r="A84" s="0" t="n">
        <v>21</v>
      </c>
      <c r="B84" s="0" t="n">
        <v>2</v>
      </c>
      <c r="C84" s="0" t="inlineStr">
        <is>
          <t>T1021.007</t>
        </is>
      </c>
      <c r="D84" s="0" t="n">
        <v>0.36</v>
      </c>
      <c r="E84" s="0" t="n">
        <v>2</v>
      </c>
      <c r="F84" s="0" t="n">
        <v>0.1</v>
      </c>
      <c r="G84" s="0" t="n">
        <v>3</v>
      </c>
    </row>
    <row r="85">
      <c r="A85" s="0" t="n">
        <v>21</v>
      </c>
      <c r="B85" s="0" t="n">
        <v>3</v>
      </c>
      <c r="C85" s="0" t="inlineStr">
        <is>
          <t>T1651</t>
        </is>
      </c>
      <c r="D85" s="0" t="n">
        <v>0.36</v>
      </c>
      <c r="E85" s="0" t="n">
        <v>2</v>
      </c>
      <c r="F85" s="0" t="n">
        <v>0.1</v>
      </c>
      <c r="G85" s="0" t="n">
        <v>3</v>
      </c>
    </row>
    <row r="86">
      <c r="A86" s="0" t="n">
        <v>21</v>
      </c>
      <c r="B86" s="0" t="n">
        <v>4</v>
      </c>
      <c r="C86" s="0" t="inlineStr">
        <is>
          <t>T1496.002</t>
        </is>
      </c>
      <c r="D86" s="0" t="n">
        <v>0.18</v>
      </c>
      <c r="E86" s="0" t="n">
        <v>1</v>
      </c>
      <c r="F86" s="0" t="n">
        <v>0.46</v>
      </c>
      <c r="G86" s="0" t="n">
        <v>2</v>
      </c>
    </row>
    <row r="87">
      <c r="A87" s="0" t="n">
        <v>22</v>
      </c>
      <c r="B87" s="0" t="n">
        <v>1</v>
      </c>
      <c r="C87" s="0" t="inlineStr">
        <is>
          <t>T1190</t>
        </is>
      </c>
      <c r="D87" s="0" t="n">
        <v>0.9</v>
      </c>
      <c r="E87" s="0" t="n">
        <v>3</v>
      </c>
      <c r="F87" s="0" t="n">
        <v>0.46</v>
      </c>
      <c r="G87" s="0" t="n">
        <v>2</v>
      </c>
    </row>
    <row r="88">
      <c r="A88" s="0" t="n">
        <v>22</v>
      </c>
      <c r="B88" s="0" t="n">
        <v>2</v>
      </c>
      <c r="C88" s="0" t="inlineStr">
        <is>
          <t>T1021.007</t>
        </is>
      </c>
      <c r="D88" s="0" t="n">
        <v>0.36</v>
      </c>
      <c r="E88" s="0" t="n">
        <v>2</v>
      </c>
      <c r="F88" s="0" t="n">
        <v>0.1</v>
      </c>
      <c r="G88" s="0" t="n">
        <v>3</v>
      </c>
    </row>
    <row r="89">
      <c r="A89" s="0" t="n">
        <v>22</v>
      </c>
      <c r="B89" s="0" t="n">
        <v>3</v>
      </c>
      <c r="C89" s="0" t="inlineStr">
        <is>
          <t>T1555.006</t>
        </is>
      </c>
      <c r="D89" s="0" t="n">
        <v>0.36</v>
      </c>
      <c r="E89" s="0" t="n">
        <v>2</v>
      </c>
      <c r="F89" s="0" t="n">
        <v>0.1</v>
      </c>
      <c r="G89" s="0" t="n">
        <v>3</v>
      </c>
    </row>
    <row r="90">
      <c r="A90" s="0" t="n">
        <v>22</v>
      </c>
      <c r="B90" s="0" t="n">
        <v>4</v>
      </c>
      <c r="C90" s="0" t="inlineStr">
        <is>
          <t>T1496.004</t>
        </is>
      </c>
      <c r="D90" s="0" t="n">
        <v>0.18</v>
      </c>
      <c r="E90" s="0" t="n">
        <v>1</v>
      </c>
      <c r="F90" s="0" t="n">
        <v>0.28</v>
      </c>
      <c r="G90" s="0" t="n">
        <v>2</v>
      </c>
    </row>
    <row r="91">
      <c r="A91" s="0" t="n">
        <v>23</v>
      </c>
      <c r="B91" s="0" t="n">
        <v>1</v>
      </c>
      <c r="C91" s="0" t="inlineStr">
        <is>
          <t>T1190</t>
        </is>
      </c>
      <c r="D91" s="0" t="n">
        <v>0.9</v>
      </c>
      <c r="E91" s="0" t="n">
        <v>3</v>
      </c>
      <c r="F91" s="0" t="n">
        <v>0.46</v>
      </c>
      <c r="G91" s="0" t="n">
        <v>2</v>
      </c>
    </row>
    <row r="92">
      <c r="A92" s="0" t="n">
        <v>23</v>
      </c>
      <c r="B92" s="0" t="n">
        <v>2</v>
      </c>
      <c r="C92" s="0" t="inlineStr">
        <is>
          <t>T1021.007</t>
        </is>
      </c>
      <c r="D92" s="0" t="n">
        <v>0.36</v>
      </c>
      <c r="E92" s="0" t="n">
        <v>2</v>
      </c>
      <c r="F92" s="0" t="n">
        <v>0.1</v>
      </c>
      <c r="G92" s="0" t="n">
        <v>3</v>
      </c>
    </row>
    <row r="93">
      <c r="A93" s="0" t="n">
        <v>23</v>
      </c>
      <c r="B93" s="0" t="n">
        <v>3</v>
      </c>
      <c r="C93" s="0" t="inlineStr">
        <is>
          <t>T1555.006</t>
        </is>
      </c>
      <c r="D93" s="0" t="n">
        <v>0.36</v>
      </c>
      <c r="E93" s="0" t="n">
        <v>2</v>
      </c>
      <c r="F93" s="0" t="n">
        <v>0.1</v>
      </c>
      <c r="G93" s="0" t="n">
        <v>3</v>
      </c>
    </row>
    <row r="94">
      <c r="A94" s="0" t="n">
        <v>23</v>
      </c>
      <c r="B94" s="0" t="n">
        <v>4</v>
      </c>
      <c r="C94" s="0" t="inlineStr">
        <is>
          <t>T1496.001</t>
        </is>
      </c>
      <c r="D94" s="0" t="n">
        <v>0.72</v>
      </c>
      <c r="E94" s="0" t="n">
        <v>3</v>
      </c>
      <c r="F94" s="0" t="n">
        <v>0.28</v>
      </c>
      <c r="G94" s="0" t="n">
        <v>2</v>
      </c>
    </row>
    <row r="95">
      <c r="A95" s="0" t="n">
        <v>24</v>
      </c>
      <c r="B95" s="0" t="n">
        <v>1</v>
      </c>
      <c r="C95" s="0" t="inlineStr">
        <is>
          <t>T1190</t>
        </is>
      </c>
      <c r="D95" s="0" t="n">
        <v>0.9</v>
      </c>
      <c r="E95" s="0" t="n">
        <v>3</v>
      </c>
      <c r="F95" s="0" t="n">
        <v>0.46</v>
      </c>
      <c r="G95" s="0" t="n">
        <v>2</v>
      </c>
    </row>
    <row r="96">
      <c r="A96" s="0" t="n">
        <v>24</v>
      </c>
      <c r="B96" s="0" t="n">
        <v>2</v>
      </c>
      <c r="C96" s="0" t="inlineStr">
        <is>
          <t>T1021.007</t>
        </is>
      </c>
      <c r="D96" s="0" t="n">
        <v>0.36</v>
      </c>
      <c r="E96" s="0" t="n">
        <v>2</v>
      </c>
      <c r="F96" s="0" t="n">
        <v>0.1</v>
      </c>
      <c r="G96" s="0" t="n">
        <v>3</v>
      </c>
    </row>
    <row r="97">
      <c r="A97" s="0" t="n">
        <v>24</v>
      </c>
      <c r="B97" s="0" t="n">
        <v>3</v>
      </c>
      <c r="C97" s="0" t="inlineStr">
        <is>
          <t>T1555.006</t>
        </is>
      </c>
      <c r="D97" s="0" t="n">
        <v>0.36</v>
      </c>
      <c r="E97" s="0" t="n">
        <v>2</v>
      </c>
      <c r="F97" s="0" t="n">
        <v>0.1</v>
      </c>
      <c r="G97" s="0" t="n">
        <v>3</v>
      </c>
    </row>
    <row r="98">
      <c r="A98" s="0" t="n">
        <v>24</v>
      </c>
      <c r="B98" s="0" t="n">
        <v>4</v>
      </c>
      <c r="C98" s="0" t="inlineStr">
        <is>
          <t>T1486</t>
        </is>
      </c>
      <c r="D98" s="0" t="n">
        <v>0.9</v>
      </c>
      <c r="E98" s="0" t="n">
        <v>3</v>
      </c>
      <c r="F98" s="0" t="n">
        <v>0.1</v>
      </c>
      <c r="G98" s="0" t="n">
        <v>3</v>
      </c>
    </row>
    <row r="99">
      <c r="A99" s="0" t="n">
        <v>25</v>
      </c>
      <c r="B99" s="0" t="n">
        <v>1</v>
      </c>
      <c r="C99" s="0" t="inlineStr">
        <is>
          <t>T1190</t>
        </is>
      </c>
      <c r="D99" s="0" t="n">
        <v>0.9</v>
      </c>
      <c r="E99" s="0" t="n">
        <v>3</v>
      </c>
      <c r="F99" s="0" t="n">
        <v>0.46</v>
      </c>
      <c r="G99" s="0" t="n">
        <v>2</v>
      </c>
    </row>
    <row r="100">
      <c r="A100" s="0" t="n">
        <v>25</v>
      </c>
      <c r="B100" s="0" t="n">
        <v>2</v>
      </c>
      <c r="C100" s="0" t="inlineStr">
        <is>
          <t>T1021.007</t>
        </is>
      </c>
      <c r="D100" s="0" t="n">
        <v>0.36</v>
      </c>
      <c r="E100" s="0" t="n">
        <v>2</v>
      </c>
      <c r="F100" s="0" t="n">
        <v>0.1</v>
      </c>
      <c r="G100" s="0" t="n">
        <v>3</v>
      </c>
    </row>
    <row r="101">
      <c r="A101" s="0" t="n">
        <v>25</v>
      </c>
      <c r="B101" s="0" t="n">
        <v>3</v>
      </c>
      <c r="C101" s="0" t="inlineStr">
        <is>
          <t>T1555.006</t>
        </is>
      </c>
      <c r="D101" s="0" t="n">
        <v>0.36</v>
      </c>
      <c r="E101" s="0" t="n">
        <v>2</v>
      </c>
      <c r="F101" s="0" t="n">
        <v>0.1</v>
      </c>
      <c r="G101" s="0" t="n">
        <v>3</v>
      </c>
    </row>
    <row r="102">
      <c r="A102" s="0" t="n">
        <v>25</v>
      </c>
      <c r="B102" s="0" t="n">
        <v>4</v>
      </c>
      <c r="C102" s="0" t="inlineStr">
        <is>
          <t>T1496.002</t>
        </is>
      </c>
      <c r="D102" s="0" t="n">
        <v>0.18</v>
      </c>
      <c r="E102" s="0" t="n">
        <v>1</v>
      </c>
      <c r="F102" s="0" t="n">
        <v>0.46</v>
      </c>
      <c r="G102" s="0" t="n">
        <v>2</v>
      </c>
    </row>
    <row r="103">
      <c r="A103" s="0" t="n">
        <v>26</v>
      </c>
      <c r="B103" s="0" t="n">
        <v>1</v>
      </c>
      <c r="C103" s="0" t="inlineStr">
        <is>
          <t>T1190</t>
        </is>
      </c>
      <c r="D103" s="0" t="n">
        <v>0.9</v>
      </c>
      <c r="E103" s="0" t="n">
        <v>3</v>
      </c>
      <c r="F103" s="0" t="n">
        <v>0.46</v>
      </c>
      <c r="G103" s="0" t="n">
        <v>2</v>
      </c>
    </row>
    <row r="104">
      <c r="A104" s="0" t="n">
        <v>26</v>
      </c>
      <c r="B104" s="0" t="n">
        <v>2</v>
      </c>
      <c r="C104" s="0" t="inlineStr">
        <is>
          <t>T1021.007</t>
        </is>
      </c>
      <c r="D104" s="0" t="n">
        <v>0.36</v>
      </c>
      <c r="E104" s="0" t="n">
        <v>2</v>
      </c>
      <c r="F104" s="0" t="n">
        <v>0.1</v>
      </c>
      <c r="G104" s="0" t="n">
        <v>3</v>
      </c>
    </row>
    <row r="105">
      <c r="A105" s="0" t="n">
        <v>26</v>
      </c>
      <c r="B105" s="0" t="n">
        <v>3</v>
      </c>
      <c r="C105" s="0" t="inlineStr">
        <is>
          <t>T1059.009</t>
        </is>
      </c>
      <c r="D105" s="0" t="n">
        <v>0.36</v>
      </c>
      <c r="E105" s="0" t="n">
        <v>2</v>
      </c>
      <c r="F105" s="0" t="n">
        <v>0.1</v>
      </c>
      <c r="G105" s="0" t="n">
        <v>3</v>
      </c>
    </row>
    <row r="106">
      <c r="A106" s="0" t="n">
        <v>26</v>
      </c>
      <c r="B106" s="0" t="n">
        <v>4</v>
      </c>
      <c r="C106" s="0" t="inlineStr">
        <is>
          <t>T1496.004</t>
        </is>
      </c>
      <c r="D106" s="0" t="n">
        <v>0.18</v>
      </c>
      <c r="E106" s="0" t="n">
        <v>1</v>
      </c>
      <c r="F106" s="0" t="n">
        <v>0.28</v>
      </c>
      <c r="G106" s="0" t="n">
        <v>2</v>
      </c>
    </row>
    <row r="107">
      <c r="A107" s="0" t="n">
        <v>27</v>
      </c>
      <c r="B107" s="0" t="n">
        <v>1</v>
      </c>
      <c r="C107" s="0" t="inlineStr">
        <is>
          <t>T1190</t>
        </is>
      </c>
      <c r="D107" s="0" t="n">
        <v>0.9</v>
      </c>
      <c r="E107" s="0" t="n">
        <v>3</v>
      </c>
      <c r="F107" s="0" t="n">
        <v>0.46</v>
      </c>
      <c r="G107" s="0" t="n">
        <v>2</v>
      </c>
    </row>
    <row r="108">
      <c r="A108" s="0" t="n">
        <v>27</v>
      </c>
      <c r="B108" s="0" t="n">
        <v>2</v>
      </c>
      <c r="C108" s="0" t="inlineStr">
        <is>
          <t>T1021.007</t>
        </is>
      </c>
      <c r="D108" s="0" t="n">
        <v>0.36</v>
      </c>
      <c r="E108" s="0" t="n">
        <v>2</v>
      </c>
      <c r="F108" s="0" t="n">
        <v>0.1</v>
      </c>
      <c r="G108" s="0" t="n">
        <v>3</v>
      </c>
    </row>
    <row r="109">
      <c r="A109" s="0" t="n">
        <v>27</v>
      </c>
      <c r="B109" s="0" t="n">
        <v>3</v>
      </c>
      <c r="C109" s="0" t="inlineStr">
        <is>
          <t>T1059.009</t>
        </is>
      </c>
      <c r="D109" s="0" t="n">
        <v>0.36</v>
      </c>
      <c r="E109" s="0" t="n">
        <v>2</v>
      </c>
      <c r="F109" s="0" t="n">
        <v>0.1</v>
      </c>
      <c r="G109" s="0" t="n">
        <v>3</v>
      </c>
    </row>
    <row r="110">
      <c r="A110" s="0" t="n">
        <v>27</v>
      </c>
      <c r="B110" s="0" t="n">
        <v>4</v>
      </c>
      <c r="C110" s="0" t="inlineStr">
        <is>
          <t>T1496.001</t>
        </is>
      </c>
      <c r="D110" s="0" t="n">
        <v>0.72</v>
      </c>
      <c r="E110" s="0" t="n">
        <v>3</v>
      </c>
      <c r="F110" s="0" t="n">
        <v>0.28</v>
      </c>
      <c r="G110" s="0" t="n">
        <v>2</v>
      </c>
    </row>
    <row r="111">
      <c r="A111" s="0" t="n">
        <v>28</v>
      </c>
      <c r="B111" s="0" t="n">
        <v>1</v>
      </c>
      <c r="C111" s="0" t="inlineStr">
        <is>
          <t>T1190</t>
        </is>
      </c>
      <c r="D111" s="0" t="n">
        <v>0.9</v>
      </c>
      <c r="E111" s="0" t="n">
        <v>3</v>
      </c>
      <c r="F111" s="0" t="n">
        <v>0.46</v>
      </c>
      <c r="G111" s="0" t="n">
        <v>2</v>
      </c>
    </row>
    <row r="112">
      <c r="A112" s="0" t="n">
        <v>28</v>
      </c>
      <c r="B112" s="0" t="n">
        <v>2</v>
      </c>
      <c r="C112" s="0" t="inlineStr">
        <is>
          <t>T1021.007</t>
        </is>
      </c>
      <c r="D112" s="0" t="n">
        <v>0.36</v>
      </c>
      <c r="E112" s="0" t="n">
        <v>2</v>
      </c>
      <c r="F112" s="0" t="n">
        <v>0.1</v>
      </c>
      <c r="G112" s="0" t="n">
        <v>3</v>
      </c>
    </row>
    <row r="113">
      <c r="A113" s="0" t="n">
        <v>28</v>
      </c>
      <c r="B113" s="0" t="n">
        <v>3</v>
      </c>
      <c r="C113" s="0" t="inlineStr">
        <is>
          <t>T1059.009</t>
        </is>
      </c>
      <c r="D113" s="0" t="n">
        <v>0.36</v>
      </c>
      <c r="E113" s="0" t="n">
        <v>2</v>
      </c>
      <c r="F113" s="0" t="n">
        <v>0.1</v>
      </c>
      <c r="G113" s="0" t="n">
        <v>3</v>
      </c>
    </row>
    <row r="114">
      <c r="A114" s="0" t="n">
        <v>28</v>
      </c>
      <c r="B114" s="0" t="n">
        <v>4</v>
      </c>
      <c r="C114" s="0" t="inlineStr">
        <is>
          <t>T1486</t>
        </is>
      </c>
      <c r="D114" s="0" t="n">
        <v>0.9</v>
      </c>
      <c r="E114" s="0" t="n">
        <v>3</v>
      </c>
      <c r="F114" s="0" t="n">
        <v>0.1</v>
      </c>
      <c r="G114" s="0" t="n">
        <v>3</v>
      </c>
    </row>
    <row r="115">
      <c r="A115" s="0" t="n">
        <v>29</v>
      </c>
      <c r="B115" s="0" t="n">
        <v>1</v>
      </c>
      <c r="C115" s="0" t="inlineStr">
        <is>
          <t>T1190</t>
        </is>
      </c>
      <c r="D115" s="0" t="n">
        <v>0.9</v>
      </c>
      <c r="E115" s="0" t="n">
        <v>3</v>
      </c>
      <c r="F115" s="0" t="n">
        <v>0.46</v>
      </c>
      <c r="G115" s="0" t="n">
        <v>2</v>
      </c>
    </row>
    <row r="116">
      <c r="A116" s="0" t="n">
        <v>29</v>
      </c>
      <c r="B116" s="0" t="n">
        <v>2</v>
      </c>
      <c r="C116" s="0" t="inlineStr">
        <is>
          <t>T1021.007</t>
        </is>
      </c>
      <c r="D116" s="0" t="n">
        <v>0.36</v>
      </c>
      <c r="E116" s="0" t="n">
        <v>2</v>
      </c>
      <c r="F116" s="0" t="n">
        <v>0.1</v>
      </c>
      <c r="G116" s="0" t="n">
        <v>3</v>
      </c>
    </row>
    <row r="117">
      <c r="A117" s="0" t="n">
        <v>29</v>
      </c>
      <c r="B117" s="0" t="n">
        <v>3</v>
      </c>
      <c r="C117" s="0" t="inlineStr">
        <is>
          <t>T1059.009</t>
        </is>
      </c>
      <c r="D117" s="0" t="n">
        <v>0.36</v>
      </c>
      <c r="E117" s="0" t="n">
        <v>2</v>
      </c>
      <c r="F117" s="0" t="n">
        <v>0.1</v>
      </c>
      <c r="G117" s="0" t="n">
        <v>3</v>
      </c>
    </row>
    <row r="118">
      <c r="A118" s="0" t="n">
        <v>29</v>
      </c>
      <c r="B118" s="0" t="n">
        <v>4</v>
      </c>
      <c r="C118" s="0" t="inlineStr">
        <is>
          <t>T1496.002</t>
        </is>
      </c>
      <c r="D118" s="0" t="n">
        <v>0.18</v>
      </c>
      <c r="E118" s="0" t="n">
        <v>1</v>
      </c>
      <c r="F118" s="0" t="n">
        <v>0.46</v>
      </c>
      <c r="G118" s="0" t="n">
        <v>2</v>
      </c>
    </row>
    <row r="119">
      <c r="A119" s="0" t="n">
        <v>30</v>
      </c>
      <c r="B119" s="0" t="n">
        <v>1</v>
      </c>
      <c r="C119" s="0" t="inlineStr">
        <is>
          <t>T1190</t>
        </is>
      </c>
      <c r="D119" s="0" t="n">
        <v>0.9</v>
      </c>
      <c r="E119" s="0" t="n">
        <v>3</v>
      </c>
      <c r="F119" s="0" t="n">
        <v>0.46</v>
      </c>
      <c r="G119" s="0" t="n">
        <v>2</v>
      </c>
    </row>
    <row r="120">
      <c r="A120" s="0" t="n">
        <v>30</v>
      </c>
      <c r="B120" s="0" t="n">
        <v>2</v>
      </c>
      <c r="C120" s="0" t="inlineStr">
        <is>
          <t>T1021.007</t>
        </is>
      </c>
      <c r="D120" s="0" t="n">
        <v>0.36</v>
      </c>
      <c r="E120" s="0" t="n">
        <v>2</v>
      </c>
      <c r="F120" s="0" t="n">
        <v>0.1</v>
      </c>
      <c r="G120" s="0" t="n">
        <v>3</v>
      </c>
    </row>
    <row r="121">
      <c r="A121" s="0" t="n">
        <v>30</v>
      </c>
      <c r="B121" s="0" t="n">
        <v>3</v>
      </c>
      <c r="C121" s="0" t="inlineStr">
        <is>
          <t>T1484.002</t>
        </is>
      </c>
      <c r="D121" s="0" t="n">
        <v>0.36</v>
      </c>
      <c r="E121" s="0" t="n">
        <v>2</v>
      </c>
      <c r="F121" s="0" t="n">
        <v>0.1</v>
      </c>
      <c r="G121" s="0" t="n">
        <v>3</v>
      </c>
    </row>
    <row r="122">
      <c r="A122" s="0" t="n">
        <v>30</v>
      </c>
      <c r="B122" s="0" t="n">
        <v>4</v>
      </c>
      <c r="C122" s="0" t="inlineStr">
        <is>
          <t>T1496.004</t>
        </is>
      </c>
      <c r="D122" s="0" t="n">
        <v>0.18</v>
      </c>
      <c r="E122" s="0" t="n">
        <v>1</v>
      </c>
      <c r="F122" s="0" t="n">
        <v>0.28</v>
      </c>
      <c r="G122" s="0" t="n">
        <v>2</v>
      </c>
    </row>
    <row r="123">
      <c r="A123" s="0" t="n">
        <v>31</v>
      </c>
      <c r="B123" s="0" t="n">
        <v>1</v>
      </c>
      <c r="C123" s="0" t="inlineStr">
        <is>
          <t>T1190</t>
        </is>
      </c>
      <c r="D123" s="0" t="n">
        <v>0.9</v>
      </c>
      <c r="E123" s="0" t="n">
        <v>3</v>
      </c>
      <c r="F123" s="0" t="n">
        <v>0.46</v>
      </c>
      <c r="G123" s="0" t="n">
        <v>2</v>
      </c>
    </row>
    <row r="124">
      <c r="A124" s="0" t="n">
        <v>31</v>
      </c>
      <c r="B124" s="0" t="n">
        <v>2</v>
      </c>
      <c r="C124" s="0" t="inlineStr">
        <is>
          <t>T1021.007</t>
        </is>
      </c>
      <c r="D124" s="0" t="n">
        <v>0.36</v>
      </c>
      <c r="E124" s="0" t="n">
        <v>2</v>
      </c>
      <c r="F124" s="0" t="n">
        <v>0.1</v>
      </c>
      <c r="G124" s="0" t="n">
        <v>3</v>
      </c>
    </row>
    <row r="125">
      <c r="A125" s="0" t="n">
        <v>31</v>
      </c>
      <c r="B125" s="0" t="n">
        <v>3</v>
      </c>
      <c r="C125" s="0" t="inlineStr">
        <is>
          <t>T1484.002</t>
        </is>
      </c>
      <c r="D125" s="0" t="n">
        <v>0.36</v>
      </c>
      <c r="E125" s="0" t="n">
        <v>2</v>
      </c>
      <c r="F125" s="0" t="n">
        <v>0.1</v>
      </c>
      <c r="G125" s="0" t="n">
        <v>3</v>
      </c>
    </row>
    <row r="126">
      <c r="A126" s="0" t="n">
        <v>31</v>
      </c>
      <c r="B126" s="0" t="n">
        <v>4</v>
      </c>
      <c r="C126" s="0" t="inlineStr">
        <is>
          <t>T1496.001</t>
        </is>
      </c>
      <c r="D126" s="0" t="n">
        <v>0.72</v>
      </c>
      <c r="E126" s="0" t="n">
        <v>3</v>
      </c>
      <c r="F126" s="0" t="n">
        <v>0.28</v>
      </c>
      <c r="G126" s="0" t="n">
        <v>2</v>
      </c>
    </row>
    <row r="127">
      <c r="A127" s="0" t="n">
        <v>32</v>
      </c>
      <c r="B127" s="0" t="n">
        <v>1</v>
      </c>
      <c r="C127" s="0" t="inlineStr">
        <is>
          <t>T1190</t>
        </is>
      </c>
      <c r="D127" s="0" t="n">
        <v>0.9</v>
      </c>
      <c r="E127" s="0" t="n">
        <v>3</v>
      </c>
      <c r="F127" s="0" t="n">
        <v>0.46</v>
      </c>
      <c r="G127" s="0" t="n">
        <v>2</v>
      </c>
    </row>
    <row r="128">
      <c r="A128" s="0" t="n">
        <v>32</v>
      </c>
      <c r="B128" s="0" t="n">
        <v>2</v>
      </c>
      <c r="C128" s="0" t="inlineStr">
        <is>
          <t>T1021.007</t>
        </is>
      </c>
      <c r="D128" s="0" t="n">
        <v>0.36</v>
      </c>
      <c r="E128" s="0" t="n">
        <v>2</v>
      </c>
      <c r="F128" s="0" t="n">
        <v>0.1</v>
      </c>
      <c r="G128" s="0" t="n">
        <v>3</v>
      </c>
    </row>
    <row r="129">
      <c r="A129" s="0" t="n">
        <v>32</v>
      </c>
      <c r="B129" s="0" t="n">
        <v>3</v>
      </c>
      <c r="C129" s="0" t="inlineStr">
        <is>
          <t>T1484.002</t>
        </is>
      </c>
      <c r="D129" s="0" t="n">
        <v>0.36</v>
      </c>
      <c r="E129" s="0" t="n">
        <v>2</v>
      </c>
      <c r="F129" s="0" t="n">
        <v>0.1</v>
      </c>
      <c r="G129" s="0" t="n">
        <v>3</v>
      </c>
    </row>
    <row r="130">
      <c r="A130" s="0" t="n">
        <v>32</v>
      </c>
      <c r="B130" s="0" t="n">
        <v>4</v>
      </c>
      <c r="C130" s="0" t="inlineStr">
        <is>
          <t>T1486</t>
        </is>
      </c>
      <c r="D130" s="0" t="n">
        <v>0.9</v>
      </c>
      <c r="E130" s="0" t="n">
        <v>3</v>
      </c>
      <c r="F130" s="0" t="n">
        <v>0.1</v>
      </c>
      <c r="G130" s="0" t="n">
        <v>3</v>
      </c>
    </row>
    <row r="131">
      <c r="A131" s="0" t="n">
        <v>33</v>
      </c>
      <c r="B131" s="0" t="n">
        <v>1</v>
      </c>
      <c r="C131" s="0" t="inlineStr">
        <is>
          <t>T1190</t>
        </is>
      </c>
      <c r="D131" s="0" t="n">
        <v>0.9</v>
      </c>
      <c r="E131" s="0" t="n">
        <v>3</v>
      </c>
      <c r="F131" s="0" t="n">
        <v>0.46</v>
      </c>
      <c r="G131" s="0" t="n">
        <v>2</v>
      </c>
    </row>
    <row r="132">
      <c r="A132" s="0" t="n">
        <v>33</v>
      </c>
      <c r="B132" s="0" t="n">
        <v>2</v>
      </c>
      <c r="C132" s="0" t="inlineStr">
        <is>
          <t>T1021.007</t>
        </is>
      </c>
      <c r="D132" s="0" t="n">
        <v>0.36</v>
      </c>
      <c r="E132" s="0" t="n">
        <v>2</v>
      </c>
      <c r="F132" s="0" t="n">
        <v>0.1</v>
      </c>
      <c r="G132" s="0" t="n">
        <v>3</v>
      </c>
    </row>
    <row r="133">
      <c r="A133" s="0" t="n">
        <v>33</v>
      </c>
      <c r="B133" s="0" t="n">
        <v>3</v>
      </c>
      <c r="C133" s="0" t="inlineStr">
        <is>
          <t>T1484.002</t>
        </is>
      </c>
      <c r="D133" s="0" t="n">
        <v>0.36</v>
      </c>
      <c r="E133" s="0" t="n">
        <v>2</v>
      </c>
      <c r="F133" s="0" t="n">
        <v>0.1</v>
      </c>
      <c r="G133" s="0" t="n">
        <v>3</v>
      </c>
    </row>
    <row r="134">
      <c r="A134" s="0" t="n">
        <v>33</v>
      </c>
      <c r="B134" s="0" t="n">
        <v>4</v>
      </c>
      <c r="C134" s="0" t="inlineStr">
        <is>
          <t>T1496.002</t>
        </is>
      </c>
      <c r="D134" s="0" t="n">
        <v>0.18</v>
      </c>
      <c r="E134" s="0" t="n">
        <v>1</v>
      </c>
      <c r="F134" s="0" t="n">
        <v>0.46</v>
      </c>
      <c r="G134" s="0" t="n">
        <v>2</v>
      </c>
    </row>
    <row r="135">
      <c r="A135" s="0" t="n">
        <v>34</v>
      </c>
      <c r="B135" s="0" t="n">
        <v>1</v>
      </c>
      <c r="C135" s="0" t="inlineStr">
        <is>
          <t>T1190</t>
        </is>
      </c>
      <c r="D135" s="0" t="n">
        <v>0.9</v>
      </c>
      <c r="E135" s="0" t="n">
        <v>3</v>
      </c>
      <c r="F135" s="0" t="n">
        <v>0.46</v>
      </c>
      <c r="G135" s="0" t="n">
        <v>2</v>
      </c>
    </row>
    <row r="136">
      <c r="A136" s="0" t="n">
        <v>34</v>
      </c>
      <c r="B136" s="0" t="n">
        <v>2</v>
      </c>
      <c r="C136" s="0" t="inlineStr">
        <is>
          <t>T1578.004</t>
        </is>
      </c>
      <c r="D136" s="0" t="n">
        <v>0.18</v>
      </c>
      <c r="E136" s="0" t="n">
        <v>1</v>
      </c>
      <c r="F136" s="0" t="n">
        <v>0.46</v>
      </c>
      <c r="G136" s="0" t="n">
        <v>2</v>
      </c>
    </row>
    <row r="137">
      <c r="A137" s="0" t="n">
        <v>34</v>
      </c>
      <c r="B137" s="0" t="n">
        <v>3</v>
      </c>
      <c r="C137" s="0" t="inlineStr">
        <is>
          <t>T1651</t>
        </is>
      </c>
      <c r="D137" s="0" t="n">
        <v>0.36</v>
      </c>
      <c r="E137" s="0" t="n">
        <v>2</v>
      </c>
      <c r="F137" s="0" t="n">
        <v>0.1</v>
      </c>
      <c r="G137" s="0" t="n">
        <v>3</v>
      </c>
    </row>
    <row r="138">
      <c r="A138" s="0" t="n">
        <v>34</v>
      </c>
      <c r="B138" s="0" t="n">
        <v>4</v>
      </c>
      <c r="C138" s="0" t="inlineStr">
        <is>
          <t>T1496.004</t>
        </is>
      </c>
      <c r="D138" s="0" t="n">
        <v>0.18</v>
      </c>
      <c r="E138" s="0" t="n">
        <v>1</v>
      </c>
      <c r="F138" s="0" t="n">
        <v>0.28</v>
      </c>
      <c r="G138" s="0" t="n">
        <v>2</v>
      </c>
    </row>
    <row r="139">
      <c r="A139" s="0" t="n">
        <v>35</v>
      </c>
      <c r="B139" s="0" t="n">
        <v>1</v>
      </c>
      <c r="C139" s="0" t="inlineStr">
        <is>
          <t>T1190</t>
        </is>
      </c>
      <c r="D139" s="0" t="n">
        <v>0.9</v>
      </c>
      <c r="E139" s="0" t="n">
        <v>3</v>
      </c>
      <c r="F139" s="0" t="n">
        <v>0.46</v>
      </c>
      <c r="G139" s="0" t="n">
        <v>2</v>
      </c>
    </row>
    <row r="140">
      <c r="A140" s="0" t="n">
        <v>35</v>
      </c>
      <c r="B140" s="0" t="n">
        <v>2</v>
      </c>
      <c r="C140" s="0" t="inlineStr">
        <is>
          <t>T1578.004</t>
        </is>
      </c>
      <c r="D140" s="0" t="n">
        <v>0.18</v>
      </c>
      <c r="E140" s="0" t="n">
        <v>1</v>
      </c>
      <c r="F140" s="0" t="n">
        <v>0.46</v>
      </c>
      <c r="G140" s="0" t="n">
        <v>2</v>
      </c>
    </row>
    <row r="141">
      <c r="A141" s="0" t="n">
        <v>35</v>
      </c>
      <c r="B141" s="0" t="n">
        <v>3</v>
      </c>
      <c r="C141" s="0" t="inlineStr">
        <is>
          <t>T1651</t>
        </is>
      </c>
      <c r="D141" s="0" t="n">
        <v>0.36</v>
      </c>
      <c r="E141" s="0" t="n">
        <v>2</v>
      </c>
      <c r="F141" s="0" t="n">
        <v>0.1</v>
      </c>
      <c r="G141" s="0" t="n">
        <v>3</v>
      </c>
    </row>
    <row r="142">
      <c r="A142" s="0" t="n">
        <v>35</v>
      </c>
      <c r="B142" s="0" t="n">
        <v>4</v>
      </c>
      <c r="C142" s="0" t="inlineStr">
        <is>
          <t>T1496.001</t>
        </is>
      </c>
      <c r="D142" s="0" t="n">
        <v>0.72</v>
      </c>
      <c r="E142" s="0" t="n">
        <v>3</v>
      </c>
      <c r="F142" s="0" t="n">
        <v>0.28</v>
      </c>
      <c r="G142" s="0" t="n">
        <v>2</v>
      </c>
    </row>
    <row r="143">
      <c r="A143" s="0" t="n">
        <v>36</v>
      </c>
      <c r="B143" s="0" t="n">
        <v>1</v>
      </c>
      <c r="C143" s="0" t="inlineStr">
        <is>
          <t>T1190</t>
        </is>
      </c>
      <c r="D143" s="0" t="n">
        <v>0.9</v>
      </c>
      <c r="E143" s="0" t="n">
        <v>3</v>
      </c>
      <c r="F143" s="0" t="n">
        <v>0.46</v>
      </c>
      <c r="G143" s="0" t="n">
        <v>2</v>
      </c>
    </row>
    <row r="144">
      <c r="A144" s="0" t="n">
        <v>36</v>
      </c>
      <c r="B144" s="0" t="n">
        <v>2</v>
      </c>
      <c r="C144" s="0" t="inlineStr">
        <is>
          <t>T1578.004</t>
        </is>
      </c>
      <c r="D144" s="0" t="n">
        <v>0.18</v>
      </c>
      <c r="E144" s="0" t="n">
        <v>1</v>
      </c>
      <c r="F144" s="0" t="n">
        <v>0.46</v>
      </c>
      <c r="G144" s="0" t="n">
        <v>2</v>
      </c>
    </row>
    <row r="145">
      <c r="A145" s="0" t="n">
        <v>36</v>
      </c>
      <c r="B145" s="0" t="n">
        <v>3</v>
      </c>
      <c r="C145" s="0" t="inlineStr">
        <is>
          <t>T1651</t>
        </is>
      </c>
      <c r="D145" s="0" t="n">
        <v>0.36</v>
      </c>
      <c r="E145" s="0" t="n">
        <v>2</v>
      </c>
      <c r="F145" s="0" t="n">
        <v>0.1</v>
      </c>
      <c r="G145" s="0" t="n">
        <v>3</v>
      </c>
    </row>
    <row r="146">
      <c r="A146" s="0" t="n">
        <v>36</v>
      </c>
      <c r="B146" s="0" t="n">
        <v>4</v>
      </c>
      <c r="C146" s="0" t="inlineStr">
        <is>
          <t>T1486</t>
        </is>
      </c>
      <c r="D146" s="0" t="n">
        <v>0.9</v>
      </c>
      <c r="E146" s="0" t="n">
        <v>3</v>
      </c>
      <c r="F146" s="0" t="n">
        <v>0.1</v>
      </c>
      <c r="G146" s="0" t="n">
        <v>3</v>
      </c>
    </row>
    <row r="147">
      <c r="A147" s="0" t="n">
        <v>37</v>
      </c>
      <c r="B147" s="0" t="n">
        <v>1</v>
      </c>
      <c r="C147" s="0" t="inlineStr">
        <is>
          <t>T1190</t>
        </is>
      </c>
      <c r="D147" s="0" t="n">
        <v>0.9</v>
      </c>
      <c r="E147" s="0" t="n">
        <v>3</v>
      </c>
      <c r="F147" s="0" t="n">
        <v>0.46</v>
      </c>
      <c r="G147" s="0" t="n">
        <v>2</v>
      </c>
    </row>
    <row r="148">
      <c r="A148" s="0" t="n">
        <v>37</v>
      </c>
      <c r="B148" s="0" t="n">
        <v>2</v>
      </c>
      <c r="C148" s="0" t="inlineStr">
        <is>
          <t>T1578.004</t>
        </is>
      </c>
      <c r="D148" s="0" t="n">
        <v>0.18</v>
      </c>
      <c r="E148" s="0" t="n">
        <v>1</v>
      </c>
      <c r="F148" s="0" t="n">
        <v>0.46</v>
      </c>
      <c r="G148" s="0" t="n">
        <v>2</v>
      </c>
    </row>
    <row r="149">
      <c r="A149" s="0" t="n">
        <v>37</v>
      </c>
      <c r="B149" s="0" t="n">
        <v>3</v>
      </c>
      <c r="C149" s="0" t="inlineStr">
        <is>
          <t>T1651</t>
        </is>
      </c>
      <c r="D149" s="0" t="n">
        <v>0.36</v>
      </c>
      <c r="E149" s="0" t="n">
        <v>2</v>
      </c>
      <c r="F149" s="0" t="n">
        <v>0.1</v>
      </c>
      <c r="G149" s="0" t="n">
        <v>3</v>
      </c>
    </row>
    <row r="150">
      <c r="A150" s="0" t="n">
        <v>37</v>
      </c>
      <c r="B150" s="0" t="n">
        <v>4</v>
      </c>
      <c r="C150" s="0" t="inlineStr">
        <is>
          <t>T1496.002</t>
        </is>
      </c>
      <c r="D150" s="0" t="n">
        <v>0.18</v>
      </c>
      <c r="E150" s="0" t="n">
        <v>1</v>
      </c>
      <c r="F150" s="0" t="n">
        <v>0.46</v>
      </c>
      <c r="G150" s="0" t="n">
        <v>2</v>
      </c>
    </row>
    <row r="151">
      <c r="A151" s="0" t="n">
        <v>38</v>
      </c>
      <c r="B151" s="0" t="n">
        <v>1</v>
      </c>
      <c r="C151" s="0" t="inlineStr">
        <is>
          <t>T1190</t>
        </is>
      </c>
      <c r="D151" s="0" t="n">
        <v>0.9</v>
      </c>
      <c r="E151" s="0" t="n">
        <v>3</v>
      </c>
      <c r="F151" s="0" t="n">
        <v>0.46</v>
      </c>
      <c r="G151" s="0" t="n">
        <v>2</v>
      </c>
    </row>
    <row r="152">
      <c r="A152" s="0" t="n">
        <v>38</v>
      </c>
      <c r="B152" s="0" t="n">
        <v>2</v>
      </c>
      <c r="C152" s="0" t="inlineStr">
        <is>
          <t>T1578.004</t>
        </is>
      </c>
      <c r="D152" s="0" t="n">
        <v>0.18</v>
      </c>
      <c r="E152" s="0" t="n">
        <v>1</v>
      </c>
      <c r="F152" s="0" t="n">
        <v>0.46</v>
      </c>
      <c r="G152" s="0" t="n">
        <v>2</v>
      </c>
    </row>
    <row r="153">
      <c r="A153" s="0" t="n">
        <v>38</v>
      </c>
      <c r="B153" s="0" t="n">
        <v>3</v>
      </c>
      <c r="C153" s="0" t="inlineStr">
        <is>
          <t>T1555.006</t>
        </is>
      </c>
      <c r="D153" s="0" t="n">
        <v>0.36</v>
      </c>
      <c r="E153" s="0" t="n">
        <v>2</v>
      </c>
      <c r="F153" s="0" t="n">
        <v>0.1</v>
      </c>
      <c r="G153" s="0" t="n">
        <v>3</v>
      </c>
    </row>
    <row r="154">
      <c r="A154" s="0" t="n">
        <v>38</v>
      </c>
      <c r="B154" s="0" t="n">
        <v>4</v>
      </c>
      <c r="C154" s="0" t="inlineStr">
        <is>
          <t>T1496.004</t>
        </is>
      </c>
      <c r="D154" s="0" t="n">
        <v>0.18</v>
      </c>
      <c r="E154" s="0" t="n">
        <v>1</v>
      </c>
      <c r="F154" s="0" t="n">
        <v>0.28</v>
      </c>
      <c r="G154" s="0" t="n">
        <v>2</v>
      </c>
    </row>
    <row r="155">
      <c r="A155" s="0" t="n">
        <v>39</v>
      </c>
      <c r="B155" s="0" t="n">
        <v>1</v>
      </c>
      <c r="C155" s="0" t="inlineStr">
        <is>
          <t>T1190</t>
        </is>
      </c>
      <c r="D155" s="0" t="n">
        <v>0.9</v>
      </c>
      <c r="E155" s="0" t="n">
        <v>3</v>
      </c>
      <c r="F155" s="0" t="n">
        <v>0.46</v>
      </c>
      <c r="G155" s="0" t="n">
        <v>2</v>
      </c>
    </row>
    <row r="156">
      <c r="A156" s="0" t="n">
        <v>39</v>
      </c>
      <c r="B156" s="0" t="n">
        <v>2</v>
      </c>
      <c r="C156" s="0" t="inlineStr">
        <is>
          <t>T1578.004</t>
        </is>
      </c>
      <c r="D156" s="0" t="n">
        <v>0.18</v>
      </c>
      <c r="E156" s="0" t="n">
        <v>1</v>
      </c>
      <c r="F156" s="0" t="n">
        <v>0.46</v>
      </c>
      <c r="G156" s="0" t="n">
        <v>2</v>
      </c>
    </row>
    <row r="157">
      <c r="A157" s="0" t="n">
        <v>39</v>
      </c>
      <c r="B157" s="0" t="n">
        <v>3</v>
      </c>
      <c r="C157" s="0" t="inlineStr">
        <is>
          <t>T1555.006</t>
        </is>
      </c>
      <c r="D157" s="0" t="n">
        <v>0.36</v>
      </c>
      <c r="E157" s="0" t="n">
        <v>2</v>
      </c>
      <c r="F157" s="0" t="n">
        <v>0.1</v>
      </c>
      <c r="G157" s="0" t="n">
        <v>3</v>
      </c>
    </row>
    <row r="158">
      <c r="A158" s="0" t="n">
        <v>39</v>
      </c>
      <c r="B158" s="0" t="n">
        <v>4</v>
      </c>
      <c r="C158" s="0" t="inlineStr">
        <is>
          <t>T1496.001</t>
        </is>
      </c>
      <c r="D158" s="0" t="n">
        <v>0.72</v>
      </c>
      <c r="E158" s="0" t="n">
        <v>3</v>
      </c>
      <c r="F158" s="0" t="n">
        <v>0.28</v>
      </c>
      <c r="G158" s="0" t="n">
        <v>2</v>
      </c>
    </row>
    <row r="159">
      <c r="A159" s="0" t="n">
        <v>40</v>
      </c>
      <c r="B159" s="0" t="n">
        <v>1</v>
      </c>
      <c r="C159" s="0" t="inlineStr">
        <is>
          <t>T1190</t>
        </is>
      </c>
      <c r="D159" s="0" t="n">
        <v>0.9</v>
      </c>
      <c r="E159" s="0" t="n">
        <v>3</v>
      </c>
      <c r="F159" s="0" t="n">
        <v>0.46</v>
      </c>
      <c r="G159" s="0" t="n">
        <v>2</v>
      </c>
    </row>
    <row r="160">
      <c r="A160" s="0" t="n">
        <v>40</v>
      </c>
      <c r="B160" s="0" t="n">
        <v>2</v>
      </c>
      <c r="C160" s="0" t="inlineStr">
        <is>
          <t>T1578.004</t>
        </is>
      </c>
      <c r="D160" s="0" t="n">
        <v>0.18</v>
      </c>
      <c r="E160" s="0" t="n">
        <v>1</v>
      </c>
      <c r="F160" s="0" t="n">
        <v>0.46</v>
      </c>
      <c r="G160" s="0" t="n">
        <v>2</v>
      </c>
    </row>
    <row r="161">
      <c r="A161" s="0" t="n">
        <v>40</v>
      </c>
      <c r="B161" s="0" t="n">
        <v>3</v>
      </c>
      <c r="C161" s="0" t="inlineStr">
        <is>
          <t>T1555.006</t>
        </is>
      </c>
      <c r="D161" s="0" t="n">
        <v>0.36</v>
      </c>
      <c r="E161" s="0" t="n">
        <v>2</v>
      </c>
      <c r="F161" s="0" t="n">
        <v>0.1</v>
      </c>
      <c r="G161" s="0" t="n">
        <v>3</v>
      </c>
    </row>
    <row r="162">
      <c r="A162" s="0" t="n">
        <v>40</v>
      </c>
      <c r="B162" s="0" t="n">
        <v>4</v>
      </c>
      <c r="C162" s="0" t="inlineStr">
        <is>
          <t>T1486</t>
        </is>
      </c>
      <c r="D162" s="0" t="n">
        <v>0.9</v>
      </c>
      <c r="E162" s="0" t="n">
        <v>3</v>
      </c>
      <c r="F162" s="0" t="n">
        <v>0.1</v>
      </c>
      <c r="G162" s="0" t="n">
        <v>3</v>
      </c>
    </row>
    <row r="163">
      <c r="A163" s="0" t="n">
        <v>41</v>
      </c>
      <c r="B163" s="0" t="n">
        <v>1</v>
      </c>
      <c r="C163" s="0" t="inlineStr">
        <is>
          <t>T1190</t>
        </is>
      </c>
      <c r="D163" s="0" t="n">
        <v>0.9</v>
      </c>
      <c r="E163" s="0" t="n">
        <v>3</v>
      </c>
      <c r="F163" s="0" t="n">
        <v>0.46</v>
      </c>
      <c r="G163" s="0" t="n">
        <v>2</v>
      </c>
    </row>
    <row r="164">
      <c r="A164" s="0" t="n">
        <v>41</v>
      </c>
      <c r="B164" s="0" t="n">
        <v>2</v>
      </c>
      <c r="C164" s="0" t="inlineStr">
        <is>
          <t>T1578.004</t>
        </is>
      </c>
      <c r="D164" s="0" t="n">
        <v>0.18</v>
      </c>
      <c r="E164" s="0" t="n">
        <v>1</v>
      </c>
      <c r="F164" s="0" t="n">
        <v>0.46</v>
      </c>
      <c r="G164" s="0" t="n">
        <v>2</v>
      </c>
    </row>
    <row r="165">
      <c r="A165" s="0" t="n">
        <v>41</v>
      </c>
      <c r="B165" s="0" t="n">
        <v>3</v>
      </c>
      <c r="C165" s="0" t="inlineStr">
        <is>
          <t>T1555.006</t>
        </is>
      </c>
      <c r="D165" s="0" t="n">
        <v>0.36</v>
      </c>
      <c r="E165" s="0" t="n">
        <v>2</v>
      </c>
      <c r="F165" s="0" t="n">
        <v>0.1</v>
      </c>
      <c r="G165" s="0" t="n">
        <v>3</v>
      </c>
    </row>
    <row r="166">
      <c r="A166" s="0" t="n">
        <v>41</v>
      </c>
      <c r="B166" s="0" t="n">
        <v>4</v>
      </c>
      <c r="C166" s="0" t="inlineStr">
        <is>
          <t>T1496.002</t>
        </is>
      </c>
      <c r="D166" s="0" t="n">
        <v>0.18</v>
      </c>
      <c r="E166" s="0" t="n">
        <v>1</v>
      </c>
      <c r="F166" s="0" t="n">
        <v>0.46</v>
      </c>
      <c r="G166" s="0" t="n">
        <v>2</v>
      </c>
    </row>
    <row r="167">
      <c r="A167" s="0" t="n">
        <v>42</v>
      </c>
      <c r="B167" s="0" t="n">
        <v>1</v>
      </c>
      <c r="C167" s="0" t="inlineStr">
        <is>
          <t>T1190</t>
        </is>
      </c>
      <c r="D167" s="0" t="n">
        <v>0.9</v>
      </c>
      <c r="E167" s="0" t="n">
        <v>3</v>
      </c>
      <c r="F167" s="0" t="n">
        <v>0.46</v>
      </c>
      <c r="G167" s="0" t="n">
        <v>2</v>
      </c>
    </row>
    <row r="168">
      <c r="A168" s="0" t="n">
        <v>42</v>
      </c>
      <c r="B168" s="0" t="n">
        <v>2</v>
      </c>
      <c r="C168" s="0" t="inlineStr">
        <is>
          <t>T1578.004</t>
        </is>
      </c>
      <c r="D168" s="0" t="n">
        <v>0.18</v>
      </c>
      <c r="E168" s="0" t="n">
        <v>1</v>
      </c>
      <c r="F168" s="0" t="n">
        <v>0.46</v>
      </c>
      <c r="G168" s="0" t="n">
        <v>2</v>
      </c>
    </row>
    <row r="169">
      <c r="A169" s="0" t="n">
        <v>42</v>
      </c>
      <c r="B169" s="0" t="n">
        <v>3</v>
      </c>
      <c r="C169" s="0" t="inlineStr">
        <is>
          <t>T1059.009</t>
        </is>
      </c>
      <c r="D169" s="0" t="n">
        <v>0.36</v>
      </c>
      <c r="E169" s="0" t="n">
        <v>2</v>
      </c>
      <c r="F169" s="0" t="n">
        <v>0.1</v>
      </c>
      <c r="G169" s="0" t="n">
        <v>3</v>
      </c>
    </row>
    <row r="170">
      <c r="A170" s="0" t="n">
        <v>42</v>
      </c>
      <c r="B170" s="0" t="n">
        <v>4</v>
      </c>
      <c r="C170" s="0" t="inlineStr">
        <is>
          <t>T1496.004</t>
        </is>
      </c>
      <c r="D170" s="0" t="n">
        <v>0.18</v>
      </c>
      <c r="E170" s="0" t="n">
        <v>1</v>
      </c>
      <c r="F170" s="0" t="n">
        <v>0.28</v>
      </c>
      <c r="G170" s="0" t="n">
        <v>2</v>
      </c>
    </row>
    <row r="171">
      <c r="A171" s="0" t="n">
        <v>43</v>
      </c>
      <c r="B171" s="0" t="n">
        <v>1</v>
      </c>
      <c r="C171" s="0" t="inlineStr">
        <is>
          <t>T1190</t>
        </is>
      </c>
      <c r="D171" s="0" t="n">
        <v>0.9</v>
      </c>
      <c r="E171" s="0" t="n">
        <v>3</v>
      </c>
      <c r="F171" s="0" t="n">
        <v>0.46</v>
      </c>
      <c r="G171" s="0" t="n">
        <v>2</v>
      </c>
    </row>
    <row r="172">
      <c r="A172" s="0" t="n">
        <v>43</v>
      </c>
      <c r="B172" s="0" t="n">
        <v>2</v>
      </c>
      <c r="C172" s="0" t="inlineStr">
        <is>
          <t>T1578.004</t>
        </is>
      </c>
      <c r="D172" s="0" t="n">
        <v>0.18</v>
      </c>
      <c r="E172" s="0" t="n">
        <v>1</v>
      </c>
      <c r="F172" s="0" t="n">
        <v>0.46</v>
      </c>
      <c r="G172" s="0" t="n">
        <v>2</v>
      </c>
    </row>
    <row r="173">
      <c r="A173" s="0" t="n">
        <v>43</v>
      </c>
      <c r="B173" s="0" t="n">
        <v>3</v>
      </c>
      <c r="C173" s="0" t="inlineStr">
        <is>
          <t>T1059.009</t>
        </is>
      </c>
      <c r="D173" s="0" t="n">
        <v>0.36</v>
      </c>
      <c r="E173" s="0" t="n">
        <v>2</v>
      </c>
      <c r="F173" s="0" t="n">
        <v>0.1</v>
      </c>
      <c r="G173" s="0" t="n">
        <v>3</v>
      </c>
    </row>
    <row r="174">
      <c r="A174" s="0" t="n">
        <v>43</v>
      </c>
      <c r="B174" s="0" t="n">
        <v>4</v>
      </c>
      <c r="C174" s="0" t="inlineStr">
        <is>
          <t>T1496.001</t>
        </is>
      </c>
      <c r="D174" s="0" t="n">
        <v>0.72</v>
      </c>
      <c r="E174" s="0" t="n">
        <v>3</v>
      </c>
      <c r="F174" s="0" t="n">
        <v>0.28</v>
      </c>
      <c r="G174" s="0" t="n">
        <v>2</v>
      </c>
    </row>
    <row r="175">
      <c r="A175" s="0" t="n">
        <v>44</v>
      </c>
      <c r="B175" s="0" t="n">
        <v>1</v>
      </c>
      <c r="C175" s="0" t="inlineStr">
        <is>
          <t>T1190</t>
        </is>
      </c>
      <c r="D175" s="0" t="n">
        <v>0.9</v>
      </c>
      <c r="E175" s="0" t="n">
        <v>3</v>
      </c>
      <c r="F175" s="0" t="n">
        <v>0.46</v>
      </c>
      <c r="G175" s="0" t="n">
        <v>2</v>
      </c>
    </row>
    <row r="176">
      <c r="A176" s="0" t="n">
        <v>44</v>
      </c>
      <c r="B176" s="0" t="n">
        <v>2</v>
      </c>
      <c r="C176" s="0" t="inlineStr">
        <is>
          <t>T1578.004</t>
        </is>
      </c>
      <c r="D176" s="0" t="n">
        <v>0.18</v>
      </c>
      <c r="E176" s="0" t="n">
        <v>1</v>
      </c>
      <c r="F176" s="0" t="n">
        <v>0.46</v>
      </c>
      <c r="G176" s="0" t="n">
        <v>2</v>
      </c>
    </row>
    <row r="177">
      <c r="A177" s="0" t="n">
        <v>44</v>
      </c>
      <c r="B177" s="0" t="n">
        <v>3</v>
      </c>
      <c r="C177" s="0" t="inlineStr">
        <is>
          <t>T1059.009</t>
        </is>
      </c>
      <c r="D177" s="0" t="n">
        <v>0.36</v>
      </c>
      <c r="E177" s="0" t="n">
        <v>2</v>
      </c>
      <c r="F177" s="0" t="n">
        <v>0.1</v>
      </c>
      <c r="G177" s="0" t="n">
        <v>3</v>
      </c>
    </row>
    <row r="178">
      <c r="A178" s="0" t="n">
        <v>44</v>
      </c>
      <c r="B178" s="0" t="n">
        <v>4</v>
      </c>
      <c r="C178" s="0" t="inlineStr">
        <is>
          <t>T1486</t>
        </is>
      </c>
      <c r="D178" s="0" t="n">
        <v>0.9</v>
      </c>
      <c r="E178" s="0" t="n">
        <v>3</v>
      </c>
      <c r="F178" s="0" t="n">
        <v>0.1</v>
      </c>
      <c r="G178" s="0" t="n">
        <v>3</v>
      </c>
    </row>
    <row r="179">
      <c r="A179" s="0" t="n">
        <v>45</v>
      </c>
      <c r="B179" s="0" t="n">
        <v>1</v>
      </c>
      <c r="C179" s="0" t="inlineStr">
        <is>
          <t>T1190</t>
        </is>
      </c>
      <c r="D179" s="0" t="n">
        <v>0.9</v>
      </c>
      <c r="E179" s="0" t="n">
        <v>3</v>
      </c>
      <c r="F179" s="0" t="n">
        <v>0.46</v>
      </c>
      <c r="G179" s="0" t="n">
        <v>2</v>
      </c>
    </row>
    <row r="180">
      <c r="A180" s="0" t="n">
        <v>45</v>
      </c>
      <c r="B180" s="0" t="n">
        <v>2</v>
      </c>
      <c r="C180" s="0" t="inlineStr">
        <is>
          <t>T1578.004</t>
        </is>
      </c>
      <c r="D180" s="0" t="n">
        <v>0.18</v>
      </c>
      <c r="E180" s="0" t="n">
        <v>1</v>
      </c>
      <c r="F180" s="0" t="n">
        <v>0.46</v>
      </c>
      <c r="G180" s="0" t="n">
        <v>2</v>
      </c>
    </row>
    <row r="181">
      <c r="A181" s="0" t="n">
        <v>45</v>
      </c>
      <c r="B181" s="0" t="n">
        <v>3</v>
      </c>
      <c r="C181" s="0" t="inlineStr">
        <is>
          <t>T1059.009</t>
        </is>
      </c>
      <c r="D181" s="0" t="n">
        <v>0.36</v>
      </c>
      <c r="E181" s="0" t="n">
        <v>2</v>
      </c>
      <c r="F181" s="0" t="n">
        <v>0.1</v>
      </c>
      <c r="G181" s="0" t="n">
        <v>3</v>
      </c>
    </row>
    <row r="182">
      <c r="A182" s="0" t="n">
        <v>45</v>
      </c>
      <c r="B182" s="0" t="n">
        <v>4</v>
      </c>
      <c r="C182" s="0" t="inlineStr">
        <is>
          <t>T1496.002</t>
        </is>
      </c>
      <c r="D182" s="0" t="n">
        <v>0.18</v>
      </c>
      <c r="E182" s="0" t="n">
        <v>1</v>
      </c>
      <c r="F182" s="0" t="n">
        <v>0.46</v>
      </c>
      <c r="G182" s="0" t="n">
        <v>2</v>
      </c>
    </row>
    <row r="183">
      <c r="A183" s="0" t="n">
        <v>46</v>
      </c>
      <c r="B183" s="0" t="n">
        <v>1</v>
      </c>
      <c r="C183" s="0" t="inlineStr">
        <is>
          <t>T1190</t>
        </is>
      </c>
      <c r="D183" s="0" t="n">
        <v>0.9</v>
      </c>
      <c r="E183" s="0" t="n">
        <v>3</v>
      </c>
      <c r="F183" s="0" t="n">
        <v>0.46</v>
      </c>
      <c r="G183" s="0" t="n">
        <v>2</v>
      </c>
    </row>
    <row r="184">
      <c r="A184" s="0" t="n">
        <v>46</v>
      </c>
      <c r="B184" s="0" t="n">
        <v>2</v>
      </c>
      <c r="C184" s="0" t="inlineStr">
        <is>
          <t>T1578.004</t>
        </is>
      </c>
      <c r="D184" s="0" t="n">
        <v>0.18</v>
      </c>
      <c r="E184" s="0" t="n">
        <v>1</v>
      </c>
      <c r="F184" s="0" t="n">
        <v>0.46</v>
      </c>
      <c r="G184" s="0" t="n">
        <v>2</v>
      </c>
    </row>
    <row r="185">
      <c r="A185" s="0" t="n">
        <v>46</v>
      </c>
      <c r="B185" s="0" t="n">
        <v>3</v>
      </c>
      <c r="C185" s="0" t="inlineStr">
        <is>
          <t>T1484.002</t>
        </is>
      </c>
      <c r="D185" s="0" t="n">
        <v>0.36</v>
      </c>
      <c r="E185" s="0" t="n">
        <v>2</v>
      </c>
      <c r="F185" s="0" t="n">
        <v>0.1</v>
      </c>
      <c r="G185" s="0" t="n">
        <v>3</v>
      </c>
    </row>
    <row r="186">
      <c r="A186" s="0" t="n">
        <v>46</v>
      </c>
      <c r="B186" s="0" t="n">
        <v>4</v>
      </c>
      <c r="C186" s="0" t="inlineStr">
        <is>
          <t>T1496.004</t>
        </is>
      </c>
      <c r="D186" s="0" t="n">
        <v>0.18</v>
      </c>
      <c r="E186" s="0" t="n">
        <v>1</v>
      </c>
      <c r="F186" s="0" t="n">
        <v>0.28</v>
      </c>
      <c r="G186" s="0" t="n">
        <v>2</v>
      </c>
    </row>
    <row r="187">
      <c r="A187" s="0" t="n">
        <v>47</v>
      </c>
      <c r="B187" s="0" t="n">
        <v>1</v>
      </c>
      <c r="C187" s="0" t="inlineStr">
        <is>
          <t>T1190</t>
        </is>
      </c>
      <c r="D187" s="0" t="n">
        <v>0.9</v>
      </c>
      <c r="E187" s="0" t="n">
        <v>3</v>
      </c>
      <c r="F187" s="0" t="n">
        <v>0.46</v>
      </c>
      <c r="G187" s="0" t="n">
        <v>2</v>
      </c>
    </row>
    <row r="188">
      <c r="A188" s="0" t="n">
        <v>47</v>
      </c>
      <c r="B188" s="0" t="n">
        <v>2</v>
      </c>
      <c r="C188" s="0" t="inlineStr">
        <is>
          <t>T1578.004</t>
        </is>
      </c>
      <c r="D188" s="0" t="n">
        <v>0.18</v>
      </c>
      <c r="E188" s="0" t="n">
        <v>1</v>
      </c>
      <c r="F188" s="0" t="n">
        <v>0.46</v>
      </c>
      <c r="G188" s="0" t="n">
        <v>2</v>
      </c>
    </row>
    <row r="189">
      <c r="A189" s="0" t="n">
        <v>47</v>
      </c>
      <c r="B189" s="0" t="n">
        <v>3</v>
      </c>
      <c r="C189" s="0" t="inlineStr">
        <is>
          <t>T1484.002</t>
        </is>
      </c>
      <c r="D189" s="0" t="n">
        <v>0.36</v>
      </c>
      <c r="E189" s="0" t="n">
        <v>2</v>
      </c>
      <c r="F189" s="0" t="n">
        <v>0.1</v>
      </c>
      <c r="G189" s="0" t="n">
        <v>3</v>
      </c>
    </row>
    <row r="190">
      <c r="A190" s="0" t="n">
        <v>47</v>
      </c>
      <c r="B190" s="0" t="n">
        <v>4</v>
      </c>
      <c r="C190" s="0" t="inlineStr">
        <is>
          <t>T1496.001</t>
        </is>
      </c>
      <c r="D190" s="0" t="n">
        <v>0.72</v>
      </c>
      <c r="E190" s="0" t="n">
        <v>3</v>
      </c>
      <c r="F190" s="0" t="n">
        <v>0.28</v>
      </c>
      <c r="G190" s="0" t="n">
        <v>2</v>
      </c>
    </row>
    <row r="191">
      <c r="A191" s="0" t="n">
        <v>48</v>
      </c>
      <c r="B191" s="0" t="n">
        <v>1</v>
      </c>
      <c r="C191" s="0" t="inlineStr">
        <is>
          <t>T1190</t>
        </is>
      </c>
      <c r="D191" s="0" t="n">
        <v>0.9</v>
      </c>
      <c r="E191" s="0" t="n">
        <v>3</v>
      </c>
      <c r="F191" s="0" t="n">
        <v>0.46</v>
      </c>
      <c r="G191" s="0" t="n">
        <v>2</v>
      </c>
    </row>
    <row r="192">
      <c r="A192" s="0" t="n">
        <v>48</v>
      </c>
      <c r="B192" s="0" t="n">
        <v>2</v>
      </c>
      <c r="C192" s="0" t="inlineStr">
        <is>
          <t>T1578.004</t>
        </is>
      </c>
      <c r="D192" s="0" t="n">
        <v>0.18</v>
      </c>
      <c r="E192" s="0" t="n">
        <v>1</v>
      </c>
      <c r="F192" s="0" t="n">
        <v>0.46</v>
      </c>
      <c r="G192" s="0" t="n">
        <v>2</v>
      </c>
    </row>
    <row r="193">
      <c r="A193" s="0" t="n">
        <v>48</v>
      </c>
      <c r="B193" s="0" t="n">
        <v>3</v>
      </c>
      <c r="C193" s="0" t="inlineStr">
        <is>
          <t>T1484.002</t>
        </is>
      </c>
      <c r="D193" s="0" t="n">
        <v>0.36</v>
      </c>
      <c r="E193" s="0" t="n">
        <v>2</v>
      </c>
      <c r="F193" s="0" t="n">
        <v>0.1</v>
      </c>
      <c r="G193" s="0" t="n">
        <v>3</v>
      </c>
    </row>
    <row r="194">
      <c r="A194" s="0" t="n">
        <v>48</v>
      </c>
      <c r="B194" s="0" t="n">
        <v>4</v>
      </c>
      <c r="C194" s="0" t="inlineStr">
        <is>
          <t>T1486</t>
        </is>
      </c>
      <c r="D194" s="0" t="n">
        <v>0.9</v>
      </c>
      <c r="E194" s="0" t="n">
        <v>3</v>
      </c>
      <c r="F194" s="0" t="n">
        <v>0.1</v>
      </c>
      <c r="G194" s="0" t="n">
        <v>3</v>
      </c>
    </row>
    <row r="195">
      <c r="A195" s="0" t="n">
        <v>49</v>
      </c>
      <c r="B195" s="0" t="n">
        <v>1</v>
      </c>
      <c r="C195" s="0" t="inlineStr">
        <is>
          <t>T1190</t>
        </is>
      </c>
      <c r="D195" s="0" t="n">
        <v>0.9</v>
      </c>
      <c r="E195" s="0" t="n">
        <v>3</v>
      </c>
      <c r="F195" s="0" t="n">
        <v>0.46</v>
      </c>
      <c r="G195" s="0" t="n">
        <v>2</v>
      </c>
    </row>
    <row r="196">
      <c r="A196" s="0" t="n">
        <v>49</v>
      </c>
      <c r="B196" s="0" t="n">
        <v>2</v>
      </c>
      <c r="C196" s="0" t="inlineStr">
        <is>
          <t>T1578.004</t>
        </is>
      </c>
      <c r="D196" s="0" t="n">
        <v>0.18</v>
      </c>
      <c r="E196" s="0" t="n">
        <v>1</v>
      </c>
      <c r="F196" s="0" t="n">
        <v>0.46</v>
      </c>
      <c r="G196" s="0" t="n">
        <v>2</v>
      </c>
    </row>
    <row r="197">
      <c r="A197" s="0" t="n">
        <v>49</v>
      </c>
      <c r="B197" s="0" t="n">
        <v>3</v>
      </c>
      <c r="C197" s="0" t="inlineStr">
        <is>
          <t>T1484.002</t>
        </is>
      </c>
      <c r="D197" s="0" t="n">
        <v>0.36</v>
      </c>
      <c r="E197" s="0" t="n">
        <v>2</v>
      </c>
      <c r="F197" s="0" t="n">
        <v>0.1</v>
      </c>
      <c r="G197" s="0" t="n">
        <v>3</v>
      </c>
    </row>
    <row r="198">
      <c r="A198" s="0" t="n">
        <v>49</v>
      </c>
      <c r="B198" s="0" t="n">
        <v>4</v>
      </c>
      <c r="C198" s="0" t="inlineStr">
        <is>
          <t>T1496.002</t>
        </is>
      </c>
      <c r="D198" s="0" t="n">
        <v>0.18</v>
      </c>
      <c r="E198" s="0" t="n">
        <v>1</v>
      </c>
      <c r="F198" s="0" t="n">
        <v>0.46</v>
      </c>
      <c r="G198" s="0" t="n">
        <v>2</v>
      </c>
    </row>
    <row r="199">
      <c r="A199" s="0" t="n">
        <v>50</v>
      </c>
      <c r="B199" s="0" t="n">
        <v>1</v>
      </c>
      <c r="C199" s="0" t="inlineStr">
        <is>
          <t>T1190</t>
        </is>
      </c>
      <c r="D199" s="0" t="n">
        <v>0.9</v>
      </c>
      <c r="E199" s="0" t="n">
        <v>3</v>
      </c>
      <c r="F199" s="0" t="n">
        <v>0.46</v>
      </c>
      <c r="G199" s="0" t="n">
        <v>2</v>
      </c>
    </row>
    <row r="200">
      <c r="A200" s="0" t="n">
        <v>50</v>
      </c>
      <c r="B200" s="0" t="n">
        <v>2</v>
      </c>
      <c r="C200" s="0" t="inlineStr">
        <is>
          <t>T1484.002</t>
        </is>
      </c>
      <c r="D200" s="0" t="n">
        <v>0.36</v>
      </c>
      <c r="E200" s="0" t="n">
        <v>2</v>
      </c>
      <c r="F200" s="0" t="n">
        <v>0.1</v>
      </c>
      <c r="G200" s="0" t="n">
        <v>3</v>
      </c>
    </row>
    <row r="201">
      <c r="A201" s="0" t="n">
        <v>50</v>
      </c>
      <c r="B201" s="0" t="n">
        <v>3</v>
      </c>
      <c r="C201" s="0" t="inlineStr">
        <is>
          <t>T1651</t>
        </is>
      </c>
      <c r="D201" s="0" t="n">
        <v>0.36</v>
      </c>
      <c r="E201" s="0" t="n">
        <v>2</v>
      </c>
      <c r="F201" s="0" t="n">
        <v>0.1</v>
      </c>
      <c r="G201" s="0" t="n">
        <v>3</v>
      </c>
    </row>
    <row r="202">
      <c r="A202" s="0" t="n">
        <v>50</v>
      </c>
      <c r="B202" s="0" t="n">
        <v>4</v>
      </c>
      <c r="C202" s="0" t="inlineStr">
        <is>
          <t>T1496.004</t>
        </is>
      </c>
      <c r="D202" s="0" t="n">
        <v>0.18</v>
      </c>
      <c r="E202" s="0" t="n">
        <v>1</v>
      </c>
      <c r="F202" s="0" t="n">
        <v>0.28</v>
      </c>
      <c r="G202" s="0" t="n">
        <v>2</v>
      </c>
    </row>
    <row r="203">
      <c r="A203" s="0" t="n">
        <v>51</v>
      </c>
      <c r="B203" s="0" t="n">
        <v>1</v>
      </c>
      <c r="C203" s="0" t="inlineStr">
        <is>
          <t>T1190</t>
        </is>
      </c>
      <c r="D203" s="0" t="n">
        <v>0.9</v>
      </c>
      <c r="E203" s="0" t="n">
        <v>3</v>
      </c>
      <c r="F203" s="0" t="n">
        <v>0.46</v>
      </c>
      <c r="G203" s="0" t="n">
        <v>2</v>
      </c>
    </row>
    <row r="204">
      <c r="A204" s="0" t="n">
        <v>51</v>
      </c>
      <c r="B204" s="0" t="n">
        <v>2</v>
      </c>
      <c r="C204" s="0" t="inlineStr">
        <is>
          <t>T1484.002</t>
        </is>
      </c>
      <c r="D204" s="0" t="n">
        <v>0.36</v>
      </c>
      <c r="E204" s="0" t="n">
        <v>2</v>
      </c>
      <c r="F204" s="0" t="n">
        <v>0.1</v>
      </c>
      <c r="G204" s="0" t="n">
        <v>3</v>
      </c>
    </row>
    <row r="205">
      <c r="A205" s="0" t="n">
        <v>51</v>
      </c>
      <c r="B205" s="0" t="n">
        <v>3</v>
      </c>
      <c r="C205" s="0" t="inlineStr">
        <is>
          <t>T1651</t>
        </is>
      </c>
      <c r="D205" s="0" t="n">
        <v>0.36</v>
      </c>
      <c r="E205" s="0" t="n">
        <v>2</v>
      </c>
      <c r="F205" s="0" t="n">
        <v>0.1</v>
      </c>
      <c r="G205" s="0" t="n">
        <v>3</v>
      </c>
    </row>
    <row r="206">
      <c r="A206" s="0" t="n">
        <v>51</v>
      </c>
      <c r="B206" s="0" t="n">
        <v>4</v>
      </c>
      <c r="C206" s="0" t="inlineStr">
        <is>
          <t>T1496.001</t>
        </is>
      </c>
      <c r="D206" s="0" t="n">
        <v>0.72</v>
      </c>
      <c r="E206" s="0" t="n">
        <v>3</v>
      </c>
      <c r="F206" s="0" t="n">
        <v>0.28</v>
      </c>
      <c r="G206" s="0" t="n">
        <v>2</v>
      </c>
    </row>
    <row r="207">
      <c r="A207" s="0" t="n">
        <v>52</v>
      </c>
      <c r="B207" s="0" t="n">
        <v>1</v>
      </c>
      <c r="C207" s="0" t="inlineStr">
        <is>
          <t>T1190</t>
        </is>
      </c>
      <c r="D207" s="0" t="n">
        <v>0.9</v>
      </c>
      <c r="E207" s="0" t="n">
        <v>3</v>
      </c>
      <c r="F207" s="0" t="n">
        <v>0.46</v>
      </c>
      <c r="G207" s="0" t="n">
        <v>2</v>
      </c>
    </row>
    <row r="208">
      <c r="A208" s="0" t="n">
        <v>52</v>
      </c>
      <c r="B208" s="0" t="n">
        <v>2</v>
      </c>
      <c r="C208" s="0" t="inlineStr">
        <is>
          <t>T1484.002</t>
        </is>
      </c>
      <c r="D208" s="0" t="n">
        <v>0.36</v>
      </c>
      <c r="E208" s="0" t="n">
        <v>2</v>
      </c>
      <c r="F208" s="0" t="n">
        <v>0.1</v>
      </c>
      <c r="G208" s="0" t="n">
        <v>3</v>
      </c>
    </row>
    <row r="209">
      <c r="A209" s="0" t="n">
        <v>52</v>
      </c>
      <c r="B209" s="0" t="n">
        <v>3</v>
      </c>
      <c r="C209" s="0" t="inlineStr">
        <is>
          <t>T1651</t>
        </is>
      </c>
      <c r="D209" s="0" t="n">
        <v>0.36</v>
      </c>
      <c r="E209" s="0" t="n">
        <v>2</v>
      </c>
      <c r="F209" s="0" t="n">
        <v>0.1</v>
      </c>
      <c r="G209" s="0" t="n">
        <v>3</v>
      </c>
    </row>
    <row r="210">
      <c r="A210" s="0" t="n">
        <v>52</v>
      </c>
      <c r="B210" s="0" t="n">
        <v>4</v>
      </c>
      <c r="C210" s="0" t="inlineStr">
        <is>
          <t>T1486</t>
        </is>
      </c>
      <c r="D210" s="0" t="n">
        <v>0.9</v>
      </c>
      <c r="E210" s="0" t="n">
        <v>3</v>
      </c>
      <c r="F210" s="0" t="n">
        <v>0.1</v>
      </c>
      <c r="G210" s="0" t="n">
        <v>3</v>
      </c>
    </row>
    <row r="211">
      <c r="A211" s="0" t="n">
        <v>53</v>
      </c>
      <c r="B211" s="0" t="n">
        <v>1</v>
      </c>
      <c r="C211" s="0" t="inlineStr">
        <is>
          <t>T1190</t>
        </is>
      </c>
      <c r="D211" s="0" t="n">
        <v>0.9</v>
      </c>
      <c r="E211" s="0" t="n">
        <v>3</v>
      </c>
      <c r="F211" s="0" t="n">
        <v>0.46</v>
      </c>
      <c r="G211" s="0" t="n">
        <v>2</v>
      </c>
    </row>
    <row r="212">
      <c r="A212" s="0" t="n">
        <v>53</v>
      </c>
      <c r="B212" s="0" t="n">
        <v>2</v>
      </c>
      <c r="C212" s="0" t="inlineStr">
        <is>
          <t>T1484.002</t>
        </is>
      </c>
      <c r="D212" s="0" t="n">
        <v>0.36</v>
      </c>
      <c r="E212" s="0" t="n">
        <v>2</v>
      </c>
      <c r="F212" s="0" t="n">
        <v>0.1</v>
      </c>
      <c r="G212" s="0" t="n">
        <v>3</v>
      </c>
    </row>
    <row r="213">
      <c r="A213" s="0" t="n">
        <v>53</v>
      </c>
      <c r="B213" s="0" t="n">
        <v>3</v>
      </c>
      <c r="C213" s="0" t="inlineStr">
        <is>
          <t>T1651</t>
        </is>
      </c>
      <c r="D213" s="0" t="n">
        <v>0.36</v>
      </c>
      <c r="E213" s="0" t="n">
        <v>2</v>
      </c>
      <c r="F213" s="0" t="n">
        <v>0.1</v>
      </c>
      <c r="G213" s="0" t="n">
        <v>3</v>
      </c>
    </row>
    <row r="214">
      <c r="A214" s="0" t="n">
        <v>53</v>
      </c>
      <c r="B214" s="0" t="n">
        <v>4</v>
      </c>
      <c r="C214" s="0" t="inlineStr">
        <is>
          <t>T1496.002</t>
        </is>
      </c>
      <c r="D214" s="0" t="n">
        <v>0.18</v>
      </c>
      <c r="E214" s="0" t="n">
        <v>1</v>
      </c>
      <c r="F214" s="0" t="n">
        <v>0.46</v>
      </c>
      <c r="G214" s="0" t="n">
        <v>2</v>
      </c>
    </row>
    <row r="215">
      <c r="A215" s="0" t="n">
        <v>54</v>
      </c>
      <c r="B215" s="0" t="n">
        <v>1</v>
      </c>
      <c r="C215" s="0" t="inlineStr">
        <is>
          <t>T1190</t>
        </is>
      </c>
      <c r="D215" s="0" t="n">
        <v>0.9</v>
      </c>
      <c r="E215" s="0" t="n">
        <v>3</v>
      </c>
      <c r="F215" s="0" t="n">
        <v>0.46</v>
      </c>
      <c r="G215" s="0" t="n">
        <v>2</v>
      </c>
    </row>
    <row r="216">
      <c r="A216" s="0" t="n">
        <v>54</v>
      </c>
      <c r="B216" s="0" t="n">
        <v>2</v>
      </c>
      <c r="C216" s="0" t="inlineStr">
        <is>
          <t>T1484.002</t>
        </is>
      </c>
      <c r="D216" s="0" t="n">
        <v>0.36</v>
      </c>
      <c r="E216" s="0" t="n">
        <v>2</v>
      </c>
      <c r="F216" s="0" t="n">
        <v>0.1</v>
      </c>
      <c r="G216" s="0" t="n">
        <v>3</v>
      </c>
    </row>
    <row r="217">
      <c r="A217" s="0" t="n">
        <v>54</v>
      </c>
      <c r="B217" s="0" t="n">
        <v>3</v>
      </c>
      <c r="C217" s="0" t="inlineStr">
        <is>
          <t>T1555.006</t>
        </is>
      </c>
      <c r="D217" s="0" t="n">
        <v>0.36</v>
      </c>
      <c r="E217" s="0" t="n">
        <v>2</v>
      </c>
      <c r="F217" s="0" t="n">
        <v>0.1</v>
      </c>
      <c r="G217" s="0" t="n">
        <v>3</v>
      </c>
    </row>
    <row r="218">
      <c r="A218" s="0" t="n">
        <v>54</v>
      </c>
      <c r="B218" s="0" t="n">
        <v>4</v>
      </c>
      <c r="C218" s="0" t="inlineStr">
        <is>
          <t>T1496.004</t>
        </is>
      </c>
      <c r="D218" s="0" t="n">
        <v>0.18</v>
      </c>
      <c r="E218" s="0" t="n">
        <v>1</v>
      </c>
      <c r="F218" s="0" t="n">
        <v>0.28</v>
      </c>
      <c r="G218" s="0" t="n">
        <v>2</v>
      </c>
    </row>
    <row r="219">
      <c r="A219" s="0" t="n">
        <v>55</v>
      </c>
      <c r="B219" s="0" t="n">
        <v>1</v>
      </c>
      <c r="C219" s="0" t="inlineStr">
        <is>
          <t>T1190</t>
        </is>
      </c>
      <c r="D219" s="0" t="n">
        <v>0.9</v>
      </c>
      <c r="E219" s="0" t="n">
        <v>3</v>
      </c>
      <c r="F219" s="0" t="n">
        <v>0.46</v>
      </c>
      <c r="G219" s="0" t="n">
        <v>2</v>
      </c>
    </row>
    <row r="220">
      <c r="A220" s="0" t="n">
        <v>55</v>
      </c>
      <c r="B220" s="0" t="n">
        <v>2</v>
      </c>
      <c r="C220" s="0" t="inlineStr">
        <is>
          <t>T1484.002</t>
        </is>
      </c>
      <c r="D220" s="0" t="n">
        <v>0.36</v>
      </c>
      <c r="E220" s="0" t="n">
        <v>2</v>
      </c>
      <c r="F220" s="0" t="n">
        <v>0.1</v>
      </c>
      <c r="G220" s="0" t="n">
        <v>3</v>
      </c>
    </row>
    <row r="221">
      <c r="A221" s="0" t="n">
        <v>55</v>
      </c>
      <c r="B221" s="0" t="n">
        <v>3</v>
      </c>
      <c r="C221" s="0" t="inlineStr">
        <is>
          <t>T1555.006</t>
        </is>
      </c>
      <c r="D221" s="0" t="n">
        <v>0.36</v>
      </c>
      <c r="E221" s="0" t="n">
        <v>2</v>
      </c>
      <c r="F221" s="0" t="n">
        <v>0.1</v>
      </c>
      <c r="G221" s="0" t="n">
        <v>3</v>
      </c>
    </row>
    <row r="222">
      <c r="A222" s="0" t="n">
        <v>55</v>
      </c>
      <c r="B222" s="0" t="n">
        <v>4</v>
      </c>
      <c r="C222" s="0" t="inlineStr">
        <is>
          <t>T1496.001</t>
        </is>
      </c>
      <c r="D222" s="0" t="n">
        <v>0.72</v>
      </c>
      <c r="E222" s="0" t="n">
        <v>3</v>
      </c>
      <c r="F222" s="0" t="n">
        <v>0.28</v>
      </c>
      <c r="G222" s="0" t="n">
        <v>2</v>
      </c>
    </row>
    <row r="223">
      <c r="A223" s="0" t="n">
        <v>56</v>
      </c>
      <c r="B223" s="0" t="n">
        <v>1</v>
      </c>
      <c r="C223" s="0" t="inlineStr">
        <is>
          <t>T1190</t>
        </is>
      </c>
      <c r="D223" s="0" t="n">
        <v>0.9</v>
      </c>
      <c r="E223" s="0" t="n">
        <v>3</v>
      </c>
      <c r="F223" s="0" t="n">
        <v>0.46</v>
      </c>
      <c r="G223" s="0" t="n">
        <v>2</v>
      </c>
    </row>
    <row r="224">
      <c r="A224" s="0" t="n">
        <v>56</v>
      </c>
      <c r="B224" s="0" t="n">
        <v>2</v>
      </c>
      <c r="C224" s="0" t="inlineStr">
        <is>
          <t>T1484.002</t>
        </is>
      </c>
      <c r="D224" s="0" t="n">
        <v>0.36</v>
      </c>
      <c r="E224" s="0" t="n">
        <v>2</v>
      </c>
      <c r="F224" s="0" t="n">
        <v>0.1</v>
      </c>
      <c r="G224" s="0" t="n">
        <v>3</v>
      </c>
    </row>
    <row r="225">
      <c r="A225" s="0" t="n">
        <v>56</v>
      </c>
      <c r="B225" s="0" t="n">
        <v>3</v>
      </c>
      <c r="C225" s="0" t="inlineStr">
        <is>
          <t>T1555.006</t>
        </is>
      </c>
      <c r="D225" s="0" t="n">
        <v>0.36</v>
      </c>
      <c r="E225" s="0" t="n">
        <v>2</v>
      </c>
      <c r="F225" s="0" t="n">
        <v>0.1</v>
      </c>
      <c r="G225" s="0" t="n">
        <v>3</v>
      </c>
    </row>
    <row r="226">
      <c r="A226" s="0" t="n">
        <v>56</v>
      </c>
      <c r="B226" s="0" t="n">
        <v>4</v>
      </c>
      <c r="C226" s="0" t="inlineStr">
        <is>
          <t>T1486</t>
        </is>
      </c>
      <c r="D226" s="0" t="n">
        <v>0.9</v>
      </c>
      <c r="E226" s="0" t="n">
        <v>3</v>
      </c>
      <c r="F226" s="0" t="n">
        <v>0.1</v>
      </c>
      <c r="G226" s="0" t="n">
        <v>3</v>
      </c>
    </row>
    <row r="227">
      <c r="A227" s="0" t="n">
        <v>57</v>
      </c>
      <c r="B227" s="0" t="n">
        <v>1</v>
      </c>
      <c r="C227" s="0" t="inlineStr">
        <is>
          <t>T1190</t>
        </is>
      </c>
      <c r="D227" s="0" t="n">
        <v>0.9</v>
      </c>
      <c r="E227" s="0" t="n">
        <v>3</v>
      </c>
      <c r="F227" s="0" t="n">
        <v>0.46</v>
      </c>
      <c r="G227" s="0" t="n">
        <v>2</v>
      </c>
    </row>
    <row r="228">
      <c r="A228" s="0" t="n">
        <v>57</v>
      </c>
      <c r="B228" s="0" t="n">
        <v>2</v>
      </c>
      <c r="C228" s="0" t="inlineStr">
        <is>
          <t>T1484.002</t>
        </is>
      </c>
      <c r="D228" s="0" t="n">
        <v>0.36</v>
      </c>
      <c r="E228" s="0" t="n">
        <v>2</v>
      </c>
      <c r="F228" s="0" t="n">
        <v>0.1</v>
      </c>
      <c r="G228" s="0" t="n">
        <v>3</v>
      </c>
    </row>
    <row r="229">
      <c r="A229" s="0" t="n">
        <v>57</v>
      </c>
      <c r="B229" s="0" t="n">
        <v>3</v>
      </c>
      <c r="C229" s="0" t="inlineStr">
        <is>
          <t>T1555.006</t>
        </is>
      </c>
      <c r="D229" s="0" t="n">
        <v>0.36</v>
      </c>
      <c r="E229" s="0" t="n">
        <v>2</v>
      </c>
      <c r="F229" s="0" t="n">
        <v>0.1</v>
      </c>
      <c r="G229" s="0" t="n">
        <v>3</v>
      </c>
    </row>
    <row r="230">
      <c r="A230" s="0" t="n">
        <v>57</v>
      </c>
      <c r="B230" s="0" t="n">
        <v>4</v>
      </c>
      <c r="C230" s="0" t="inlineStr">
        <is>
          <t>T1496.002</t>
        </is>
      </c>
      <c r="D230" s="0" t="n">
        <v>0.18</v>
      </c>
      <c r="E230" s="0" t="n">
        <v>1</v>
      </c>
      <c r="F230" s="0" t="n">
        <v>0.46</v>
      </c>
      <c r="G230" s="0" t="n">
        <v>2</v>
      </c>
    </row>
    <row r="231">
      <c r="A231" s="0" t="n">
        <v>58</v>
      </c>
      <c r="B231" s="0" t="n">
        <v>1</v>
      </c>
      <c r="C231" s="0" t="inlineStr">
        <is>
          <t>T1190</t>
        </is>
      </c>
      <c r="D231" s="0" t="n">
        <v>0.9</v>
      </c>
      <c r="E231" s="0" t="n">
        <v>3</v>
      </c>
      <c r="F231" s="0" t="n">
        <v>0.46</v>
      </c>
      <c r="G231" s="0" t="n">
        <v>2</v>
      </c>
    </row>
    <row r="232">
      <c r="A232" s="0" t="n">
        <v>58</v>
      </c>
      <c r="B232" s="0" t="n">
        <v>2</v>
      </c>
      <c r="C232" s="0" t="inlineStr">
        <is>
          <t>T1484.002</t>
        </is>
      </c>
      <c r="D232" s="0" t="n">
        <v>0.36</v>
      </c>
      <c r="E232" s="0" t="n">
        <v>2</v>
      </c>
      <c r="F232" s="0" t="n">
        <v>0.1</v>
      </c>
      <c r="G232" s="0" t="n">
        <v>3</v>
      </c>
    </row>
    <row r="233">
      <c r="A233" s="0" t="n">
        <v>58</v>
      </c>
      <c r="B233" s="0" t="n">
        <v>3</v>
      </c>
      <c r="C233" s="0" t="inlineStr">
        <is>
          <t>T1059.009</t>
        </is>
      </c>
      <c r="D233" s="0" t="n">
        <v>0.36</v>
      </c>
      <c r="E233" s="0" t="n">
        <v>2</v>
      </c>
      <c r="F233" s="0" t="n">
        <v>0.1</v>
      </c>
      <c r="G233" s="0" t="n">
        <v>3</v>
      </c>
    </row>
    <row r="234">
      <c r="A234" s="0" t="n">
        <v>58</v>
      </c>
      <c r="B234" s="0" t="n">
        <v>4</v>
      </c>
      <c r="C234" s="0" t="inlineStr">
        <is>
          <t>T1496.004</t>
        </is>
      </c>
      <c r="D234" s="0" t="n">
        <v>0.18</v>
      </c>
      <c r="E234" s="0" t="n">
        <v>1</v>
      </c>
      <c r="F234" s="0" t="n">
        <v>0.28</v>
      </c>
      <c r="G234" s="0" t="n">
        <v>2</v>
      </c>
    </row>
    <row r="235">
      <c r="A235" s="0" t="n">
        <v>59</v>
      </c>
      <c r="B235" s="0" t="n">
        <v>1</v>
      </c>
      <c r="C235" s="0" t="inlineStr">
        <is>
          <t>T1190</t>
        </is>
      </c>
      <c r="D235" s="0" t="n">
        <v>0.9</v>
      </c>
      <c r="E235" s="0" t="n">
        <v>3</v>
      </c>
      <c r="F235" s="0" t="n">
        <v>0.46</v>
      </c>
      <c r="G235" s="0" t="n">
        <v>2</v>
      </c>
    </row>
    <row r="236">
      <c r="A236" s="0" t="n">
        <v>59</v>
      </c>
      <c r="B236" s="0" t="n">
        <v>2</v>
      </c>
      <c r="C236" s="0" t="inlineStr">
        <is>
          <t>T1484.002</t>
        </is>
      </c>
      <c r="D236" s="0" t="n">
        <v>0.36</v>
      </c>
      <c r="E236" s="0" t="n">
        <v>2</v>
      </c>
      <c r="F236" s="0" t="n">
        <v>0.1</v>
      </c>
      <c r="G236" s="0" t="n">
        <v>3</v>
      </c>
    </row>
    <row r="237">
      <c r="A237" s="0" t="n">
        <v>59</v>
      </c>
      <c r="B237" s="0" t="n">
        <v>3</v>
      </c>
      <c r="C237" s="0" t="inlineStr">
        <is>
          <t>T1059.009</t>
        </is>
      </c>
      <c r="D237" s="0" t="n">
        <v>0.36</v>
      </c>
      <c r="E237" s="0" t="n">
        <v>2</v>
      </c>
      <c r="F237" s="0" t="n">
        <v>0.1</v>
      </c>
      <c r="G237" s="0" t="n">
        <v>3</v>
      </c>
    </row>
    <row r="238">
      <c r="A238" s="0" t="n">
        <v>59</v>
      </c>
      <c r="B238" s="0" t="n">
        <v>4</v>
      </c>
      <c r="C238" s="0" t="inlineStr">
        <is>
          <t>T1496.001</t>
        </is>
      </c>
      <c r="D238" s="0" t="n">
        <v>0.72</v>
      </c>
      <c r="E238" s="0" t="n">
        <v>3</v>
      </c>
      <c r="F238" s="0" t="n">
        <v>0.28</v>
      </c>
      <c r="G238" s="0" t="n">
        <v>2</v>
      </c>
    </row>
    <row r="239">
      <c r="A239" s="0" t="n">
        <v>60</v>
      </c>
      <c r="B239" s="0" t="n">
        <v>1</v>
      </c>
      <c r="C239" s="0" t="inlineStr">
        <is>
          <t>T1190</t>
        </is>
      </c>
      <c r="D239" s="0" t="n">
        <v>0.9</v>
      </c>
      <c r="E239" s="0" t="n">
        <v>3</v>
      </c>
      <c r="F239" s="0" t="n">
        <v>0.46</v>
      </c>
      <c r="G239" s="0" t="n">
        <v>2</v>
      </c>
    </row>
    <row r="240">
      <c r="A240" s="0" t="n">
        <v>60</v>
      </c>
      <c r="B240" s="0" t="n">
        <v>2</v>
      </c>
      <c r="C240" s="0" t="inlineStr">
        <is>
          <t>T1484.002</t>
        </is>
      </c>
      <c r="D240" s="0" t="n">
        <v>0.36</v>
      </c>
      <c r="E240" s="0" t="n">
        <v>2</v>
      </c>
      <c r="F240" s="0" t="n">
        <v>0.1</v>
      </c>
      <c r="G240" s="0" t="n">
        <v>3</v>
      </c>
    </row>
    <row r="241">
      <c r="A241" s="0" t="n">
        <v>60</v>
      </c>
      <c r="B241" s="0" t="n">
        <v>3</v>
      </c>
      <c r="C241" s="0" t="inlineStr">
        <is>
          <t>T1059.009</t>
        </is>
      </c>
      <c r="D241" s="0" t="n">
        <v>0.36</v>
      </c>
      <c r="E241" s="0" t="n">
        <v>2</v>
      </c>
      <c r="F241" s="0" t="n">
        <v>0.1</v>
      </c>
      <c r="G241" s="0" t="n">
        <v>3</v>
      </c>
    </row>
    <row r="242">
      <c r="A242" s="0" t="n">
        <v>60</v>
      </c>
      <c r="B242" s="0" t="n">
        <v>4</v>
      </c>
      <c r="C242" s="0" t="inlineStr">
        <is>
          <t>T1486</t>
        </is>
      </c>
      <c r="D242" s="0" t="n">
        <v>0.9</v>
      </c>
      <c r="E242" s="0" t="n">
        <v>3</v>
      </c>
      <c r="F242" s="0" t="n">
        <v>0.1</v>
      </c>
      <c r="G242" s="0" t="n">
        <v>3</v>
      </c>
    </row>
    <row r="243">
      <c r="A243" s="0" t="n">
        <v>61</v>
      </c>
      <c r="B243" s="0" t="n">
        <v>1</v>
      </c>
      <c r="C243" s="0" t="inlineStr">
        <is>
          <t>T1190</t>
        </is>
      </c>
      <c r="D243" s="0" t="n">
        <v>0.9</v>
      </c>
      <c r="E243" s="0" t="n">
        <v>3</v>
      </c>
      <c r="F243" s="0" t="n">
        <v>0.46</v>
      </c>
      <c r="G243" s="0" t="n">
        <v>2</v>
      </c>
    </row>
    <row r="244">
      <c r="A244" s="0" t="n">
        <v>61</v>
      </c>
      <c r="B244" s="0" t="n">
        <v>2</v>
      </c>
      <c r="C244" s="0" t="inlineStr">
        <is>
          <t>T1484.002</t>
        </is>
      </c>
      <c r="D244" s="0" t="n">
        <v>0.36</v>
      </c>
      <c r="E244" s="0" t="n">
        <v>2</v>
      </c>
      <c r="F244" s="0" t="n">
        <v>0.1</v>
      </c>
      <c r="G244" s="0" t="n">
        <v>3</v>
      </c>
    </row>
    <row r="245">
      <c r="A245" s="0" t="n">
        <v>61</v>
      </c>
      <c r="B245" s="0" t="n">
        <v>3</v>
      </c>
      <c r="C245" s="0" t="inlineStr">
        <is>
          <t>T1059.009</t>
        </is>
      </c>
      <c r="D245" s="0" t="n">
        <v>0.36</v>
      </c>
      <c r="E245" s="0" t="n">
        <v>2</v>
      </c>
      <c r="F245" s="0" t="n">
        <v>0.1</v>
      </c>
      <c r="G245" s="0" t="n">
        <v>3</v>
      </c>
    </row>
    <row r="246">
      <c r="A246" s="0" t="n">
        <v>61</v>
      </c>
      <c r="B246" s="0" t="n">
        <v>4</v>
      </c>
      <c r="C246" s="0" t="inlineStr">
        <is>
          <t>T1496.002</t>
        </is>
      </c>
      <c r="D246" s="0" t="n">
        <v>0.18</v>
      </c>
      <c r="E246" s="0" t="n">
        <v>1</v>
      </c>
      <c r="F246" s="0" t="n">
        <v>0.46</v>
      </c>
      <c r="G246" s="0" t="n">
        <v>2</v>
      </c>
    </row>
    <row r="247">
      <c r="A247" s="0" t="n">
        <v>62</v>
      </c>
      <c r="B247" s="0" t="n">
        <v>1</v>
      </c>
      <c r="C247" s="0" t="inlineStr">
        <is>
          <t>T1190</t>
        </is>
      </c>
      <c r="D247" s="0" t="n">
        <v>0.9</v>
      </c>
      <c r="E247" s="0" t="n">
        <v>3</v>
      </c>
      <c r="F247" s="0" t="n">
        <v>0.46</v>
      </c>
      <c r="G247" s="0" t="n">
        <v>2</v>
      </c>
    </row>
    <row r="248">
      <c r="A248" s="0" t="n">
        <v>62</v>
      </c>
      <c r="B248" s="0" t="n">
        <v>2</v>
      </c>
      <c r="C248" s="0" t="inlineStr">
        <is>
          <t>T1484.002</t>
        </is>
      </c>
      <c r="D248" s="0" t="n">
        <v>0.36</v>
      </c>
      <c r="E248" s="0" t="n">
        <v>2</v>
      </c>
      <c r="F248" s="0" t="n">
        <v>0.1</v>
      </c>
      <c r="G248" s="0" t="n">
        <v>3</v>
      </c>
    </row>
    <row r="249">
      <c r="A249" s="0" t="n">
        <v>62</v>
      </c>
      <c r="B249" s="0" t="n">
        <v>3</v>
      </c>
      <c r="C249" s="0" t="inlineStr">
        <is>
          <t>T1484.002</t>
        </is>
      </c>
      <c r="D249" s="0" t="n">
        <v>0.36</v>
      </c>
      <c r="E249" s="0" t="n">
        <v>2</v>
      </c>
      <c r="F249" s="0" t="n">
        <v>0.1</v>
      </c>
      <c r="G249" s="0" t="n">
        <v>3</v>
      </c>
    </row>
    <row r="250">
      <c r="A250" s="0" t="n">
        <v>62</v>
      </c>
      <c r="B250" s="0" t="n">
        <v>4</v>
      </c>
      <c r="C250" s="0" t="inlineStr">
        <is>
          <t>T1496.004</t>
        </is>
      </c>
      <c r="D250" s="0" t="n">
        <v>0.18</v>
      </c>
      <c r="E250" s="0" t="n">
        <v>1</v>
      </c>
      <c r="F250" s="0" t="n">
        <v>0.28</v>
      </c>
      <c r="G250" s="0" t="n">
        <v>2</v>
      </c>
    </row>
    <row r="251">
      <c r="A251" s="0" t="n">
        <v>63</v>
      </c>
      <c r="B251" s="0" t="n">
        <v>1</v>
      </c>
      <c r="C251" s="0" t="inlineStr">
        <is>
          <t>T1190</t>
        </is>
      </c>
      <c r="D251" s="0" t="n">
        <v>0.9</v>
      </c>
      <c r="E251" s="0" t="n">
        <v>3</v>
      </c>
      <c r="F251" s="0" t="n">
        <v>0.46</v>
      </c>
      <c r="G251" s="0" t="n">
        <v>2</v>
      </c>
    </row>
    <row r="252">
      <c r="A252" s="0" t="n">
        <v>63</v>
      </c>
      <c r="B252" s="0" t="n">
        <v>2</v>
      </c>
      <c r="C252" s="0" t="inlineStr">
        <is>
          <t>T1484.002</t>
        </is>
      </c>
      <c r="D252" s="0" t="n">
        <v>0.36</v>
      </c>
      <c r="E252" s="0" t="n">
        <v>2</v>
      </c>
      <c r="F252" s="0" t="n">
        <v>0.1</v>
      </c>
      <c r="G252" s="0" t="n">
        <v>3</v>
      </c>
    </row>
    <row r="253">
      <c r="A253" s="0" t="n">
        <v>63</v>
      </c>
      <c r="B253" s="0" t="n">
        <v>3</v>
      </c>
      <c r="C253" s="0" t="inlineStr">
        <is>
          <t>T1484.002</t>
        </is>
      </c>
      <c r="D253" s="0" t="n">
        <v>0.36</v>
      </c>
      <c r="E253" s="0" t="n">
        <v>2</v>
      </c>
      <c r="F253" s="0" t="n">
        <v>0.1</v>
      </c>
      <c r="G253" s="0" t="n">
        <v>3</v>
      </c>
    </row>
    <row r="254">
      <c r="A254" s="0" t="n">
        <v>63</v>
      </c>
      <c r="B254" s="0" t="n">
        <v>4</v>
      </c>
      <c r="C254" s="0" t="inlineStr">
        <is>
          <t>T1496.001</t>
        </is>
      </c>
      <c r="D254" s="0" t="n">
        <v>0.72</v>
      </c>
      <c r="E254" s="0" t="n">
        <v>3</v>
      </c>
      <c r="F254" s="0" t="n">
        <v>0.28</v>
      </c>
      <c r="G254" s="0" t="n">
        <v>2</v>
      </c>
    </row>
    <row r="255">
      <c r="A255" s="0" t="n">
        <v>64</v>
      </c>
      <c r="B255" s="0" t="n">
        <v>1</v>
      </c>
      <c r="C255" s="0" t="inlineStr">
        <is>
          <t>T1190</t>
        </is>
      </c>
      <c r="D255" s="0" t="n">
        <v>0.9</v>
      </c>
      <c r="E255" s="0" t="n">
        <v>3</v>
      </c>
      <c r="F255" s="0" t="n">
        <v>0.46</v>
      </c>
      <c r="G255" s="0" t="n">
        <v>2</v>
      </c>
    </row>
    <row r="256">
      <c r="A256" s="0" t="n">
        <v>64</v>
      </c>
      <c r="B256" s="0" t="n">
        <v>2</v>
      </c>
      <c r="C256" s="0" t="inlineStr">
        <is>
          <t>T1484.002</t>
        </is>
      </c>
      <c r="D256" s="0" t="n">
        <v>0.36</v>
      </c>
      <c r="E256" s="0" t="n">
        <v>2</v>
      </c>
      <c r="F256" s="0" t="n">
        <v>0.1</v>
      </c>
      <c r="G256" s="0" t="n">
        <v>3</v>
      </c>
    </row>
    <row r="257">
      <c r="A257" s="0" t="n">
        <v>64</v>
      </c>
      <c r="B257" s="0" t="n">
        <v>3</v>
      </c>
      <c r="C257" s="0" t="inlineStr">
        <is>
          <t>T1484.002</t>
        </is>
      </c>
      <c r="D257" s="0" t="n">
        <v>0.36</v>
      </c>
      <c r="E257" s="0" t="n">
        <v>2</v>
      </c>
      <c r="F257" s="0" t="n">
        <v>0.1</v>
      </c>
      <c r="G257" s="0" t="n">
        <v>3</v>
      </c>
    </row>
    <row r="258">
      <c r="A258" s="0" t="n">
        <v>64</v>
      </c>
      <c r="B258" s="0" t="n">
        <v>4</v>
      </c>
      <c r="C258" s="0" t="inlineStr">
        <is>
          <t>T1486</t>
        </is>
      </c>
      <c r="D258" s="0" t="n">
        <v>0.9</v>
      </c>
      <c r="E258" s="0" t="n">
        <v>3</v>
      </c>
      <c r="F258" s="0" t="n">
        <v>0.1</v>
      </c>
      <c r="G258" s="0" t="n">
        <v>3</v>
      </c>
    </row>
    <row r="259">
      <c r="A259" s="0" t="n">
        <v>65</v>
      </c>
      <c r="B259" s="0" t="n">
        <v>1</v>
      </c>
      <c r="C259" s="0" t="inlineStr">
        <is>
          <t>T1190</t>
        </is>
      </c>
      <c r="D259" s="0" t="n">
        <v>0.9</v>
      </c>
      <c r="E259" s="0" t="n">
        <v>3</v>
      </c>
      <c r="F259" s="0" t="n">
        <v>0.46</v>
      </c>
      <c r="G259" s="0" t="n">
        <v>2</v>
      </c>
    </row>
    <row r="260">
      <c r="A260" s="0" t="n">
        <v>65</v>
      </c>
      <c r="B260" s="0" t="n">
        <v>2</v>
      </c>
      <c r="C260" s="0" t="inlineStr">
        <is>
          <t>T1484.002</t>
        </is>
      </c>
      <c r="D260" s="0" t="n">
        <v>0.36</v>
      </c>
      <c r="E260" s="0" t="n">
        <v>2</v>
      </c>
      <c r="F260" s="0" t="n">
        <v>0.1</v>
      </c>
      <c r="G260" s="0" t="n">
        <v>3</v>
      </c>
    </row>
    <row r="261">
      <c r="A261" s="0" t="n">
        <v>65</v>
      </c>
      <c r="B261" s="0" t="n">
        <v>3</v>
      </c>
      <c r="C261" s="0" t="inlineStr">
        <is>
          <t>T1484.002</t>
        </is>
      </c>
      <c r="D261" s="0" t="n">
        <v>0.36</v>
      </c>
      <c r="E261" s="0" t="n">
        <v>2</v>
      </c>
      <c r="F261" s="0" t="n">
        <v>0.1</v>
      </c>
      <c r="G261" s="0" t="n">
        <v>3</v>
      </c>
    </row>
    <row r="262">
      <c r="A262" s="0" t="n">
        <v>65</v>
      </c>
      <c r="B262" s="0" t="n">
        <v>4</v>
      </c>
      <c r="C262" s="0" t="inlineStr">
        <is>
          <t>T1496.002</t>
        </is>
      </c>
      <c r="D262" s="0" t="n">
        <v>0.18</v>
      </c>
      <c r="E262" s="0" t="n">
        <v>1</v>
      </c>
      <c r="F262" s="0" t="n">
        <v>0.46</v>
      </c>
      <c r="G262" s="0"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8"/>
  <sheetData>
    <row r="1">
      <c r="A1" s="2" t="inlineStr">
        <is>
          <t>総合採点ルール</t>
        </is>
      </c>
      <c r="B1" s="2" t="n"/>
    </row>
    <row r="2">
      <c r="A2" s="0" t="inlineStr">
        <is>
          <t>Business Impact</t>
        </is>
      </c>
      <c r="B2" s="0" t="inlineStr">
        <is>
          <t>各攻撃ツリーの4つの攻撃ステップのうち最大値を採用</t>
        </is>
      </c>
    </row>
    <row r="3">
      <c r="A3" s="0" t="inlineStr">
        <is>
          <t>Threat</t>
        </is>
      </c>
      <c r="B3" s="0" t="inlineStr">
        <is>
          <t>SPRVのPiを3段階変換した各Step値のうち最大値を採用</t>
        </is>
      </c>
    </row>
    <row r="4">
      <c r="A4" s="0" t="inlineStr">
        <is>
          <t>Mitigation</t>
        </is>
      </c>
      <c r="B4" s="0" t="inlineStr">
        <is>
          <t>SPRVのMiを3段階変換した各Step値のうち最大値を採用</t>
        </is>
      </c>
    </row>
    <row r="5">
      <c r="A5" s="0" t="inlineStr">
        <is>
          <t>Vulnerability</t>
        </is>
      </c>
      <c r="B5" s="0" t="inlineStr">
        <is>
          <t>Vulnerability = 4 - Mitigation</t>
        </is>
      </c>
    </row>
    <row r="7">
      <c r="A7" s="0" t="inlineStr">
        <is>
          <t>Pi→Threat変換</t>
        </is>
      </c>
      <c r="B7" s="0" t="inlineStr">
        <is>
          <t>Pi&lt;=0.2 =&gt; 1 ; 0.2&lt;Pi&lt;=0.5 =&gt; 2 ; Pi&gt;0.5 =&gt; 3</t>
        </is>
      </c>
    </row>
    <row r="8">
      <c r="A8" s="0" t="inlineStr">
        <is>
          <t>Mi→Mitigation変換</t>
        </is>
      </c>
      <c r="B8" s="0" t="inlineStr">
        <is>
          <t>Mi&lt;=0.2 =&gt; 3 ; 0.2&lt;Mi&lt;=0.5 =&gt; 2 ; Mi&gt;0.5 =&gt; 1</t>
        </is>
      </c>
    </row>
    <row r="10">
      <c r="A10" s="0" t="inlineStr">
        <is>
          <t>リスク判定</t>
        </is>
      </c>
    </row>
    <row r="11">
      <c r="A11" s="0" t="inlineStr">
        <is>
          <t>A</t>
        </is>
      </c>
      <c r="B11" s="0" t="inlineStr">
        <is>
          <t>Business Impact=3 かつ 6&lt;=Threat×Vulnerability&lt;=9</t>
        </is>
      </c>
    </row>
    <row r="12">
      <c r="A12" s="0" t="inlineStr">
        <is>
          <t>B</t>
        </is>
      </c>
      <c r="B12" s="0" t="inlineStr">
        <is>
          <t>Business Impact=3 かつ 3&lt;=Threat×Vulnerability&lt;6, または Business Impact=2 かつ 6&lt;=Threat×Vulnerability&lt;=9</t>
        </is>
      </c>
    </row>
    <row r="13">
      <c r="A13" s="0" t="inlineStr">
        <is>
          <t>C</t>
        </is>
      </c>
      <c r="B13" s="0" t="inlineStr">
        <is>
          <t>Business Impact=3 かつ Threat×Vulnerability&lt;3, または Business Impact=2 かつ 3&lt;=Threat×Vulnerability&lt;6, または Business Impact=1 かつ 6&lt;=Threat×Vulnerability&lt;=9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7"/>
  <sheetViews>
    <sheetView workbookViewId="0">
      <pane ySplit="1" topLeftCell="A2" activePane="bottomLeft" state="frozen"/>
      <selection pane="bottomLeft" activeCell="A1" sqref="A1"/>
    </sheetView>
  </sheetViews>
  <sheetFormatPr baseColWidth="8" defaultRowHeight="18"/>
  <sheetData>
    <row r="1">
      <c r="A1" s="5" t="inlineStr">
        <is>
          <t>AttackTree_ID</t>
        </is>
      </c>
      <c r="B1" s="5" t="inlineStr">
        <is>
          <t>AttackTree_Key</t>
        </is>
      </c>
      <c r="C1" s="5" t="inlineStr">
        <is>
          <t>Step_num</t>
        </is>
      </c>
      <c r="D1" s="5" t="inlineStr">
        <is>
          <t>Technique_ID</t>
        </is>
      </c>
      <c r="E1" s="5" t="inlineStr">
        <is>
          <t>Pi</t>
        </is>
      </c>
      <c r="F1" s="5" t="inlineStr">
        <is>
          <t>Li</t>
        </is>
      </c>
      <c r="G1" s="5" t="inlineStr">
        <is>
          <t>Mi</t>
        </is>
      </c>
    </row>
    <row r="2">
      <c r="A2" s="0" t="n">
        <v>1</v>
      </c>
      <c r="B2" s="0" t="inlineStr">
        <is>
          <t>B-001</t>
        </is>
      </c>
      <c r="C2" s="0" t="n">
        <v>1</v>
      </c>
      <c r="D2" s="0" t="inlineStr">
        <is>
          <t>T1190</t>
        </is>
      </c>
      <c r="E2" s="0" t="n">
        <v>0.9</v>
      </c>
      <c r="F2" s="0" t="n">
        <v>3</v>
      </c>
      <c r="G2" s="0" t="n">
        <v>0.46</v>
      </c>
    </row>
    <row r="3">
      <c r="A3" s="0" t="n">
        <v>1</v>
      </c>
      <c r="B3" s="0" t="inlineStr">
        <is>
          <t>B-001</t>
        </is>
      </c>
      <c r="C3" s="0" t="n">
        <v>2</v>
      </c>
      <c r="D3" s="0" t="inlineStr">
        <is>
          <t>T1021.007</t>
        </is>
      </c>
      <c r="E3" s="0" t="n">
        <v>0.36</v>
      </c>
      <c r="F3" s="0" t="n">
        <v>5</v>
      </c>
      <c r="G3" s="0" t="n">
        <v>0.1</v>
      </c>
    </row>
    <row r="4">
      <c r="A4" s="0" t="n">
        <v>1</v>
      </c>
      <c r="B4" s="0" t="inlineStr">
        <is>
          <t>B-001</t>
        </is>
      </c>
      <c r="C4" s="0" t="n">
        <v>3</v>
      </c>
      <c r="D4" s="0" t="inlineStr">
        <is>
          <t>T1059.009</t>
        </is>
      </c>
      <c r="E4" s="0" t="n">
        <v>0.36</v>
      </c>
      <c r="F4" s="0" t="n">
        <v>5</v>
      </c>
      <c r="G4" s="0" t="n">
        <v>0.1</v>
      </c>
    </row>
    <row r="5">
      <c r="A5" s="0" t="n">
        <v>1</v>
      </c>
      <c r="B5" s="0" t="inlineStr">
        <is>
          <t>B-001</t>
        </is>
      </c>
      <c r="C5" s="0" t="n">
        <v>4</v>
      </c>
      <c r="D5" s="0" t="inlineStr">
        <is>
          <t>T1486</t>
        </is>
      </c>
      <c r="E5" s="0" t="n">
        <v>0.9</v>
      </c>
      <c r="F5" s="0" t="n">
        <v>5</v>
      </c>
      <c r="G5" s="0" t="n">
        <v>0.1</v>
      </c>
    </row>
    <row r="6">
      <c r="A6" s="0" t="n">
        <v>2</v>
      </c>
      <c r="B6" s="0" t="inlineStr">
        <is>
          <t>B-002</t>
        </is>
      </c>
      <c r="C6" s="0" t="n">
        <v>1</v>
      </c>
      <c r="D6" s="0" t="inlineStr">
        <is>
          <t>T1190</t>
        </is>
      </c>
      <c r="E6" s="0" t="n">
        <v>0.9</v>
      </c>
      <c r="F6" s="0" t="n">
        <v>3</v>
      </c>
      <c r="G6" s="0" t="n">
        <v>0.46</v>
      </c>
    </row>
    <row r="7">
      <c r="A7" s="0" t="n">
        <v>2</v>
      </c>
      <c r="B7" s="0" t="inlineStr">
        <is>
          <t>B-002</t>
        </is>
      </c>
      <c r="C7" s="0" t="n">
        <v>2</v>
      </c>
      <c r="D7" s="0" t="inlineStr">
        <is>
          <t>T1021.007</t>
        </is>
      </c>
      <c r="E7" s="0" t="n">
        <v>0.36</v>
      </c>
      <c r="F7" s="0" t="n">
        <v>5</v>
      </c>
      <c r="G7" s="0" t="n">
        <v>0.1</v>
      </c>
    </row>
    <row r="8">
      <c r="A8" s="0" t="n">
        <v>2</v>
      </c>
      <c r="B8" s="0" t="inlineStr">
        <is>
          <t>B-002</t>
        </is>
      </c>
      <c r="C8" s="0" t="n">
        <v>3</v>
      </c>
      <c r="D8" s="0" t="inlineStr">
        <is>
          <t>T1059.009</t>
        </is>
      </c>
      <c r="E8" s="0" t="n">
        <v>0.36</v>
      </c>
      <c r="F8" s="0" t="n">
        <v>5</v>
      </c>
      <c r="G8" s="0" t="n">
        <v>0.1</v>
      </c>
    </row>
    <row r="9">
      <c r="A9" s="0" t="n">
        <v>2</v>
      </c>
      <c r="B9" s="0" t="inlineStr">
        <is>
          <t>B-002</t>
        </is>
      </c>
      <c r="C9" s="0" t="n">
        <v>4</v>
      </c>
      <c r="D9" s="0" t="inlineStr">
        <is>
          <t>T1496.001</t>
        </is>
      </c>
      <c r="E9" s="0" t="n">
        <v>0.72</v>
      </c>
      <c r="F9" s="0" t="n">
        <v>4</v>
      </c>
      <c r="G9" s="0" t="n">
        <v>0.28</v>
      </c>
    </row>
    <row r="10">
      <c r="A10" s="0" t="n">
        <v>3</v>
      </c>
      <c r="B10" s="0" t="inlineStr">
        <is>
          <t>B-003</t>
        </is>
      </c>
      <c r="C10" s="0" t="n">
        <v>1</v>
      </c>
      <c r="D10" s="0" t="inlineStr">
        <is>
          <t>T1190</t>
        </is>
      </c>
      <c r="E10" s="0" t="n">
        <v>0.9</v>
      </c>
      <c r="F10" s="0" t="n">
        <v>3</v>
      </c>
      <c r="G10" s="0" t="n">
        <v>0.46</v>
      </c>
    </row>
    <row r="11">
      <c r="A11" s="0" t="n">
        <v>3</v>
      </c>
      <c r="B11" s="0" t="inlineStr">
        <is>
          <t>B-003</t>
        </is>
      </c>
      <c r="C11" s="0" t="n">
        <v>2</v>
      </c>
      <c r="D11" s="0" t="inlineStr">
        <is>
          <t>T1021.007</t>
        </is>
      </c>
      <c r="E11" s="0" t="n">
        <v>0.36</v>
      </c>
      <c r="F11" s="0" t="n">
        <v>5</v>
      </c>
      <c r="G11" s="0" t="n">
        <v>0.1</v>
      </c>
    </row>
    <row r="12">
      <c r="A12" s="0" t="n">
        <v>3</v>
      </c>
      <c r="B12" s="0" t="inlineStr">
        <is>
          <t>B-003</t>
        </is>
      </c>
      <c r="C12" s="0" t="n">
        <v>3</v>
      </c>
      <c r="D12" s="0" t="inlineStr">
        <is>
          <t>T1059.009</t>
        </is>
      </c>
      <c r="E12" s="0" t="n">
        <v>0.36</v>
      </c>
      <c r="F12" s="0" t="n">
        <v>5</v>
      </c>
      <c r="G12" s="0" t="n">
        <v>0.1</v>
      </c>
    </row>
    <row r="13">
      <c r="A13" s="0" t="n">
        <v>3</v>
      </c>
      <c r="B13" s="0" t="inlineStr">
        <is>
          <t>B-003</t>
        </is>
      </c>
      <c r="C13" s="0" t="n">
        <v>4</v>
      </c>
      <c r="D13" s="0" t="inlineStr">
        <is>
          <t>T1496.002</t>
        </is>
      </c>
      <c r="E13" s="0" t="n">
        <v>0.18</v>
      </c>
      <c r="F13" s="0" t="n">
        <v>3</v>
      </c>
      <c r="G13" s="0" t="n">
        <v>0.46</v>
      </c>
    </row>
    <row r="14">
      <c r="A14" s="0" t="n">
        <v>4</v>
      </c>
      <c r="B14" s="0" t="inlineStr">
        <is>
          <t>B-004</t>
        </is>
      </c>
      <c r="C14" s="0" t="n">
        <v>1</v>
      </c>
      <c r="D14" s="0" t="inlineStr">
        <is>
          <t>T1190</t>
        </is>
      </c>
      <c r="E14" s="0" t="n">
        <v>0.9</v>
      </c>
      <c r="F14" s="0" t="n">
        <v>3</v>
      </c>
      <c r="G14" s="0" t="n">
        <v>0.46</v>
      </c>
    </row>
    <row r="15">
      <c r="A15" s="0" t="n">
        <v>4</v>
      </c>
      <c r="B15" s="0" t="inlineStr">
        <is>
          <t>B-004</t>
        </is>
      </c>
      <c r="C15" s="0" t="n">
        <v>2</v>
      </c>
      <c r="D15" s="0" t="inlineStr">
        <is>
          <t>T1021.007</t>
        </is>
      </c>
      <c r="E15" s="0" t="n">
        <v>0.36</v>
      </c>
      <c r="F15" s="0" t="n">
        <v>5</v>
      </c>
      <c r="G15" s="0" t="n">
        <v>0.1</v>
      </c>
    </row>
    <row r="16">
      <c r="A16" s="0" t="n">
        <v>4</v>
      </c>
      <c r="B16" s="0" t="inlineStr">
        <is>
          <t>B-004</t>
        </is>
      </c>
      <c r="C16" s="0" t="n">
        <v>3</v>
      </c>
      <c r="D16" s="0" t="inlineStr">
        <is>
          <t>T1059.009</t>
        </is>
      </c>
      <c r="E16" s="0" t="n">
        <v>0.36</v>
      </c>
      <c r="F16" s="0" t="n">
        <v>5</v>
      </c>
      <c r="G16" s="0" t="n">
        <v>0.1</v>
      </c>
    </row>
    <row r="17">
      <c r="A17" s="0" t="n">
        <v>4</v>
      </c>
      <c r="B17" s="0" t="inlineStr">
        <is>
          <t>B-004</t>
        </is>
      </c>
      <c r="C17" s="0" t="n">
        <v>4</v>
      </c>
      <c r="D17" s="0" t="inlineStr">
        <is>
          <t>T1496.004</t>
        </is>
      </c>
      <c r="E17" s="0" t="n">
        <v>0.18</v>
      </c>
      <c r="F17" s="0" t="n">
        <v>4</v>
      </c>
      <c r="G17" s="0" t="n">
        <v>0.28</v>
      </c>
    </row>
    <row r="18">
      <c r="A18" s="0" t="n">
        <v>5</v>
      </c>
      <c r="B18" s="0" t="inlineStr">
        <is>
          <t>B-005</t>
        </is>
      </c>
      <c r="C18" s="0" t="n">
        <v>1</v>
      </c>
      <c r="D18" s="0" t="inlineStr">
        <is>
          <t>T1190</t>
        </is>
      </c>
      <c r="E18" s="0" t="n">
        <v>0.9</v>
      </c>
      <c r="F18" s="0" t="n">
        <v>3</v>
      </c>
      <c r="G18" s="0" t="n">
        <v>0.46</v>
      </c>
    </row>
    <row r="19">
      <c r="A19" s="0" t="n">
        <v>5</v>
      </c>
      <c r="B19" s="0" t="inlineStr">
        <is>
          <t>B-005</t>
        </is>
      </c>
      <c r="C19" s="0" t="n">
        <v>2</v>
      </c>
      <c r="D19" s="0" t="inlineStr">
        <is>
          <t>T1021.007</t>
        </is>
      </c>
      <c r="E19" s="0" t="n">
        <v>0.36</v>
      </c>
      <c r="F19" s="0" t="n">
        <v>5</v>
      </c>
      <c r="G19" s="0" t="n">
        <v>0.1</v>
      </c>
    </row>
    <row r="20">
      <c r="A20" s="0" t="n">
        <v>5</v>
      </c>
      <c r="B20" s="0" t="inlineStr">
        <is>
          <t>B-005</t>
        </is>
      </c>
      <c r="C20" s="0" t="n">
        <v>3</v>
      </c>
      <c r="D20" s="0" t="inlineStr">
        <is>
          <t>T1484.002</t>
        </is>
      </c>
      <c r="E20" s="0" t="n">
        <v>0.36</v>
      </c>
      <c r="F20" s="0" t="n">
        <v>5</v>
      </c>
      <c r="G20" s="0" t="n">
        <v>0.1</v>
      </c>
    </row>
    <row r="21">
      <c r="A21" s="0" t="n">
        <v>5</v>
      </c>
      <c r="B21" s="0" t="inlineStr">
        <is>
          <t>B-005</t>
        </is>
      </c>
      <c r="C21" s="0" t="n">
        <v>4</v>
      </c>
      <c r="D21" s="0" t="inlineStr">
        <is>
          <t>T1486</t>
        </is>
      </c>
      <c r="E21" s="0" t="n">
        <v>0.9</v>
      </c>
      <c r="F21" s="0" t="n">
        <v>5</v>
      </c>
      <c r="G21" s="0" t="n">
        <v>0.1</v>
      </c>
    </row>
    <row r="22">
      <c r="A22" s="0" t="n">
        <v>6</v>
      </c>
      <c r="B22" s="0" t="inlineStr">
        <is>
          <t>B-006</t>
        </is>
      </c>
      <c r="C22" s="0" t="n">
        <v>1</v>
      </c>
      <c r="D22" s="0" t="inlineStr">
        <is>
          <t>T1190</t>
        </is>
      </c>
      <c r="E22" s="0" t="n">
        <v>0.9</v>
      </c>
      <c r="F22" s="0" t="n">
        <v>3</v>
      </c>
      <c r="G22" s="0" t="n">
        <v>0.46</v>
      </c>
    </row>
    <row r="23">
      <c r="A23" s="0" t="n">
        <v>6</v>
      </c>
      <c r="B23" s="0" t="inlineStr">
        <is>
          <t>B-006</t>
        </is>
      </c>
      <c r="C23" s="0" t="n">
        <v>2</v>
      </c>
      <c r="D23" s="0" t="inlineStr">
        <is>
          <t>T1021.007</t>
        </is>
      </c>
      <c r="E23" s="0" t="n">
        <v>0.36</v>
      </c>
      <c r="F23" s="0" t="n">
        <v>5</v>
      </c>
      <c r="G23" s="0" t="n">
        <v>0.1</v>
      </c>
    </row>
    <row r="24">
      <c r="A24" s="0" t="n">
        <v>6</v>
      </c>
      <c r="B24" s="0" t="inlineStr">
        <is>
          <t>B-006</t>
        </is>
      </c>
      <c r="C24" s="0" t="n">
        <v>3</v>
      </c>
      <c r="D24" s="0" t="inlineStr">
        <is>
          <t>T1484.002</t>
        </is>
      </c>
      <c r="E24" s="0" t="n">
        <v>0.36</v>
      </c>
      <c r="F24" s="0" t="n">
        <v>5</v>
      </c>
      <c r="G24" s="0" t="n">
        <v>0.1</v>
      </c>
    </row>
    <row r="25">
      <c r="A25" s="0" t="n">
        <v>6</v>
      </c>
      <c r="B25" s="0" t="inlineStr">
        <is>
          <t>B-006</t>
        </is>
      </c>
      <c r="C25" s="0" t="n">
        <v>4</v>
      </c>
      <c r="D25" s="0" t="inlineStr">
        <is>
          <t>T1496.001</t>
        </is>
      </c>
      <c r="E25" s="0" t="n">
        <v>0.72</v>
      </c>
      <c r="F25" s="0" t="n">
        <v>4</v>
      </c>
      <c r="G25" s="0" t="n">
        <v>0.28</v>
      </c>
    </row>
    <row r="26">
      <c r="A26" s="0" t="n">
        <v>7</v>
      </c>
      <c r="B26" s="0" t="inlineStr">
        <is>
          <t>B-007</t>
        </is>
      </c>
      <c r="C26" s="0" t="n">
        <v>1</v>
      </c>
      <c r="D26" s="0" t="inlineStr">
        <is>
          <t>T1190</t>
        </is>
      </c>
      <c r="E26" s="0" t="n">
        <v>0.9</v>
      </c>
      <c r="F26" s="0" t="n">
        <v>3</v>
      </c>
      <c r="G26" s="0" t="n">
        <v>0.46</v>
      </c>
    </row>
    <row r="27">
      <c r="A27" s="0" t="n">
        <v>7</v>
      </c>
      <c r="B27" s="0" t="inlineStr">
        <is>
          <t>B-007</t>
        </is>
      </c>
      <c r="C27" s="0" t="n">
        <v>2</v>
      </c>
      <c r="D27" s="0" t="inlineStr">
        <is>
          <t>T1021.007</t>
        </is>
      </c>
      <c r="E27" s="0" t="n">
        <v>0.36</v>
      </c>
      <c r="F27" s="0" t="n">
        <v>5</v>
      </c>
      <c r="G27" s="0" t="n">
        <v>0.1</v>
      </c>
    </row>
    <row r="28">
      <c r="A28" s="0" t="n">
        <v>7</v>
      </c>
      <c r="B28" s="0" t="inlineStr">
        <is>
          <t>B-007</t>
        </is>
      </c>
      <c r="C28" s="0" t="n">
        <v>3</v>
      </c>
      <c r="D28" s="0" t="inlineStr">
        <is>
          <t>T1484.002</t>
        </is>
      </c>
      <c r="E28" s="0" t="n">
        <v>0.36</v>
      </c>
      <c r="F28" s="0" t="n">
        <v>5</v>
      </c>
      <c r="G28" s="0" t="n">
        <v>0.1</v>
      </c>
    </row>
    <row r="29">
      <c r="A29" s="0" t="n">
        <v>7</v>
      </c>
      <c r="B29" s="0" t="inlineStr">
        <is>
          <t>B-007</t>
        </is>
      </c>
      <c r="C29" s="0" t="n">
        <v>4</v>
      </c>
      <c r="D29" s="0" t="inlineStr">
        <is>
          <t>T1496.002</t>
        </is>
      </c>
      <c r="E29" s="0" t="n">
        <v>0.18</v>
      </c>
      <c r="F29" s="0" t="n">
        <v>3</v>
      </c>
      <c r="G29" s="0" t="n">
        <v>0.46</v>
      </c>
    </row>
    <row r="30">
      <c r="A30" s="0" t="n">
        <v>8</v>
      </c>
      <c r="B30" s="0" t="inlineStr">
        <is>
          <t>B-008</t>
        </is>
      </c>
      <c r="C30" s="0" t="n">
        <v>1</v>
      </c>
      <c r="D30" s="0" t="inlineStr">
        <is>
          <t>T1190</t>
        </is>
      </c>
      <c r="E30" s="0" t="n">
        <v>0.9</v>
      </c>
      <c r="F30" s="0" t="n">
        <v>3</v>
      </c>
      <c r="G30" s="0" t="n">
        <v>0.46</v>
      </c>
    </row>
    <row r="31">
      <c r="A31" s="0" t="n">
        <v>8</v>
      </c>
      <c r="B31" s="0" t="inlineStr">
        <is>
          <t>B-008</t>
        </is>
      </c>
      <c r="C31" s="0" t="n">
        <v>2</v>
      </c>
      <c r="D31" s="0" t="inlineStr">
        <is>
          <t>T1021.007</t>
        </is>
      </c>
      <c r="E31" s="0" t="n">
        <v>0.36</v>
      </c>
      <c r="F31" s="0" t="n">
        <v>5</v>
      </c>
      <c r="G31" s="0" t="n">
        <v>0.1</v>
      </c>
    </row>
    <row r="32">
      <c r="A32" s="0" t="n">
        <v>8</v>
      </c>
      <c r="B32" s="0" t="inlineStr">
        <is>
          <t>B-008</t>
        </is>
      </c>
      <c r="C32" s="0" t="n">
        <v>3</v>
      </c>
      <c r="D32" s="0" t="inlineStr">
        <is>
          <t>T1484.002</t>
        </is>
      </c>
      <c r="E32" s="0" t="n">
        <v>0.36</v>
      </c>
      <c r="F32" s="0" t="n">
        <v>5</v>
      </c>
      <c r="G32" s="0" t="n">
        <v>0.1</v>
      </c>
    </row>
    <row r="33">
      <c r="A33" s="0" t="n">
        <v>8</v>
      </c>
      <c r="B33" s="0" t="inlineStr">
        <is>
          <t>B-008</t>
        </is>
      </c>
      <c r="C33" s="0" t="n">
        <v>4</v>
      </c>
      <c r="D33" s="0" t="inlineStr">
        <is>
          <t>T1496.004</t>
        </is>
      </c>
      <c r="E33" s="0" t="n">
        <v>0.18</v>
      </c>
      <c r="F33" s="0" t="n">
        <v>4</v>
      </c>
      <c r="G33" s="0" t="n">
        <v>0.28</v>
      </c>
    </row>
    <row r="34">
      <c r="A34" s="0" t="n">
        <v>9</v>
      </c>
      <c r="B34" s="0" t="inlineStr">
        <is>
          <t>B-009</t>
        </is>
      </c>
      <c r="C34" s="0" t="n">
        <v>1</v>
      </c>
      <c r="D34" s="0" t="inlineStr">
        <is>
          <t>T1190</t>
        </is>
      </c>
      <c r="E34" s="0" t="n">
        <v>0.9</v>
      </c>
      <c r="F34" s="0" t="n">
        <v>3</v>
      </c>
      <c r="G34" s="0" t="n">
        <v>0.46</v>
      </c>
    </row>
    <row r="35">
      <c r="A35" s="0" t="n">
        <v>9</v>
      </c>
      <c r="B35" s="0" t="inlineStr">
        <is>
          <t>B-009</t>
        </is>
      </c>
      <c r="C35" s="0" t="n">
        <v>2</v>
      </c>
      <c r="D35" s="0" t="inlineStr">
        <is>
          <t>T1021.007</t>
        </is>
      </c>
      <c r="E35" s="0" t="n">
        <v>0.36</v>
      </c>
      <c r="F35" s="0" t="n">
        <v>5</v>
      </c>
      <c r="G35" s="0" t="n">
        <v>0.1</v>
      </c>
    </row>
    <row r="36">
      <c r="A36" s="0" t="n">
        <v>9</v>
      </c>
      <c r="B36" s="0" t="inlineStr">
        <is>
          <t>B-009</t>
        </is>
      </c>
      <c r="C36" s="0" t="n">
        <v>3</v>
      </c>
      <c r="D36" s="0" t="inlineStr">
        <is>
          <t>T1555.006</t>
        </is>
      </c>
      <c r="E36" s="0" t="n">
        <v>0.36</v>
      </c>
      <c r="F36" s="0" t="n">
        <v>5</v>
      </c>
      <c r="G36" s="0" t="n">
        <v>0.1</v>
      </c>
    </row>
    <row r="37">
      <c r="A37" s="0" t="n">
        <v>9</v>
      </c>
      <c r="B37" s="0" t="inlineStr">
        <is>
          <t>B-009</t>
        </is>
      </c>
      <c r="C37" s="0" t="n">
        <v>4</v>
      </c>
      <c r="D37" s="0" t="inlineStr">
        <is>
          <t>T1486</t>
        </is>
      </c>
      <c r="E37" s="0" t="n">
        <v>0.9</v>
      </c>
      <c r="F37" s="0" t="n">
        <v>5</v>
      </c>
      <c r="G37" s="0" t="n">
        <v>0.1</v>
      </c>
    </row>
    <row r="38">
      <c r="A38" s="0" t="n">
        <v>10</v>
      </c>
      <c r="B38" s="0" t="inlineStr">
        <is>
          <t>B-010</t>
        </is>
      </c>
      <c r="C38" s="0" t="n">
        <v>1</v>
      </c>
      <c r="D38" s="0" t="inlineStr">
        <is>
          <t>T1190</t>
        </is>
      </c>
      <c r="E38" s="0" t="n">
        <v>0.9</v>
      </c>
      <c r="F38" s="0" t="n">
        <v>3</v>
      </c>
      <c r="G38" s="0" t="n">
        <v>0.46</v>
      </c>
    </row>
    <row r="39">
      <c r="A39" s="0" t="n">
        <v>10</v>
      </c>
      <c r="B39" s="0" t="inlineStr">
        <is>
          <t>B-010</t>
        </is>
      </c>
      <c r="C39" s="0" t="n">
        <v>2</v>
      </c>
      <c r="D39" s="0" t="inlineStr">
        <is>
          <t>T1021.007</t>
        </is>
      </c>
      <c r="E39" s="0" t="n">
        <v>0.36</v>
      </c>
      <c r="F39" s="0" t="n">
        <v>5</v>
      </c>
      <c r="G39" s="0" t="n">
        <v>0.1</v>
      </c>
    </row>
    <row r="40">
      <c r="A40" s="0" t="n">
        <v>10</v>
      </c>
      <c r="B40" s="0" t="inlineStr">
        <is>
          <t>B-010</t>
        </is>
      </c>
      <c r="C40" s="0" t="n">
        <v>3</v>
      </c>
      <c r="D40" s="0" t="inlineStr">
        <is>
          <t>T1555.006</t>
        </is>
      </c>
      <c r="E40" s="0" t="n">
        <v>0.36</v>
      </c>
      <c r="F40" s="0" t="n">
        <v>5</v>
      </c>
      <c r="G40" s="0" t="n">
        <v>0.1</v>
      </c>
    </row>
    <row r="41">
      <c r="A41" s="0" t="n">
        <v>10</v>
      </c>
      <c r="B41" s="0" t="inlineStr">
        <is>
          <t>B-010</t>
        </is>
      </c>
      <c r="C41" s="0" t="n">
        <v>4</v>
      </c>
      <c r="D41" s="0" t="inlineStr">
        <is>
          <t>T1496.001</t>
        </is>
      </c>
      <c r="E41" s="0" t="n">
        <v>0.72</v>
      </c>
      <c r="F41" s="0" t="n">
        <v>4</v>
      </c>
      <c r="G41" s="0" t="n">
        <v>0.28</v>
      </c>
    </row>
    <row r="42">
      <c r="A42" s="0" t="n">
        <v>11</v>
      </c>
      <c r="B42" s="0" t="inlineStr">
        <is>
          <t>B-011</t>
        </is>
      </c>
      <c r="C42" s="0" t="n">
        <v>1</v>
      </c>
      <c r="D42" s="0" t="inlineStr">
        <is>
          <t>T1190</t>
        </is>
      </c>
      <c r="E42" s="0" t="n">
        <v>0.9</v>
      </c>
      <c r="F42" s="0" t="n">
        <v>3</v>
      </c>
      <c r="G42" s="0" t="n">
        <v>0.46</v>
      </c>
    </row>
    <row r="43">
      <c r="A43" s="0" t="n">
        <v>11</v>
      </c>
      <c r="B43" s="0" t="inlineStr">
        <is>
          <t>B-011</t>
        </is>
      </c>
      <c r="C43" s="0" t="n">
        <v>2</v>
      </c>
      <c r="D43" s="0" t="inlineStr">
        <is>
          <t>T1021.007</t>
        </is>
      </c>
      <c r="E43" s="0" t="n">
        <v>0.36</v>
      </c>
      <c r="F43" s="0" t="n">
        <v>5</v>
      </c>
      <c r="G43" s="0" t="n">
        <v>0.1</v>
      </c>
    </row>
    <row r="44">
      <c r="A44" s="0" t="n">
        <v>11</v>
      </c>
      <c r="B44" s="0" t="inlineStr">
        <is>
          <t>B-011</t>
        </is>
      </c>
      <c r="C44" s="0" t="n">
        <v>3</v>
      </c>
      <c r="D44" s="0" t="inlineStr">
        <is>
          <t>T1555.006</t>
        </is>
      </c>
      <c r="E44" s="0" t="n">
        <v>0.36</v>
      </c>
      <c r="F44" s="0" t="n">
        <v>5</v>
      </c>
      <c r="G44" s="0" t="n">
        <v>0.1</v>
      </c>
    </row>
    <row r="45">
      <c r="A45" s="0" t="n">
        <v>11</v>
      </c>
      <c r="B45" s="0" t="inlineStr">
        <is>
          <t>B-011</t>
        </is>
      </c>
      <c r="C45" s="0" t="n">
        <v>4</v>
      </c>
      <c r="D45" s="0" t="inlineStr">
        <is>
          <t>T1496.002</t>
        </is>
      </c>
      <c r="E45" s="0" t="n">
        <v>0.18</v>
      </c>
      <c r="F45" s="0" t="n">
        <v>3</v>
      </c>
      <c r="G45" s="0" t="n">
        <v>0.46</v>
      </c>
    </row>
    <row r="46">
      <c r="A46" s="0" t="n">
        <v>12</v>
      </c>
      <c r="B46" s="0" t="inlineStr">
        <is>
          <t>B-012</t>
        </is>
      </c>
      <c r="C46" s="0" t="n">
        <v>1</v>
      </c>
      <c r="D46" s="0" t="inlineStr">
        <is>
          <t>T1190</t>
        </is>
      </c>
      <c r="E46" s="0" t="n">
        <v>0.9</v>
      </c>
      <c r="F46" s="0" t="n">
        <v>3</v>
      </c>
      <c r="G46" s="0" t="n">
        <v>0.46</v>
      </c>
    </row>
    <row r="47">
      <c r="A47" s="0" t="n">
        <v>12</v>
      </c>
      <c r="B47" s="0" t="inlineStr">
        <is>
          <t>B-012</t>
        </is>
      </c>
      <c r="C47" s="0" t="n">
        <v>2</v>
      </c>
      <c r="D47" s="0" t="inlineStr">
        <is>
          <t>T1021.007</t>
        </is>
      </c>
      <c r="E47" s="0" t="n">
        <v>0.36</v>
      </c>
      <c r="F47" s="0" t="n">
        <v>5</v>
      </c>
      <c r="G47" s="0" t="n">
        <v>0.1</v>
      </c>
    </row>
    <row r="48">
      <c r="A48" s="0" t="n">
        <v>12</v>
      </c>
      <c r="B48" s="0" t="inlineStr">
        <is>
          <t>B-012</t>
        </is>
      </c>
      <c r="C48" s="0" t="n">
        <v>3</v>
      </c>
      <c r="D48" s="0" t="inlineStr">
        <is>
          <t>T1555.006</t>
        </is>
      </c>
      <c r="E48" s="0" t="n">
        <v>0.36</v>
      </c>
      <c r="F48" s="0" t="n">
        <v>5</v>
      </c>
      <c r="G48" s="0" t="n">
        <v>0.1</v>
      </c>
    </row>
    <row r="49">
      <c r="A49" s="0" t="n">
        <v>12</v>
      </c>
      <c r="B49" s="0" t="inlineStr">
        <is>
          <t>B-012</t>
        </is>
      </c>
      <c r="C49" s="0" t="n">
        <v>4</v>
      </c>
      <c r="D49" s="0" t="inlineStr">
        <is>
          <t>T1496.004</t>
        </is>
      </c>
      <c r="E49" s="0" t="n">
        <v>0.18</v>
      </c>
      <c r="F49" s="0" t="n">
        <v>4</v>
      </c>
      <c r="G49" s="0" t="n">
        <v>0.28</v>
      </c>
    </row>
    <row r="50">
      <c r="A50" s="0" t="n">
        <v>13</v>
      </c>
      <c r="B50" s="0" t="inlineStr">
        <is>
          <t>B-013</t>
        </is>
      </c>
      <c r="C50" s="0" t="n">
        <v>1</v>
      </c>
      <c r="D50" s="0" t="inlineStr">
        <is>
          <t>T1190</t>
        </is>
      </c>
      <c r="E50" s="0" t="n">
        <v>0.9</v>
      </c>
      <c r="F50" s="0" t="n">
        <v>3</v>
      </c>
      <c r="G50" s="0" t="n">
        <v>0.46</v>
      </c>
    </row>
    <row r="51">
      <c r="A51" s="0" t="n">
        <v>13</v>
      </c>
      <c r="B51" s="0" t="inlineStr">
        <is>
          <t>B-013</t>
        </is>
      </c>
      <c r="C51" s="0" t="n">
        <v>2</v>
      </c>
      <c r="D51" s="0" t="inlineStr">
        <is>
          <t>T1021.007</t>
        </is>
      </c>
      <c r="E51" s="0" t="n">
        <v>0.36</v>
      </c>
      <c r="F51" s="0" t="n">
        <v>5</v>
      </c>
      <c r="G51" s="0" t="n">
        <v>0.1</v>
      </c>
    </row>
    <row r="52">
      <c r="A52" s="0" t="n">
        <v>13</v>
      </c>
      <c r="B52" s="0" t="inlineStr">
        <is>
          <t>B-013</t>
        </is>
      </c>
      <c r="C52" s="0" t="n">
        <v>3</v>
      </c>
      <c r="D52" s="0" t="inlineStr">
        <is>
          <t>T1651</t>
        </is>
      </c>
      <c r="E52" s="0" t="n">
        <v>0.36</v>
      </c>
      <c r="F52" s="0" t="n">
        <v>5</v>
      </c>
      <c r="G52" s="0" t="n">
        <v>0.1</v>
      </c>
    </row>
    <row r="53">
      <c r="A53" s="0" t="n">
        <v>13</v>
      </c>
      <c r="B53" s="0" t="inlineStr">
        <is>
          <t>B-013</t>
        </is>
      </c>
      <c r="C53" s="0" t="n">
        <v>4</v>
      </c>
      <c r="D53" s="0" t="inlineStr">
        <is>
          <t>T1486</t>
        </is>
      </c>
      <c r="E53" s="0" t="n">
        <v>0.9</v>
      </c>
      <c r="F53" s="0" t="n">
        <v>5</v>
      </c>
      <c r="G53" s="0" t="n">
        <v>0.1</v>
      </c>
    </row>
    <row r="54">
      <c r="A54" s="0" t="n">
        <v>14</v>
      </c>
      <c r="B54" s="0" t="inlineStr">
        <is>
          <t>B-014</t>
        </is>
      </c>
      <c r="C54" s="0" t="n">
        <v>1</v>
      </c>
      <c r="D54" s="0" t="inlineStr">
        <is>
          <t>T1190</t>
        </is>
      </c>
      <c r="E54" s="0" t="n">
        <v>0.9</v>
      </c>
      <c r="F54" s="0" t="n">
        <v>3</v>
      </c>
      <c r="G54" s="0" t="n">
        <v>0.46</v>
      </c>
    </row>
    <row r="55">
      <c r="A55" s="0" t="n">
        <v>14</v>
      </c>
      <c r="B55" s="0" t="inlineStr">
        <is>
          <t>B-014</t>
        </is>
      </c>
      <c r="C55" s="0" t="n">
        <v>2</v>
      </c>
      <c r="D55" s="0" t="inlineStr">
        <is>
          <t>T1021.007</t>
        </is>
      </c>
      <c r="E55" s="0" t="n">
        <v>0.36</v>
      </c>
      <c r="F55" s="0" t="n">
        <v>5</v>
      </c>
      <c r="G55" s="0" t="n">
        <v>0.1</v>
      </c>
    </row>
    <row r="56">
      <c r="A56" s="0" t="n">
        <v>14</v>
      </c>
      <c r="B56" s="0" t="inlineStr">
        <is>
          <t>B-014</t>
        </is>
      </c>
      <c r="C56" s="0" t="n">
        <v>3</v>
      </c>
      <c r="D56" s="0" t="inlineStr">
        <is>
          <t>T1651</t>
        </is>
      </c>
      <c r="E56" s="0" t="n">
        <v>0.36</v>
      </c>
      <c r="F56" s="0" t="n">
        <v>5</v>
      </c>
      <c r="G56" s="0" t="n">
        <v>0.1</v>
      </c>
    </row>
    <row r="57">
      <c r="A57" s="0" t="n">
        <v>14</v>
      </c>
      <c r="B57" s="0" t="inlineStr">
        <is>
          <t>B-014</t>
        </is>
      </c>
      <c r="C57" s="0" t="n">
        <v>4</v>
      </c>
      <c r="D57" s="0" t="inlineStr">
        <is>
          <t>T1496.001</t>
        </is>
      </c>
      <c r="E57" s="0" t="n">
        <v>0.72</v>
      </c>
      <c r="F57" s="0" t="n">
        <v>4</v>
      </c>
      <c r="G57" s="0" t="n">
        <v>0.28</v>
      </c>
    </row>
    <row r="58">
      <c r="A58" s="0" t="n">
        <v>15</v>
      </c>
      <c r="B58" s="0" t="inlineStr">
        <is>
          <t>B-015</t>
        </is>
      </c>
      <c r="C58" s="0" t="n">
        <v>1</v>
      </c>
      <c r="D58" s="0" t="inlineStr">
        <is>
          <t>T1190</t>
        </is>
      </c>
      <c r="E58" s="0" t="n">
        <v>0.9</v>
      </c>
      <c r="F58" s="0" t="n">
        <v>3</v>
      </c>
      <c r="G58" s="0" t="n">
        <v>0.46</v>
      </c>
    </row>
    <row r="59">
      <c r="A59" s="0" t="n">
        <v>15</v>
      </c>
      <c r="B59" s="0" t="inlineStr">
        <is>
          <t>B-015</t>
        </is>
      </c>
      <c r="C59" s="0" t="n">
        <v>2</v>
      </c>
      <c r="D59" s="0" t="inlineStr">
        <is>
          <t>T1021.007</t>
        </is>
      </c>
      <c r="E59" s="0" t="n">
        <v>0.36</v>
      </c>
      <c r="F59" s="0" t="n">
        <v>5</v>
      </c>
      <c r="G59" s="0" t="n">
        <v>0.1</v>
      </c>
    </row>
    <row r="60">
      <c r="A60" s="0" t="n">
        <v>15</v>
      </c>
      <c r="B60" s="0" t="inlineStr">
        <is>
          <t>B-015</t>
        </is>
      </c>
      <c r="C60" s="0" t="n">
        <v>3</v>
      </c>
      <c r="D60" s="0" t="inlineStr">
        <is>
          <t>T1651</t>
        </is>
      </c>
      <c r="E60" s="0" t="n">
        <v>0.36</v>
      </c>
      <c r="F60" s="0" t="n">
        <v>5</v>
      </c>
      <c r="G60" s="0" t="n">
        <v>0.1</v>
      </c>
    </row>
    <row r="61">
      <c r="A61" s="0" t="n">
        <v>15</v>
      </c>
      <c r="B61" s="0" t="inlineStr">
        <is>
          <t>B-015</t>
        </is>
      </c>
      <c r="C61" s="0" t="n">
        <v>4</v>
      </c>
      <c r="D61" s="0" t="inlineStr">
        <is>
          <t>T1496.002</t>
        </is>
      </c>
      <c r="E61" s="0" t="n">
        <v>0.18</v>
      </c>
      <c r="F61" s="0" t="n">
        <v>3</v>
      </c>
      <c r="G61" s="0" t="n">
        <v>0.46</v>
      </c>
    </row>
    <row r="62">
      <c r="A62" s="0" t="n">
        <v>16</v>
      </c>
      <c r="B62" s="0" t="inlineStr">
        <is>
          <t>B-016</t>
        </is>
      </c>
      <c r="C62" s="0" t="n">
        <v>1</v>
      </c>
      <c r="D62" s="0" t="inlineStr">
        <is>
          <t>T1190</t>
        </is>
      </c>
      <c r="E62" s="0" t="n">
        <v>0.9</v>
      </c>
      <c r="F62" s="0" t="n">
        <v>3</v>
      </c>
      <c r="G62" s="0" t="n">
        <v>0.46</v>
      </c>
    </row>
    <row r="63">
      <c r="A63" s="0" t="n">
        <v>16</v>
      </c>
      <c r="B63" s="0" t="inlineStr">
        <is>
          <t>B-016</t>
        </is>
      </c>
      <c r="C63" s="0" t="n">
        <v>2</v>
      </c>
      <c r="D63" s="0" t="inlineStr">
        <is>
          <t>T1021.007</t>
        </is>
      </c>
      <c r="E63" s="0" t="n">
        <v>0.36</v>
      </c>
      <c r="F63" s="0" t="n">
        <v>5</v>
      </c>
      <c r="G63" s="0" t="n">
        <v>0.1</v>
      </c>
    </row>
    <row r="64">
      <c r="A64" s="0" t="n">
        <v>16</v>
      </c>
      <c r="B64" s="0" t="inlineStr">
        <is>
          <t>B-016</t>
        </is>
      </c>
      <c r="C64" s="0" t="n">
        <v>3</v>
      </c>
      <c r="D64" s="0" t="inlineStr">
        <is>
          <t>T1651</t>
        </is>
      </c>
      <c r="E64" s="0" t="n">
        <v>0.36</v>
      </c>
      <c r="F64" s="0" t="n">
        <v>5</v>
      </c>
      <c r="G64" s="0" t="n">
        <v>0.1</v>
      </c>
    </row>
    <row r="65">
      <c r="A65" s="0" t="n">
        <v>16</v>
      </c>
      <c r="B65" s="0" t="inlineStr">
        <is>
          <t>B-016</t>
        </is>
      </c>
      <c r="C65" s="0" t="n">
        <v>4</v>
      </c>
      <c r="D65" s="0" t="inlineStr">
        <is>
          <t>T1496.004</t>
        </is>
      </c>
      <c r="E65" s="0" t="n">
        <v>0.18</v>
      </c>
      <c r="F65" s="0" t="n">
        <v>4</v>
      </c>
      <c r="G65" s="0" t="n">
        <v>0.28</v>
      </c>
    </row>
    <row r="66">
      <c r="A66" s="0" t="n">
        <v>17</v>
      </c>
      <c r="B66" s="0" t="inlineStr">
        <is>
          <t>B-017</t>
        </is>
      </c>
      <c r="C66" s="0" t="n">
        <v>1</v>
      </c>
      <c r="D66" s="0" t="inlineStr">
        <is>
          <t>T1190</t>
        </is>
      </c>
      <c r="E66" s="0" t="n">
        <v>0.9</v>
      </c>
      <c r="F66" s="0" t="n">
        <v>3</v>
      </c>
      <c r="G66" s="0" t="n">
        <v>0.46</v>
      </c>
    </row>
    <row r="67">
      <c r="A67" s="0" t="n">
        <v>17</v>
      </c>
      <c r="B67" s="0" t="inlineStr">
        <is>
          <t>B-017</t>
        </is>
      </c>
      <c r="C67" s="0" t="n">
        <v>2</v>
      </c>
      <c r="D67" s="0" t="inlineStr">
        <is>
          <t>T1484.002</t>
        </is>
      </c>
      <c r="E67" s="0" t="n">
        <v>0.36</v>
      </c>
      <c r="F67" s="0" t="n">
        <v>5</v>
      </c>
      <c r="G67" s="0" t="n">
        <v>0.1</v>
      </c>
    </row>
    <row r="68">
      <c r="A68" s="0" t="n">
        <v>17</v>
      </c>
      <c r="B68" s="0" t="inlineStr">
        <is>
          <t>B-017</t>
        </is>
      </c>
      <c r="C68" s="0" t="n">
        <v>3</v>
      </c>
      <c r="D68" s="0" t="inlineStr">
        <is>
          <t>T1059.009</t>
        </is>
      </c>
      <c r="E68" s="0" t="n">
        <v>0.36</v>
      </c>
      <c r="F68" s="0" t="n">
        <v>5</v>
      </c>
      <c r="G68" s="0" t="n">
        <v>0.1</v>
      </c>
    </row>
    <row r="69">
      <c r="A69" s="0" t="n">
        <v>17</v>
      </c>
      <c r="B69" s="0" t="inlineStr">
        <is>
          <t>B-017</t>
        </is>
      </c>
      <c r="C69" s="0" t="n">
        <v>4</v>
      </c>
      <c r="D69" s="0" t="inlineStr">
        <is>
          <t>T1486</t>
        </is>
      </c>
      <c r="E69" s="0" t="n">
        <v>0.9</v>
      </c>
      <c r="F69" s="0" t="n">
        <v>5</v>
      </c>
      <c r="G69" s="0" t="n">
        <v>0.1</v>
      </c>
    </row>
    <row r="70">
      <c r="A70" s="0" t="n">
        <v>18</v>
      </c>
      <c r="B70" s="0" t="inlineStr">
        <is>
          <t>B-018</t>
        </is>
      </c>
      <c r="C70" s="0" t="n">
        <v>1</v>
      </c>
      <c r="D70" s="0" t="inlineStr">
        <is>
          <t>T1190</t>
        </is>
      </c>
      <c r="E70" s="0" t="n">
        <v>0.9</v>
      </c>
      <c r="F70" s="0" t="n">
        <v>3</v>
      </c>
      <c r="G70" s="0" t="n">
        <v>0.46</v>
      </c>
    </row>
    <row r="71">
      <c r="A71" s="0" t="n">
        <v>18</v>
      </c>
      <c r="B71" s="0" t="inlineStr">
        <is>
          <t>B-018</t>
        </is>
      </c>
      <c r="C71" s="0" t="n">
        <v>2</v>
      </c>
      <c r="D71" s="0" t="inlineStr">
        <is>
          <t>T1484.002</t>
        </is>
      </c>
      <c r="E71" s="0" t="n">
        <v>0.36</v>
      </c>
      <c r="F71" s="0" t="n">
        <v>5</v>
      </c>
      <c r="G71" s="0" t="n">
        <v>0.1</v>
      </c>
    </row>
    <row r="72">
      <c r="A72" s="0" t="n">
        <v>18</v>
      </c>
      <c r="B72" s="0" t="inlineStr">
        <is>
          <t>B-018</t>
        </is>
      </c>
      <c r="C72" s="0" t="n">
        <v>3</v>
      </c>
      <c r="D72" s="0" t="inlineStr">
        <is>
          <t>T1059.009</t>
        </is>
      </c>
      <c r="E72" s="0" t="n">
        <v>0.36</v>
      </c>
      <c r="F72" s="0" t="n">
        <v>5</v>
      </c>
      <c r="G72" s="0" t="n">
        <v>0.1</v>
      </c>
    </row>
    <row r="73">
      <c r="A73" s="0" t="n">
        <v>18</v>
      </c>
      <c r="B73" s="0" t="inlineStr">
        <is>
          <t>B-018</t>
        </is>
      </c>
      <c r="C73" s="0" t="n">
        <v>4</v>
      </c>
      <c r="D73" s="0" t="inlineStr">
        <is>
          <t>T1496.001</t>
        </is>
      </c>
      <c r="E73" s="0" t="n">
        <v>0.72</v>
      </c>
      <c r="F73" s="0" t="n">
        <v>4</v>
      </c>
      <c r="G73" s="0" t="n">
        <v>0.28</v>
      </c>
    </row>
    <row r="74">
      <c r="A74" s="0" t="n">
        <v>19</v>
      </c>
      <c r="B74" s="0" t="inlineStr">
        <is>
          <t>B-019</t>
        </is>
      </c>
      <c r="C74" s="0" t="n">
        <v>1</v>
      </c>
      <c r="D74" s="0" t="inlineStr">
        <is>
          <t>T1190</t>
        </is>
      </c>
      <c r="E74" s="0" t="n">
        <v>0.9</v>
      </c>
      <c r="F74" s="0" t="n">
        <v>3</v>
      </c>
      <c r="G74" s="0" t="n">
        <v>0.46</v>
      </c>
    </row>
    <row r="75">
      <c r="A75" s="0" t="n">
        <v>19</v>
      </c>
      <c r="B75" s="0" t="inlineStr">
        <is>
          <t>B-019</t>
        </is>
      </c>
      <c r="C75" s="0" t="n">
        <v>2</v>
      </c>
      <c r="D75" s="0" t="inlineStr">
        <is>
          <t>T1484.002</t>
        </is>
      </c>
      <c r="E75" s="0" t="n">
        <v>0.36</v>
      </c>
      <c r="F75" s="0" t="n">
        <v>5</v>
      </c>
      <c r="G75" s="0" t="n">
        <v>0.1</v>
      </c>
    </row>
    <row r="76">
      <c r="A76" s="0" t="n">
        <v>19</v>
      </c>
      <c r="B76" s="0" t="inlineStr">
        <is>
          <t>B-019</t>
        </is>
      </c>
      <c r="C76" s="0" t="n">
        <v>3</v>
      </c>
      <c r="D76" s="0" t="inlineStr">
        <is>
          <t>T1059.009</t>
        </is>
      </c>
      <c r="E76" s="0" t="n">
        <v>0.36</v>
      </c>
      <c r="F76" s="0" t="n">
        <v>5</v>
      </c>
      <c r="G76" s="0" t="n">
        <v>0.1</v>
      </c>
    </row>
    <row r="77">
      <c r="A77" s="0" t="n">
        <v>19</v>
      </c>
      <c r="B77" s="0" t="inlineStr">
        <is>
          <t>B-019</t>
        </is>
      </c>
      <c r="C77" s="0" t="n">
        <v>4</v>
      </c>
      <c r="D77" s="0" t="inlineStr">
        <is>
          <t>T1496.002</t>
        </is>
      </c>
      <c r="E77" s="0" t="n">
        <v>0.18</v>
      </c>
      <c r="F77" s="0" t="n">
        <v>3</v>
      </c>
      <c r="G77" s="0" t="n">
        <v>0.46</v>
      </c>
    </row>
    <row r="78">
      <c r="A78" s="0" t="n">
        <v>20</v>
      </c>
      <c r="B78" s="0" t="inlineStr">
        <is>
          <t>B-020</t>
        </is>
      </c>
      <c r="C78" s="0" t="n">
        <v>1</v>
      </c>
      <c r="D78" s="0" t="inlineStr">
        <is>
          <t>T1190</t>
        </is>
      </c>
      <c r="E78" s="0" t="n">
        <v>0.9</v>
      </c>
      <c r="F78" s="0" t="n">
        <v>3</v>
      </c>
      <c r="G78" s="0" t="n">
        <v>0.46</v>
      </c>
    </row>
    <row r="79">
      <c r="A79" s="0" t="n">
        <v>20</v>
      </c>
      <c r="B79" s="0" t="inlineStr">
        <is>
          <t>B-020</t>
        </is>
      </c>
      <c r="C79" s="0" t="n">
        <v>2</v>
      </c>
      <c r="D79" s="0" t="inlineStr">
        <is>
          <t>T1484.002</t>
        </is>
      </c>
      <c r="E79" s="0" t="n">
        <v>0.36</v>
      </c>
      <c r="F79" s="0" t="n">
        <v>5</v>
      </c>
      <c r="G79" s="0" t="n">
        <v>0.1</v>
      </c>
    </row>
    <row r="80">
      <c r="A80" s="0" t="n">
        <v>20</v>
      </c>
      <c r="B80" s="0" t="inlineStr">
        <is>
          <t>B-020</t>
        </is>
      </c>
      <c r="C80" s="0" t="n">
        <v>3</v>
      </c>
      <c r="D80" s="0" t="inlineStr">
        <is>
          <t>T1059.009</t>
        </is>
      </c>
      <c r="E80" s="0" t="n">
        <v>0.36</v>
      </c>
      <c r="F80" s="0" t="n">
        <v>5</v>
      </c>
      <c r="G80" s="0" t="n">
        <v>0.1</v>
      </c>
    </row>
    <row r="81">
      <c r="A81" s="0" t="n">
        <v>20</v>
      </c>
      <c r="B81" s="0" t="inlineStr">
        <is>
          <t>B-020</t>
        </is>
      </c>
      <c r="C81" s="0" t="n">
        <v>4</v>
      </c>
      <c r="D81" s="0" t="inlineStr">
        <is>
          <t>T1496.004</t>
        </is>
      </c>
      <c r="E81" s="0" t="n">
        <v>0.18</v>
      </c>
      <c r="F81" s="0" t="n">
        <v>4</v>
      </c>
      <c r="G81" s="0" t="n">
        <v>0.28</v>
      </c>
    </row>
    <row r="82">
      <c r="A82" s="0" t="n">
        <v>21</v>
      </c>
      <c r="B82" s="0" t="inlineStr">
        <is>
          <t>B-021</t>
        </is>
      </c>
      <c r="C82" s="0" t="n">
        <v>1</v>
      </c>
      <c r="D82" s="0" t="inlineStr">
        <is>
          <t>T1190</t>
        </is>
      </c>
      <c r="E82" s="0" t="n">
        <v>0.9</v>
      </c>
      <c r="F82" s="0" t="n">
        <v>3</v>
      </c>
      <c r="G82" s="0" t="n">
        <v>0.46</v>
      </c>
    </row>
    <row r="83">
      <c r="A83" s="0" t="n">
        <v>21</v>
      </c>
      <c r="B83" s="0" t="inlineStr">
        <is>
          <t>B-021</t>
        </is>
      </c>
      <c r="C83" s="0" t="n">
        <v>2</v>
      </c>
      <c r="D83" s="0" t="inlineStr">
        <is>
          <t>T1484.002</t>
        </is>
      </c>
      <c r="E83" s="0" t="n">
        <v>0.36</v>
      </c>
      <c r="F83" s="0" t="n">
        <v>5</v>
      </c>
      <c r="G83" s="0" t="n">
        <v>0.1</v>
      </c>
    </row>
    <row r="84">
      <c r="A84" s="0" t="n">
        <v>21</v>
      </c>
      <c r="B84" s="0" t="inlineStr">
        <is>
          <t>B-021</t>
        </is>
      </c>
      <c r="C84" s="0" t="n">
        <v>3</v>
      </c>
      <c r="D84" s="0" t="inlineStr">
        <is>
          <t>T1484.002</t>
        </is>
      </c>
      <c r="E84" s="0" t="n">
        <v>0.36</v>
      </c>
      <c r="F84" s="0" t="n">
        <v>5</v>
      </c>
      <c r="G84" s="0" t="n">
        <v>0.1</v>
      </c>
    </row>
    <row r="85">
      <c r="A85" s="0" t="n">
        <v>21</v>
      </c>
      <c r="B85" s="0" t="inlineStr">
        <is>
          <t>B-021</t>
        </is>
      </c>
      <c r="C85" s="0" t="n">
        <v>4</v>
      </c>
      <c r="D85" s="0" t="inlineStr">
        <is>
          <t>T1486</t>
        </is>
      </c>
      <c r="E85" s="0" t="n">
        <v>0.9</v>
      </c>
      <c r="F85" s="0" t="n">
        <v>5</v>
      </c>
      <c r="G85" s="0" t="n">
        <v>0.1</v>
      </c>
    </row>
    <row r="86">
      <c r="A86" s="0" t="n">
        <v>22</v>
      </c>
      <c r="B86" s="0" t="inlineStr">
        <is>
          <t>B-022</t>
        </is>
      </c>
      <c r="C86" s="0" t="n">
        <v>1</v>
      </c>
      <c r="D86" s="0" t="inlineStr">
        <is>
          <t>T1190</t>
        </is>
      </c>
      <c r="E86" s="0" t="n">
        <v>0.9</v>
      </c>
      <c r="F86" s="0" t="n">
        <v>3</v>
      </c>
      <c r="G86" s="0" t="n">
        <v>0.46</v>
      </c>
    </row>
    <row r="87">
      <c r="A87" s="0" t="n">
        <v>22</v>
      </c>
      <c r="B87" s="0" t="inlineStr">
        <is>
          <t>B-022</t>
        </is>
      </c>
      <c r="C87" s="0" t="n">
        <v>2</v>
      </c>
      <c r="D87" s="0" t="inlineStr">
        <is>
          <t>T1484.002</t>
        </is>
      </c>
      <c r="E87" s="0" t="n">
        <v>0.36</v>
      </c>
      <c r="F87" s="0" t="n">
        <v>5</v>
      </c>
      <c r="G87" s="0" t="n">
        <v>0.1</v>
      </c>
    </row>
    <row r="88">
      <c r="A88" s="0" t="n">
        <v>22</v>
      </c>
      <c r="B88" s="0" t="inlineStr">
        <is>
          <t>B-022</t>
        </is>
      </c>
      <c r="C88" s="0" t="n">
        <v>3</v>
      </c>
      <c r="D88" s="0" t="inlineStr">
        <is>
          <t>T1484.002</t>
        </is>
      </c>
      <c r="E88" s="0" t="n">
        <v>0.36</v>
      </c>
      <c r="F88" s="0" t="n">
        <v>5</v>
      </c>
      <c r="G88" s="0" t="n">
        <v>0.1</v>
      </c>
    </row>
    <row r="89">
      <c r="A89" s="0" t="n">
        <v>22</v>
      </c>
      <c r="B89" s="0" t="inlineStr">
        <is>
          <t>B-022</t>
        </is>
      </c>
      <c r="C89" s="0" t="n">
        <v>4</v>
      </c>
      <c r="D89" s="0" t="inlineStr">
        <is>
          <t>T1496.001</t>
        </is>
      </c>
      <c r="E89" s="0" t="n">
        <v>0.72</v>
      </c>
      <c r="F89" s="0" t="n">
        <v>4</v>
      </c>
      <c r="G89" s="0" t="n">
        <v>0.28</v>
      </c>
    </row>
    <row r="90">
      <c r="A90" s="0" t="n">
        <v>23</v>
      </c>
      <c r="B90" s="0" t="inlineStr">
        <is>
          <t>B-023</t>
        </is>
      </c>
      <c r="C90" s="0" t="n">
        <v>1</v>
      </c>
      <c r="D90" s="0" t="inlineStr">
        <is>
          <t>T1190</t>
        </is>
      </c>
      <c r="E90" s="0" t="n">
        <v>0.9</v>
      </c>
      <c r="F90" s="0" t="n">
        <v>3</v>
      </c>
      <c r="G90" s="0" t="n">
        <v>0.46</v>
      </c>
    </row>
    <row r="91">
      <c r="A91" s="0" t="n">
        <v>23</v>
      </c>
      <c r="B91" s="0" t="inlineStr">
        <is>
          <t>B-023</t>
        </is>
      </c>
      <c r="C91" s="0" t="n">
        <v>2</v>
      </c>
      <c r="D91" s="0" t="inlineStr">
        <is>
          <t>T1484.002</t>
        </is>
      </c>
      <c r="E91" s="0" t="n">
        <v>0.36</v>
      </c>
      <c r="F91" s="0" t="n">
        <v>5</v>
      </c>
      <c r="G91" s="0" t="n">
        <v>0.1</v>
      </c>
    </row>
    <row r="92">
      <c r="A92" s="0" t="n">
        <v>23</v>
      </c>
      <c r="B92" s="0" t="inlineStr">
        <is>
          <t>B-023</t>
        </is>
      </c>
      <c r="C92" s="0" t="n">
        <v>3</v>
      </c>
      <c r="D92" s="0" t="inlineStr">
        <is>
          <t>T1484.002</t>
        </is>
      </c>
      <c r="E92" s="0" t="n">
        <v>0.36</v>
      </c>
      <c r="F92" s="0" t="n">
        <v>5</v>
      </c>
      <c r="G92" s="0" t="n">
        <v>0.1</v>
      </c>
    </row>
    <row r="93">
      <c r="A93" s="0" t="n">
        <v>23</v>
      </c>
      <c r="B93" s="0" t="inlineStr">
        <is>
          <t>B-023</t>
        </is>
      </c>
      <c r="C93" s="0" t="n">
        <v>4</v>
      </c>
      <c r="D93" s="0" t="inlineStr">
        <is>
          <t>T1496.002</t>
        </is>
      </c>
      <c r="E93" s="0" t="n">
        <v>0.18</v>
      </c>
      <c r="F93" s="0" t="n">
        <v>3</v>
      </c>
      <c r="G93" s="0" t="n">
        <v>0.46</v>
      </c>
    </row>
    <row r="94">
      <c r="A94" s="0" t="n">
        <v>24</v>
      </c>
      <c r="B94" s="0" t="inlineStr">
        <is>
          <t>B-024</t>
        </is>
      </c>
      <c r="C94" s="0" t="n">
        <v>1</v>
      </c>
      <c r="D94" s="0" t="inlineStr">
        <is>
          <t>T1190</t>
        </is>
      </c>
      <c r="E94" s="0" t="n">
        <v>0.9</v>
      </c>
      <c r="F94" s="0" t="n">
        <v>3</v>
      </c>
      <c r="G94" s="0" t="n">
        <v>0.46</v>
      </c>
    </row>
    <row r="95">
      <c r="A95" s="0" t="n">
        <v>24</v>
      </c>
      <c r="B95" s="0" t="inlineStr">
        <is>
          <t>B-024</t>
        </is>
      </c>
      <c r="C95" s="0" t="n">
        <v>2</v>
      </c>
      <c r="D95" s="0" t="inlineStr">
        <is>
          <t>T1484.002</t>
        </is>
      </c>
      <c r="E95" s="0" t="n">
        <v>0.36</v>
      </c>
      <c r="F95" s="0" t="n">
        <v>5</v>
      </c>
      <c r="G95" s="0" t="n">
        <v>0.1</v>
      </c>
    </row>
    <row r="96">
      <c r="A96" s="0" t="n">
        <v>24</v>
      </c>
      <c r="B96" s="0" t="inlineStr">
        <is>
          <t>B-024</t>
        </is>
      </c>
      <c r="C96" s="0" t="n">
        <v>3</v>
      </c>
      <c r="D96" s="0" t="inlineStr">
        <is>
          <t>T1484.002</t>
        </is>
      </c>
      <c r="E96" s="0" t="n">
        <v>0.36</v>
      </c>
      <c r="F96" s="0" t="n">
        <v>5</v>
      </c>
      <c r="G96" s="0" t="n">
        <v>0.1</v>
      </c>
    </row>
    <row r="97">
      <c r="A97" s="0" t="n">
        <v>24</v>
      </c>
      <c r="B97" s="0" t="inlineStr">
        <is>
          <t>B-024</t>
        </is>
      </c>
      <c r="C97" s="0" t="n">
        <v>4</v>
      </c>
      <c r="D97" s="0" t="inlineStr">
        <is>
          <t>T1496.004</t>
        </is>
      </c>
      <c r="E97" s="0" t="n">
        <v>0.18</v>
      </c>
      <c r="F97" s="0" t="n">
        <v>4</v>
      </c>
      <c r="G97" s="0" t="n">
        <v>0.28</v>
      </c>
    </row>
    <row r="98">
      <c r="A98" s="0" t="n">
        <v>25</v>
      </c>
      <c r="B98" s="0" t="inlineStr">
        <is>
          <t>B-025</t>
        </is>
      </c>
      <c r="C98" s="0" t="n">
        <v>1</v>
      </c>
      <c r="D98" s="0" t="inlineStr">
        <is>
          <t>T1190</t>
        </is>
      </c>
      <c r="E98" s="0" t="n">
        <v>0.9</v>
      </c>
      <c r="F98" s="0" t="n">
        <v>3</v>
      </c>
      <c r="G98" s="0" t="n">
        <v>0.46</v>
      </c>
    </row>
    <row r="99">
      <c r="A99" s="0" t="n">
        <v>25</v>
      </c>
      <c r="B99" s="0" t="inlineStr">
        <is>
          <t>B-025</t>
        </is>
      </c>
      <c r="C99" s="0" t="n">
        <v>2</v>
      </c>
      <c r="D99" s="0" t="inlineStr">
        <is>
          <t>T1484.002</t>
        </is>
      </c>
      <c r="E99" s="0" t="n">
        <v>0.36</v>
      </c>
      <c r="F99" s="0" t="n">
        <v>5</v>
      </c>
      <c r="G99" s="0" t="n">
        <v>0.1</v>
      </c>
    </row>
    <row r="100">
      <c r="A100" s="0" t="n">
        <v>25</v>
      </c>
      <c r="B100" s="0" t="inlineStr">
        <is>
          <t>B-025</t>
        </is>
      </c>
      <c r="C100" s="0" t="n">
        <v>3</v>
      </c>
      <c r="D100" s="0" t="inlineStr">
        <is>
          <t>T1555.006</t>
        </is>
      </c>
      <c r="E100" s="0" t="n">
        <v>0.36</v>
      </c>
      <c r="F100" s="0" t="n">
        <v>5</v>
      </c>
      <c r="G100" s="0" t="n">
        <v>0.1</v>
      </c>
    </row>
    <row r="101">
      <c r="A101" s="0" t="n">
        <v>25</v>
      </c>
      <c r="B101" s="0" t="inlineStr">
        <is>
          <t>B-025</t>
        </is>
      </c>
      <c r="C101" s="0" t="n">
        <v>4</v>
      </c>
      <c r="D101" s="0" t="inlineStr">
        <is>
          <t>T1486</t>
        </is>
      </c>
      <c r="E101" s="0" t="n">
        <v>0.9</v>
      </c>
      <c r="F101" s="0" t="n">
        <v>5</v>
      </c>
      <c r="G101" s="0" t="n">
        <v>0.1</v>
      </c>
    </row>
    <row r="102">
      <c r="A102" s="0" t="n">
        <v>26</v>
      </c>
      <c r="B102" s="0" t="inlineStr">
        <is>
          <t>B-026</t>
        </is>
      </c>
      <c r="C102" s="0" t="n">
        <v>1</v>
      </c>
      <c r="D102" s="0" t="inlineStr">
        <is>
          <t>T1190</t>
        </is>
      </c>
      <c r="E102" s="0" t="n">
        <v>0.9</v>
      </c>
      <c r="F102" s="0" t="n">
        <v>3</v>
      </c>
      <c r="G102" s="0" t="n">
        <v>0.46</v>
      </c>
    </row>
    <row r="103">
      <c r="A103" s="0" t="n">
        <v>26</v>
      </c>
      <c r="B103" s="0" t="inlineStr">
        <is>
          <t>B-026</t>
        </is>
      </c>
      <c r="C103" s="0" t="n">
        <v>2</v>
      </c>
      <c r="D103" s="0" t="inlineStr">
        <is>
          <t>T1484.002</t>
        </is>
      </c>
      <c r="E103" s="0" t="n">
        <v>0.36</v>
      </c>
      <c r="F103" s="0" t="n">
        <v>5</v>
      </c>
      <c r="G103" s="0" t="n">
        <v>0.1</v>
      </c>
    </row>
    <row r="104">
      <c r="A104" s="0" t="n">
        <v>26</v>
      </c>
      <c r="B104" s="0" t="inlineStr">
        <is>
          <t>B-026</t>
        </is>
      </c>
      <c r="C104" s="0" t="n">
        <v>3</v>
      </c>
      <c r="D104" s="0" t="inlineStr">
        <is>
          <t>T1555.006</t>
        </is>
      </c>
      <c r="E104" s="0" t="n">
        <v>0.36</v>
      </c>
      <c r="F104" s="0" t="n">
        <v>5</v>
      </c>
      <c r="G104" s="0" t="n">
        <v>0.1</v>
      </c>
    </row>
    <row r="105">
      <c r="A105" s="0" t="n">
        <v>26</v>
      </c>
      <c r="B105" s="0" t="inlineStr">
        <is>
          <t>B-026</t>
        </is>
      </c>
      <c r="C105" s="0" t="n">
        <v>4</v>
      </c>
      <c r="D105" s="0" t="inlineStr">
        <is>
          <t>T1496.001</t>
        </is>
      </c>
      <c r="E105" s="0" t="n">
        <v>0.72</v>
      </c>
      <c r="F105" s="0" t="n">
        <v>4</v>
      </c>
      <c r="G105" s="0" t="n">
        <v>0.28</v>
      </c>
    </row>
    <row r="106">
      <c r="A106" s="0" t="n">
        <v>27</v>
      </c>
      <c r="B106" s="0" t="inlineStr">
        <is>
          <t>B-027</t>
        </is>
      </c>
      <c r="C106" s="0" t="n">
        <v>1</v>
      </c>
      <c r="D106" s="0" t="inlineStr">
        <is>
          <t>T1190</t>
        </is>
      </c>
      <c r="E106" s="0" t="n">
        <v>0.9</v>
      </c>
      <c r="F106" s="0" t="n">
        <v>3</v>
      </c>
      <c r="G106" s="0" t="n">
        <v>0.46</v>
      </c>
    </row>
    <row r="107">
      <c r="A107" s="0" t="n">
        <v>27</v>
      </c>
      <c r="B107" s="0" t="inlineStr">
        <is>
          <t>B-027</t>
        </is>
      </c>
      <c r="C107" s="0" t="n">
        <v>2</v>
      </c>
      <c r="D107" s="0" t="inlineStr">
        <is>
          <t>T1484.002</t>
        </is>
      </c>
      <c r="E107" s="0" t="n">
        <v>0.36</v>
      </c>
      <c r="F107" s="0" t="n">
        <v>5</v>
      </c>
      <c r="G107" s="0" t="n">
        <v>0.1</v>
      </c>
    </row>
    <row r="108">
      <c r="A108" s="0" t="n">
        <v>27</v>
      </c>
      <c r="B108" s="0" t="inlineStr">
        <is>
          <t>B-027</t>
        </is>
      </c>
      <c r="C108" s="0" t="n">
        <v>3</v>
      </c>
      <c r="D108" s="0" t="inlineStr">
        <is>
          <t>T1555.006</t>
        </is>
      </c>
      <c r="E108" s="0" t="n">
        <v>0.36</v>
      </c>
      <c r="F108" s="0" t="n">
        <v>5</v>
      </c>
      <c r="G108" s="0" t="n">
        <v>0.1</v>
      </c>
    </row>
    <row r="109">
      <c r="A109" s="0" t="n">
        <v>27</v>
      </c>
      <c r="B109" s="0" t="inlineStr">
        <is>
          <t>B-027</t>
        </is>
      </c>
      <c r="C109" s="0" t="n">
        <v>4</v>
      </c>
      <c r="D109" s="0" t="inlineStr">
        <is>
          <t>T1496.002</t>
        </is>
      </c>
      <c r="E109" s="0" t="n">
        <v>0.18</v>
      </c>
      <c r="F109" s="0" t="n">
        <v>3</v>
      </c>
      <c r="G109" s="0" t="n">
        <v>0.46</v>
      </c>
    </row>
    <row r="110">
      <c r="A110" s="0" t="n">
        <v>28</v>
      </c>
      <c r="B110" s="0" t="inlineStr">
        <is>
          <t>B-028</t>
        </is>
      </c>
      <c r="C110" s="0" t="n">
        <v>1</v>
      </c>
      <c r="D110" s="0" t="inlineStr">
        <is>
          <t>T1190</t>
        </is>
      </c>
      <c r="E110" s="0" t="n">
        <v>0.9</v>
      </c>
      <c r="F110" s="0" t="n">
        <v>3</v>
      </c>
      <c r="G110" s="0" t="n">
        <v>0.46</v>
      </c>
    </row>
    <row r="111">
      <c r="A111" s="0" t="n">
        <v>28</v>
      </c>
      <c r="B111" s="0" t="inlineStr">
        <is>
          <t>B-028</t>
        </is>
      </c>
      <c r="C111" s="0" t="n">
        <v>2</v>
      </c>
      <c r="D111" s="0" t="inlineStr">
        <is>
          <t>T1484.002</t>
        </is>
      </c>
      <c r="E111" s="0" t="n">
        <v>0.36</v>
      </c>
      <c r="F111" s="0" t="n">
        <v>5</v>
      </c>
      <c r="G111" s="0" t="n">
        <v>0.1</v>
      </c>
    </row>
    <row r="112">
      <c r="A112" s="0" t="n">
        <v>28</v>
      </c>
      <c r="B112" s="0" t="inlineStr">
        <is>
          <t>B-028</t>
        </is>
      </c>
      <c r="C112" s="0" t="n">
        <v>3</v>
      </c>
      <c r="D112" s="0" t="inlineStr">
        <is>
          <t>T1555.006</t>
        </is>
      </c>
      <c r="E112" s="0" t="n">
        <v>0.36</v>
      </c>
      <c r="F112" s="0" t="n">
        <v>5</v>
      </c>
      <c r="G112" s="0" t="n">
        <v>0.1</v>
      </c>
    </row>
    <row r="113">
      <c r="A113" s="0" t="n">
        <v>28</v>
      </c>
      <c r="B113" s="0" t="inlineStr">
        <is>
          <t>B-028</t>
        </is>
      </c>
      <c r="C113" s="0" t="n">
        <v>4</v>
      </c>
      <c r="D113" s="0" t="inlineStr">
        <is>
          <t>T1496.004</t>
        </is>
      </c>
      <c r="E113" s="0" t="n">
        <v>0.18</v>
      </c>
      <c r="F113" s="0" t="n">
        <v>4</v>
      </c>
      <c r="G113" s="0" t="n">
        <v>0.28</v>
      </c>
    </row>
    <row r="114">
      <c r="A114" s="0" t="n">
        <v>29</v>
      </c>
      <c r="B114" s="0" t="inlineStr">
        <is>
          <t>B-029</t>
        </is>
      </c>
      <c r="C114" s="0" t="n">
        <v>1</v>
      </c>
      <c r="D114" s="0" t="inlineStr">
        <is>
          <t>T1190</t>
        </is>
      </c>
      <c r="E114" s="0" t="n">
        <v>0.9</v>
      </c>
      <c r="F114" s="0" t="n">
        <v>3</v>
      </c>
      <c r="G114" s="0" t="n">
        <v>0.46</v>
      </c>
    </row>
    <row r="115">
      <c r="A115" s="0" t="n">
        <v>29</v>
      </c>
      <c r="B115" s="0" t="inlineStr">
        <is>
          <t>B-029</t>
        </is>
      </c>
      <c r="C115" s="0" t="n">
        <v>2</v>
      </c>
      <c r="D115" s="0" t="inlineStr">
        <is>
          <t>T1484.002</t>
        </is>
      </c>
      <c r="E115" s="0" t="n">
        <v>0.36</v>
      </c>
      <c r="F115" s="0" t="n">
        <v>5</v>
      </c>
      <c r="G115" s="0" t="n">
        <v>0.1</v>
      </c>
    </row>
    <row r="116">
      <c r="A116" s="0" t="n">
        <v>29</v>
      </c>
      <c r="B116" s="0" t="inlineStr">
        <is>
          <t>B-029</t>
        </is>
      </c>
      <c r="C116" s="0" t="n">
        <v>3</v>
      </c>
      <c r="D116" s="0" t="inlineStr">
        <is>
          <t>T1651</t>
        </is>
      </c>
      <c r="E116" s="0" t="n">
        <v>0.36</v>
      </c>
      <c r="F116" s="0" t="n">
        <v>5</v>
      </c>
      <c r="G116" s="0" t="n">
        <v>0.1</v>
      </c>
    </row>
    <row r="117">
      <c r="A117" s="0" t="n">
        <v>29</v>
      </c>
      <c r="B117" s="0" t="inlineStr">
        <is>
          <t>B-029</t>
        </is>
      </c>
      <c r="C117" s="0" t="n">
        <v>4</v>
      </c>
      <c r="D117" s="0" t="inlineStr">
        <is>
          <t>T1486</t>
        </is>
      </c>
      <c r="E117" s="0" t="n">
        <v>0.9</v>
      </c>
      <c r="F117" s="0" t="n">
        <v>5</v>
      </c>
      <c r="G117" s="0" t="n">
        <v>0.1</v>
      </c>
    </row>
    <row r="118">
      <c r="A118" s="0" t="n">
        <v>30</v>
      </c>
      <c r="B118" s="0" t="inlineStr">
        <is>
          <t>B-030</t>
        </is>
      </c>
      <c r="C118" s="0" t="n">
        <v>1</v>
      </c>
      <c r="D118" s="0" t="inlineStr">
        <is>
          <t>T1190</t>
        </is>
      </c>
      <c r="E118" s="0" t="n">
        <v>0.9</v>
      </c>
      <c r="F118" s="0" t="n">
        <v>3</v>
      </c>
      <c r="G118" s="0" t="n">
        <v>0.46</v>
      </c>
    </row>
    <row r="119">
      <c r="A119" s="0" t="n">
        <v>30</v>
      </c>
      <c r="B119" s="0" t="inlineStr">
        <is>
          <t>B-030</t>
        </is>
      </c>
      <c r="C119" s="0" t="n">
        <v>2</v>
      </c>
      <c r="D119" s="0" t="inlineStr">
        <is>
          <t>T1484.002</t>
        </is>
      </c>
      <c r="E119" s="0" t="n">
        <v>0.36</v>
      </c>
      <c r="F119" s="0" t="n">
        <v>5</v>
      </c>
      <c r="G119" s="0" t="n">
        <v>0.1</v>
      </c>
    </row>
    <row r="120">
      <c r="A120" s="0" t="n">
        <v>30</v>
      </c>
      <c r="B120" s="0" t="inlineStr">
        <is>
          <t>B-030</t>
        </is>
      </c>
      <c r="C120" s="0" t="n">
        <v>3</v>
      </c>
      <c r="D120" s="0" t="inlineStr">
        <is>
          <t>T1651</t>
        </is>
      </c>
      <c r="E120" s="0" t="n">
        <v>0.36</v>
      </c>
      <c r="F120" s="0" t="n">
        <v>5</v>
      </c>
      <c r="G120" s="0" t="n">
        <v>0.1</v>
      </c>
    </row>
    <row r="121">
      <c r="A121" s="0" t="n">
        <v>30</v>
      </c>
      <c r="B121" s="0" t="inlineStr">
        <is>
          <t>B-030</t>
        </is>
      </c>
      <c r="C121" s="0" t="n">
        <v>4</v>
      </c>
      <c r="D121" s="0" t="inlineStr">
        <is>
          <t>T1496.001</t>
        </is>
      </c>
      <c r="E121" s="0" t="n">
        <v>0.72</v>
      </c>
      <c r="F121" s="0" t="n">
        <v>4</v>
      </c>
      <c r="G121" s="0" t="n">
        <v>0.28</v>
      </c>
    </row>
    <row r="122">
      <c r="A122" s="0" t="n">
        <v>31</v>
      </c>
      <c r="B122" s="0" t="inlineStr">
        <is>
          <t>B-031</t>
        </is>
      </c>
      <c r="C122" s="0" t="n">
        <v>1</v>
      </c>
      <c r="D122" s="0" t="inlineStr">
        <is>
          <t>T1190</t>
        </is>
      </c>
      <c r="E122" s="0" t="n">
        <v>0.9</v>
      </c>
      <c r="F122" s="0" t="n">
        <v>3</v>
      </c>
      <c r="G122" s="0" t="n">
        <v>0.46</v>
      </c>
    </row>
    <row r="123">
      <c r="A123" s="0" t="n">
        <v>31</v>
      </c>
      <c r="B123" s="0" t="inlineStr">
        <is>
          <t>B-031</t>
        </is>
      </c>
      <c r="C123" s="0" t="n">
        <v>2</v>
      </c>
      <c r="D123" s="0" t="inlineStr">
        <is>
          <t>T1484.002</t>
        </is>
      </c>
      <c r="E123" s="0" t="n">
        <v>0.36</v>
      </c>
      <c r="F123" s="0" t="n">
        <v>5</v>
      </c>
      <c r="G123" s="0" t="n">
        <v>0.1</v>
      </c>
    </row>
    <row r="124">
      <c r="A124" s="0" t="n">
        <v>31</v>
      </c>
      <c r="B124" s="0" t="inlineStr">
        <is>
          <t>B-031</t>
        </is>
      </c>
      <c r="C124" s="0" t="n">
        <v>3</v>
      </c>
      <c r="D124" s="0" t="inlineStr">
        <is>
          <t>T1651</t>
        </is>
      </c>
      <c r="E124" s="0" t="n">
        <v>0.36</v>
      </c>
      <c r="F124" s="0" t="n">
        <v>5</v>
      </c>
      <c r="G124" s="0" t="n">
        <v>0.1</v>
      </c>
    </row>
    <row r="125">
      <c r="A125" s="0" t="n">
        <v>31</v>
      </c>
      <c r="B125" s="0" t="inlineStr">
        <is>
          <t>B-031</t>
        </is>
      </c>
      <c r="C125" s="0" t="n">
        <v>4</v>
      </c>
      <c r="D125" s="0" t="inlineStr">
        <is>
          <t>T1496.002</t>
        </is>
      </c>
      <c r="E125" s="0" t="n">
        <v>0.18</v>
      </c>
      <c r="F125" s="0" t="n">
        <v>3</v>
      </c>
      <c r="G125" s="0" t="n">
        <v>0.46</v>
      </c>
    </row>
    <row r="126">
      <c r="A126" s="0" t="n">
        <v>32</v>
      </c>
      <c r="B126" s="0" t="inlineStr">
        <is>
          <t>B-032</t>
        </is>
      </c>
      <c r="C126" s="0" t="n">
        <v>1</v>
      </c>
      <c r="D126" s="0" t="inlineStr">
        <is>
          <t>T1190</t>
        </is>
      </c>
      <c r="E126" s="0" t="n">
        <v>0.9</v>
      </c>
      <c r="F126" s="0" t="n">
        <v>3</v>
      </c>
      <c r="G126" s="0" t="n">
        <v>0.46</v>
      </c>
    </row>
    <row r="127">
      <c r="A127" s="0" t="n">
        <v>32</v>
      </c>
      <c r="B127" s="0" t="inlineStr">
        <is>
          <t>B-032</t>
        </is>
      </c>
      <c r="C127" s="0" t="n">
        <v>2</v>
      </c>
      <c r="D127" s="0" t="inlineStr">
        <is>
          <t>T1484.002</t>
        </is>
      </c>
      <c r="E127" s="0" t="n">
        <v>0.36</v>
      </c>
      <c r="F127" s="0" t="n">
        <v>5</v>
      </c>
      <c r="G127" s="0" t="n">
        <v>0.1</v>
      </c>
    </row>
    <row r="128">
      <c r="A128" s="0" t="n">
        <v>32</v>
      </c>
      <c r="B128" s="0" t="inlineStr">
        <is>
          <t>B-032</t>
        </is>
      </c>
      <c r="C128" s="0" t="n">
        <v>3</v>
      </c>
      <c r="D128" s="0" t="inlineStr">
        <is>
          <t>T1651</t>
        </is>
      </c>
      <c r="E128" s="0" t="n">
        <v>0.36</v>
      </c>
      <c r="F128" s="0" t="n">
        <v>5</v>
      </c>
      <c r="G128" s="0" t="n">
        <v>0.1</v>
      </c>
    </row>
    <row r="129">
      <c r="A129" s="0" t="n">
        <v>32</v>
      </c>
      <c r="B129" s="0" t="inlineStr">
        <is>
          <t>B-032</t>
        </is>
      </c>
      <c r="C129" s="0" t="n">
        <v>4</v>
      </c>
      <c r="D129" s="0" t="inlineStr">
        <is>
          <t>T1496.004</t>
        </is>
      </c>
      <c r="E129" s="0" t="n">
        <v>0.18</v>
      </c>
      <c r="F129" s="0" t="n">
        <v>4</v>
      </c>
      <c r="G129" s="0" t="n">
        <v>0.28</v>
      </c>
    </row>
    <row r="130">
      <c r="A130" s="0" t="n">
        <v>33</v>
      </c>
      <c r="B130" s="0" t="inlineStr">
        <is>
          <t>B-033</t>
        </is>
      </c>
      <c r="C130" s="0" t="n">
        <v>1</v>
      </c>
      <c r="D130" s="0" t="inlineStr">
        <is>
          <t>T1190</t>
        </is>
      </c>
      <c r="E130" s="0" t="n">
        <v>0.9</v>
      </c>
      <c r="F130" s="0" t="n">
        <v>3</v>
      </c>
      <c r="G130" s="0" t="n">
        <v>0.46</v>
      </c>
    </row>
    <row r="131">
      <c r="A131" s="0" t="n">
        <v>33</v>
      </c>
      <c r="B131" s="0" t="inlineStr">
        <is>
          <t>B-033</t>
        </is>
      </c>
      <c r="C131" s="0" t="n">
        <v>2</v>
      </c>
      <c r="D131" s="0" t="inlineStr">
        <is>
          <t>T1578.002</t>
        </is>
      </c>
      <c r="E131" s="0" t="n">
        <v>0.36</v>
      </c>
      <c r="F131" s="0" t="n">
        <v>3</v>
      </c>
      <c r="G131" s="0" t="n">
        <v>0.46</v>
      </c>
    </row>
    <row r="132">
      <c r="A132" s="0" t="n">
        <v>33</v>
      </c>
      <c r="B132" s="0" t="inlineStr">
        <is>
          <t>B-033</t>
        </is>
      </c>
      <c r="C132" s="0" t="n">
        <v>3</v>
      </c>
      <c r="D132" s="0" t="inlineStr">
        <is>
          <t>T1059.009</t>
        </is>
      </c>
      <c r="E132" s="0" t="n">
        <v>0.36</v>
      </c>
      <c r="F132" s="0" t="n">
        <v>5</v>
      </c>
      <c r="G132" s="0" t="n">
        <v>0.1</v>
      </c>
    </row>
    <row r="133">
      <c r="A133" s="0" t="n">
        <v>33</v>
      </c>
      <c r="B133" s="0" t="inlineStr">
        <is>
          <t>B-033</t>
        </is>
      </c>
      <c r="C133" s="0" t="n">
        <v>4</v>
      </c>
      <c r="D133" s="0" t="inlineStr">
        <is>
          <t>T1486</t>
        </is>
      </c>
      <c r="E133" s="0" t="n">
        <v>0.9</v>
      </c>
      <c r="F133" s="0" t="n">
        <v>5</v>
      </c>
      <c r="G133" s="0" t="n">
        <v>0.1</v>
      </c>
    </row>
    <row r="134">
      <c r="A134" s="0" t="n">
        <v>34</v>
      </c>
      <c r="B134" s="0" t="inlineStr">
        <is>
          <t>B-034</t>
        </is>
      </c>
      <c r="C134" s="0" t="n">
        <v>1</v>
      </c>
      <c r="D134" s="0" t="inlineStr">
        <is>
          <t>T1190</t>
        </is>
      </c>
      <c r="E134" s="0" t="n">
        <v>0.9</v>
      </c>
      <c r="F134" s="0" t="n">
        <v>3</v>
      </c>
      <c r="G134" s="0" t="n">
        <v>0.46</v>
      </c>
    </row>
    <row r="135">
      <c r="A135" s="0" t="n">
        <v>34</v>
      </c>
      <c r="B135" s="0" t="inlineStr">
        <is>
          <t>B-034</t>
        </is>
      </c>
      <c r="C135" s="0" t="n">
        <v>2</v>
      </c>
      <c r="D135" s="0" t="inlineStr">
        <is>
          <t>T1578.002</t>
        </is>
      </c>
      <c r="E135" s="0" t="n">
        <v>0.36</v>
      </c>
      <c r="F135" s="0" t="n">
        <v>3</v>
      </c>
      <c r="G135" s="0" t="n">
        <v>0.46</v>
      </c>
    </row>
    <row r="136">
      <c r="A136" s="0" t="n">
        <v>34</v>
      </c>
      <c r="B136" s="0" t="inlineStr">
        <is>
          <t>B-034</t>
        </is>
      </c>
      <c r="C136" s="0" t="n">
        <v>3</v>
      </c>
      <c r="D136" s="0" t="inlineStr">
        <is>
          <t>T1059.009</t>
        </is>
      </c>
      <c r="E136" s="0" t="n">
        <v>0.36</v>
      </c>
      <c r="F136" s="0" t="n">
        <v>5</v>
      </c>
      <c r="G136" s="0" t="n">
        <v>0.1</v>
      </c>
    </row>
    <row r="137">
      <c r="A137" s="0" t="n">
        <v>34</v>
      </c>
      <c r="B137" s="0" t="inlineStr">
        <is>
          <t>B-034</t>
        </is>
      </c>
      <c r="C137" s="0" t="n">
        <v>4</v>
      </c>
      <c r="D137" s="0" t="inlineStr">
        <is>
          <t>T1496.001</t>
        </is>
      </c>
      <c r="E137" s="0" t="n">
        <v>0.72</v>
      </c>
      <c r="F137" s="0" t="n">
        <v>4</v>
      </c>
      <c r="G137" s="0" t="n">
        <v>0.28</v>
      </c>
    </row>
    <row r="138">
      <c r="A138" s="0" t="n">
        <v>35</v>
      </c>
      <c r="B138" s="0" t="inlineStr">
        <is>
          <t>B-035</t>
        </is>
      </c>
      <c r="C138" s="0" t="n">
        <v>1</v>
      </c>
      <c r="D138" s="0" t="inlineStr">
        <is>
          <t>T1190</t>
        </is>
      </c>
      <c r="E138" s="0" t="n">
        <v>0.9</v>
      </c>
      <c r="F138" s="0" t="n">
        <v>3</v>
      </c>
      <c r="G138" s="0" t="n">
        <v>0.46</v>
      </c>
    </row>
    <row r="139">
      <c r="A139" s="0" t="n">
        <v>35</v>
      </c>
      <c r="B139" s="0" t="inlineStr">
        <is>
          <t>B-035</t>
        </is>
      </c>
      <c r="C139" s="0" t="n">
        <v>2</v>
      </c>
      <c r="D139" s="0" t="inlineStr">
        <is>
          <t>T1578.002</t>
        </is>
      </c>
      <c r="E139" s="0" t="n">
        <v>0.36</v>
      </c>
      <c r="F139" s="0" t="n">
        <v>3</v>
      </c>
      <c r="G139" s="0" t="n">
        <v>0.46</v>
      </c>
    </row>
    <row r="140">
      <c r="A140" s="0" t="n">
        <v>35</v>
      </c>
      <c r="B140" s="0" t="inlineStr">
        <is>
          <t>B-035</t>
        </is>
      </c>
      <c r="C140" s="0" t="n">
        <v>3</v>
      </c>
      <c r="D140" s="0" t="inlineStr">
        <is>
          <t>T1059.009</t>
        </is>
      </c>
      <c r="E140" s="0" t="n">
        <v>0.36</v>
      </c>
      <c r="F140" s="0" t="n">
        <v>5</v>
      </c>
      <c r="G140" s="0" t="n">
        <v>0.1</v>
      </c>
    </row>
    <row r="141">
      <c r="A141" s="0" t="n">
        <v>35</v>
      </c>
      <c r="B141" s="0" t="inlineStr">
        <is>
          <t>B-035</t>
        </is>
      </c>
      <c r="C141" s="0" t="n">
        <v>4</v>
      </c>
      <c r="D141" s="0" t="inlineStr">
        <is>
          <t>T1496.002</t>
        </is>
      </c>
      <c r="E141" s="0" t="n">
        <v>0.18</v>
      </c>
      <c r="F141" s="0" t="n">
        <v>3</v>
      </c>
      <c r="G141" s="0" t="n">
        <v>0.46</v>
      </c>
    </row>
    <row r="142">
      <c r="A142" s="0" t="n">
        <v>36</v>
      </c>
      <c r="B142" s="0" t="inlineStr">
        <is>
          <t>B-036</t>
        </is>
      </c>
      <c r="C142" s="0" t="n">
        <v>1</v>
      </c>
      <c r="D142" s="0" t="inlineStr">
        <is>
          <t>T1190</t>
        </is>
      </c>
      <c r="E142" s="0" t="n">
        <v>0.9</v>
      </c>
      <c r="F142" s="0" t="n">
        <v>3</v>
      </c>
      <c r="G142" s="0" t="n">
        <v>0.46</v>
      </c>
    </row>
    <row r="143">
      <c r="A143" s="0" t="n">
        <v>36</v>
      </c>
      <c r="B143" s="0" t="inlineStr">
        <is>
          <t>B-036</t>
        </is>
      </c>
      <c r="C143" s="0" t="n">
        <v>2</v>
      </c>
      <c r="D143" s="0" t="inlineStr">
        <is>
          <t>T1578.002</t>
        </is>
      </c>
      <c r="E143" s="0" t="n">
        <v>0.36</v>
      </c>
      <c r="F143" s="0" t="n">
        <v>3</v>
      </c>
      <c r="G143" s="0" t="n">
        <v>0.46</v>
      </c>
    </row>
    <row r="144">
      <c r="A144" s="0" t="n">
        <v>36</v>
      </c>
      <c r="B144" s="0" t="inlineStr">
        <is>
          <t>B-036</t>
        </is>
      </c>
      <c r="C144" s="0" t="n">
        <v>3</v>
      </c>
      <c r="D144" s="0" t="inlineStr">
        <is>
          <t>T1059.009</t>
        </is>
      </c>
      <c r="E144" s="0" t="n">
        <v>0.36</v>
      </c>
      <c r="F144" s="0" t="n">
        <v>5</v>
      </c>
      <c r="G144" s="0" t="n">
        <v>0.1</v>
      </c>
    </row>
    <row r="145">
      <c r="A145" s="0" t="n">
        <v>36</v>
      </c>
      <c r="B145" s="0" t="inlineStr">
        <is>
          <t>B-036</t>
        </is>
      </c>
      <c r="C145" s="0" t="n">
        <v>4</v>
      </c>
      <c r="D145" s="0" t="inlineStr">
        <is>
          <t>T1496.004</t>
        </is>
      </c>
      <c r="E145" s="0" t="n">
        <v>0.18</v>
      </c>
      <c r="F145" s="0" t="n">
        <v>4</v>
      </c>
      <c r="G145" s="0" t="n">
        <v>0.28</v>
      </c>
    </row>
    <row r="146">
      <c r="A146" s="0" t="n">
        <v>37</v>
      </c>
      <c r="B146" s="0" t="inlineStr">
        <is>
          <t>B-037</t>
        </is>
      </c>
      <c r="C146" s="0" t="n">
        <v>1</v>
      </c>
      <c r="D146" s="0" t="inlineStr">
        <is>
          <t>T1190</t>
        </is>
      </c>
      <c r="E146" s="0" t="n">
        <v>0.9</v>
      </c>
      <c r="F146" s="0" t="n">
        <v>3</v>
      </c>
      <c r="G146" s="0" t="n">
        <v>0.46</v>
      </c>
    </row>
    <row r="147">
      <c r="A147" s="0" t="n">
        <v>37</v>
      </c>
      <c r="B147" s="0" t="inlineStr">
        <is>
          <t>B-037</t>
        </is>
      </c>
      <c r="C147" s="0" t="n">
        <v>2</v>
      </c>
      <c r="D147" s="0" t="inlineStr">
        <is>
          <t>T1578.002</t>
        </is>
      </c>
      <c r="E147" s="0" t="n">
        <v>0.36</v>
      </c>
      <c r="F147" s="0" t="n">
        <v>3</v>
      </c>
      <c r="G147" s="0" t="n">
        <v>0.46</v>
      </c>
    </row>
    <row r="148">
      <c r="A148" s="0" t="n">
        <v>37</v>
      </c>
      <c r="B148" s="0" t="inlineStr">
        <is>
          <t>B-037</t>
        </is>
      </c>
      <c r="C148" s="0" t="n">
        <v>3</v>
      </c>
      <c r="D148" s="0" t="inlineStr">
        <is>
          <t>T1484.002</t>
        </is>
      </c>
      <c r="E148" s="0" t="n">
        <v>0.36</v>
      </c>
      <c r="F148" s="0" t="n">
        <v>5</v>
      </c>
      <c r="G148" s="0" t="n">
        <v>0.1</v>
      </c>
    </row>
    <row r="149">
      <c r="A149" s="0" t="n">
        <v>37</v>
      </c>
      <c r="B149" s="0" t="inlineStr">
        <is>
          <t>B-037</t>
        </is>
      </c>
      <c r="C149" s="0" t="n">
        <v>4</v>
      </c>
      <c r="D149" s="0" t="inlineStr">
        <is>
          <t>T1486</t>
        </is>
      </c>
      <c r="E149" s="0" t="n">
        <v>0.9</v>
      </c>
      <c r="F149" s="0" t="n">
        <v>5</v>
      </c>
      <c r="G149" s="0" t="n">
        <v>0.1</v>
      </c>
    </row>
    <row r="150">
      <c r="A150" s="0" t="n">
        <v>38</v>
      </c>
      <c r="B150" s="0" t="inlineStr">
        <is>
          <t>B-038</t>
        </is>
      </c>
      <c r="C150" s="0" t="n">
        <v>1</v>
      </c>
      <c r="D150" s="0" t="inlineStr">
        <is>
          <t>T1190</t>
        </is>
      </c>
      <c r="E150" s="0" t="n">
        <v>0.9</v>
      </c>
      <c r="F150" s="0" t="n">
        <v>3</v>
      </c>
      <c r="G150" s="0" t="n">
        <v>0.46</v>
      </c>
    </row>
    <row r="151">
      <c r="A151" s="0" t="n">
        <v>38</v>
      </c>
      <c r="B151" s="0" t="inlineStr">
        <is>
          <t>B-038</t>
        </is>
      </c>
      <c r="C151" s="0" t="n">
        <v>2</v>
      </c>
      <c r="D151" s="0" t="inlineStr">
        <is>
          <t>T1578.002</t>
        </is>
      </c>
      <c r="E151" s="0" t="n">
        <v>0.36</v>
      </c>
      <c r="F151" s="0" t="n">
        <v>3</v>
      </c>
      <c r="G151" s="0" t="n">
        <v>0.46</v>
      </c>
    </row>
    <row r="152">
      <c r="A152" s="0" t="n">
        <v>38</v>
      </c>
      <c r="B152" s="0" t="inlineStr">
        <is>
          <t>B-038</t>
        </is>
      </c>
      <c r="C152" s="0" t="n">
        <v>3</v>
      </c>
      <c r="D152" s="0" t="inlineStr">
        <is>
          <t>T1484.002</t>
        </is>
      </c>
      <c r="E152" s="0" t="n">
        <v>0.36</v>
      </c>
      <c r="F152" s="0" t="n">
        <v>5</v>
      </c>
      <c r="G152" s="0" t="n">
        <v>0.1</v>
      </c>
    </row>
    <row r="153">
      <c r="A153" s="0" t="n">
        <v>38</v>
      </c>
      <c r="B153" s="0" t="inlineStr">
        <is>
          <t>B-038</t>
        </is>
      </c>
      <c r="C153" s="0" t="n">
        <v>4</v>
      </c>
      <c r="D153" s="0" t="inlineStr">
        <is>
          <t>T1496.001</t>
        </is>
      </c>
      <c r="E153" s="0" t="n">
        <v>0.72</v>
      </c>
      <c r="F153" s="0" t="n">
        <v>4</v>
      </c>
      <c r="G153" s="0" t="n">
        <v>0.28</v>
      </c>
    </row>
    <row r="154">
      <c r="A154" s="0" t="n">
        <v>39</v>
      </c>
      <c r="B154" s="0" t="inlineStr">
        <is>
          <t>B-039</t>
        </is>
      </c>
      <c r="C154" s="0" t="n">
        <v>1</v>
      </c>
      <c r="D154" s="0" t="inlineStr">
        <is>
          <t>T1190</t>
        </is>
      </c>
      <c r="E154" s="0" t="n">
        <v>0.9</v>
      </c>
      <c r="F154" s="0" t="n">
        <v>3</v>
      </c>
      <c r="G154" s="0" t="n">
        <v>0.46</v>
      </c>
    </row>
    <row r="155">
      <c r="A155" s="0" t="n">
        <v>39</v>
      </c>
      <c r="B155" s="0" t="inlineStr">
        <is>
          <t>B-039</t>
        </is>
      </c>
      <c r="C155" s="0" t="n">
        <v>2</v>
      </c>
      <c r="D155" s="0" t="inlineStr">
        <is>
          <t>T1578.002</t>
        </is>
      </c>
      <c r="E155" s="0" t="n">
        <v>0.36</v>
      </c>
      <c r="F155" s="0" t="n">
        <v>3</v>
      </c>
      <c r="G155" s="0" t="n">
        <v>0.46</v>
      </c>
    </row>
    <row r="156">
      <c r="A156" s="0" t="n">
        <v>39</v>
      </c>
      <c r="B156" s="0" t="inlineStr">
        <is>
          <t>B-039</t>
        </is>
      </c>
      <c r="C156" s="0" t="n">
        <v>3</v>
      </c>
      <c r="D156" s="0" t="inlineStr">
        <is>
          <t>T1484.002</t>
        </is>
      </c>
      <c r="E156" s="0" t="n">
        <v>0.36</v>
      </c>
      <c r="F156" s="0" t="n">
        <v>5</v>
      </c>
      <c r="G156" s="0" t="n">
        <v>0.1</v>
      </c>
    </row>
    <row r="157">
      <c r="A157" s="0" t="n">
        <v>39</v>
      </c>
      <c r="B157" s="0" t="inlineStr">
        <is>
          <t>B-039</t>
        </is>
      </c>
      <c r="C157" s="0" t="n">
        <v>4</v>
      </c>
      <c r="D157" s="0" t="inlineStr">
        <is>
          <t>T1496.002</t>
        </is>
      </c>
      <c r="E157" s="0" t="n">
        <v>0.18</v>
      </c>
      <c r="F157" s="0" t="n">
        <v>3</v>
      </c>
      <c r="G157" s="0" t="n">
        <v>0.46</v>
      </c>
    </row>
    <row r="158">
      <c r="A158" s="0" t="n">
        <v>40</v>
      </c>
      <c r="B158" s="0" t="inlineStr">
        <is>
          <t>B-040</t>
        </is>
      </c>
      <c r="C158" s="0" t="n">
        <v>1</v>
      </c>
      <c r="D158" s="0" t="inlineStr">
        <is>
          <t>T1190</t>
        </is>
      </c>
      <c r="E158" s="0" t="n">
        <v>0.9</v>
      </c>
      <c r="F158" s="0" t="n">
        <v>3</v>
      </c>
      <c r="G158" s="0" t="n">
        <v>0.46</v>
      </c>
    </row>
    <row r="159">
      <c r="A159" s="0" t="n">
        <v>40</v>
      </c>
      <c r="B159" s="0" t="inlineStr">
        <is>
          <t>B-040</t>
        </is>
      </c>
      <c r="C159" s="0" t="n">
        <v>2</v>
      </c>
      <c r="D159" s="0" t="inlineStr">
        <is>
          <t>T1578.002</t>
        </is>
      </c>
      <c r="E159" s="0" t="n">
        <v>0.36</v>
      </c>
      <c r="F159" s="0" t="n">
        <v>3</v>
      </c>
      <c r="G159" s="0" t="n">
        <v>0.46</v>
      </c>
    </row>
    <row r="160">
      <c r="A160" s="0" t="n">
        <v>40</v>
      </c>
      <c r="B160" s="0" t="inlineStr">
        <is>
          <t>B-040</t>
        </is>
      </c>
      <c r="C160" s="0" t="n">
        <v>3</v>
      </c>
      <c r="D160" s="0" t="inlineStr">
        <is>
          <t>T1484.002</t>
        </is>
      </c>
      <c r="E160" s="0" t="n">
        <v>0.36</v>
      </c>
      <c r="F160" s="0" t="n">
        <v>5</v>
      </c>
      <c r="G160" s="0" t="n">
        <v>0.1</v>
      </c>
    </row>
    <row r="161">
      <c r="A161" s="0" t="n">
        <v>40</v>
      </c>
      <c r="B161" s="0" t="inlineStr">
        <is>
          <t>B-040</t>
        </is>
      </c>
      <c r="C161" s="0" t="n">
        <v>4</v>
      </c>
      <c r="D161" s="0" t="inlineStr">
        <is>
          <t>T1496.004</t>
        </is>
      </c>
      <c r="E161" s="0" t="n">
        <v>0.18</v>
      </c>
      <c r="F161" s="0" t="n">
        <v>4</v>
      </c>
      <c r="G161" s="0" t="n">
        <v>0.28</v>
      </c>
    </row>
    <row r="162">
      <c r="A162" s="0" t="n">
        <v>41</v>
      </c>
      <c r="B162" s="0" t="inlineStr">
        <is>
          <t>B-041</t>
        </is>
      </c>
      <c r="C162" s="0" t="n">
        <v>1</v>
      </c>
      <c r="D162" s="0" t="inlineStr">
        <is>
          <t>T1190</t>
        </is>
      </c>
      <c r="E162" s="0" t="n">
        <v>0.9</v>
      </c>
      <c r="F162" s="0" t="n">
        <v>3</v>
      </c>
      <c r="G162" s="0" t="n">
        <v>0.46</v>
      </c>
    </row>
    <row r="163">
      <c r="A163" s="0" t="n">
        <v>41</v>
      </c>
      <c r="B163" s="0" t="inlineStr">
        <is>
          <t>B-041</t>
        </is>
      </c>
      <c r="C163" s="0" t="n">
        <v>2</v>
      </c>
      <c r="D163" s="0" t="inlineStr">
        <is>
          <t>T1578.002</t>
        </is>
      </c>
      <c r="E163" s="0" t="n">
        <v>0.36</v>
      </c>
      <c r="F163" s="0" t="n">
        <v>3</v>
      </c>
      <c r="G163" s="0" t="n">
        <v>0.46</v>
      </c>
    </row>
    <row r="164">
      <c r="A164" s="0" t="n">
        <v>41</v>
      </c>
      <c r="B164" s="0" t="inlineStr">
        <is>
          <t>B-041</t>
        </is>
      </c>
      <c r="C164" s="0" t="n">
        <v>3</v>
      </c>
      <c r="D164" s="0" t="inlineStr">
        <is>
          <t>T1555.006</t>
        </is>
      </c>
      <c r="E164" s="0" t="n">
        <v>0.36</v>
      </c>
      <c r="F164" s="0" t="n">
        <v>5</v>
      </c>
      <c r="G164" s="0" t="n">
        <v>0.1</v>
      </c>
    </row>
    <row r="165">
      <c r="A165" s="0" t="n">
        <v>41</v>
      </c>
      <c r="B165" s="0" t="inlineStr">
        <is>
          <t>B-041</t>
        </is>
      </c>
      <c r="C165" s="0" t="n">
        <v>4</v>
      </c>
      <c r="D165" s="0" t="inlineStr">
        <is>
          <t>T1486</t>
        </is>
      </c>
      <c r="E165" s="0" t="n">
        <v>0.9</v>
      </c>
      <c r="F165" s="0" t="n">
        <v>5</v>
      </c>
      <c r="G165" s="0" t="n">
        <v>0.1</v>
      </c>
    </row>
    <row r="166">
      <c r="A166" s="0" t="n">
        <v>42</v>
      </c>
      <c r="B166" s="0" t="inlineStr">
        <is>
          <t>B-042</t>
        </is>
      </c>
      <c r="C166" s="0" t="n">
        <v>1</v>
      </c>
      <c r="D166" s="0" t="inlineStr">
        <is>
          <t>T1190</t>
        </is>
      </c>
      <c r="E166" s="0" t="n">
        <v>0.9</v>
      </c>
      <c r="F166" s="0" t="n">
        <v>3</v>
      </c>
      <c r="G166" s="0" t="n">
        <v>0.46</v>
      </c>
    </row>
    <row r="167">
      <c r="A167" s="0" t="n">
        <v>42</v>
      </c>
      <c r="B167" s="0" t="inlineStr">
        <is>
          <t>B-042</t>
        </is>
      </c>
      <c r="C167" s="0" t="n">
        <v>2</v>
      </c>
      <c r="D167" s="0" t="inlineStr">
        <is>
          <t>T1578.002</t>
        </is>
      </c>
      <c r="E167" s="0" t="n">
        <v>0.36</v>
      </c>
      <c r="F167" s="0" t="n">
        <v>3</v>
      </c>
      <c r="G167" s="0" t="n">
        <v>0.46</v>
      </c>
    </row>
    <row r="168">
      <c r="A168" s="0" t="n">
        <v>42</v>
      </c>
      <c r="B168" s="0" t="inlineStr">
        <is>
          <t>B-042</t>
        </is>
      </c>
      <c r="C168" s="0" t="n">
        <v>3</v>
      </c>
      <c r="D168" s="0" t="inlineStr">
        <is>
          <t>T1555.006</t>
        </is>
      </c>
      <c r="E168" s="0" t="n">
        <v>0.36</v>
      </c>
      <c r="F168" s="0" t="n">
        <v>5</v>
      </c>
      <c r="G168" s="0" t="n">
        <v>0.1</v>
      </c>
    </row>
    <row r="169">
      <c r="A169" s="0" t="n">
        <v>42</v>
      </c>
      <c r="B169" s="0" t="inlineStr">
        <is>
          <t>B-042</t>
        </is>
      </c>
      <c r="C169" s="0" t="n">
        <v>4</v>
      </c>
      <c r="D169" s="0" t="inlineStr">
        <is>
          <t>T1496.001</t>
        </is>
      </c>
      <c r="E169" s="0" t="n">
        <v>0.72</v>
      </c>
      <c r="F169" s="0" t="n">
        <v>4</v>
      </c>
      <c r="G169" s="0" t="n">
        <v>0.28</v>
      </c>
    </row>
    <row r="170">
      <c r="A170" s="0" t="n">
        <v>43</v>
      </c>
      <c r="B170" s="0" t="inlineStr">
        <is>
          <t>B-043</t>
        </is>
      </c>
      <c r="C170" s="0" t="n">
        <v>1</v>
      </c>
      <c r="D170" s="0" t="inlineStr">
        <is>
          <t>T1190</t>
        </is>
      </c>
      <c r="E170" s="0" t="n">
        <v>0.9</v>
      </c>
      <c r="F170" s="0" t="n">
        <v>3</v>
      </c>
      <c r="G170" s="0" t="n">
        <v>0.46</v>
      </c>
    </row>
    <row r="171">
      <c r="A171" s="0" t="n">
        <v>43</v>
      </c>
      <c r="B171" s="0" t="inlineStr">
        <is>
          <t>B-043</t>
        </is>
      </c>
      <c r="C171" s="0" t="n">
        <v>2</v>
      </c>
      <c r="D171" s="0" t="inlineStr">
        <is>
          <t>T1578.002</t>
        </is>
      </c>
      <c r="E171" s="0" t="n">
        <v>0.36</v>
      </c>
      <c r="F171" s="0" t="n">
        <v>3</v>
      </c>
      <c r="G171" s="0" t="n">
        <v>0.46</v>
      </c>
    </row>
    <row r="172">
      <c r="A172" s="0" t="n">
        <v>43</v>
      </c>
      <c r="B172" s="0" t="inlineStr">
        <is>
          <t>B-043</t>
        </is>
      </c>
      <c r="C172" s="0" t="n">
        <v>3</v>
      </c>
      <c r="D172" s="0" t="inlineStr">
        <is>
          <t>T1555.006</t>
        </is>
      </c>
      <c r="E172" s="0" t="n">
        <v>0.36</v>
      </c>
      <c r="F172" s="0" t="n">
        <v>5</v>
      </c>
      <c r="G172" s="0" t="n">
        <v>0.1</v>
      </c>
    </row>
    <row r="173">
      <c r="A173" s="0" t="n">
        <v>43</v>
      </c>
      <c r="B173" s="0" t="inlineStr">
        <is>
          <t>B-043</t>
        </is>
      </c>
      <c r="C173" s="0" t="n">
        <v>4</v>
      </c>
      <c r="D173" s="0" t="inlineStr">
        <is>
          <t>T1496.002</t>
        </is>
      </c>
      <c r="E173" s="0" t="n">
        <v>0.18</v>
      </c>
      <c r="F173" s="0" t="n">
        <v>3</v>
      </c>
      <c r="G173" s="0" t="n">
        <v>0.46</v>
      </c>
    </row>
    <row r="174">
      <c r="A174" s="0" t="n">
        <v>44</v>
      </c>
      <c r="B174" s="0" t="inlineStr">
        <is>
          <t>B-044</t>
        </is>
      </c>
      <c r="C174" s="0" t="n">
        <v>1</v>
      </c>
      <c r="D174" s="0" t="inlineStr">
        <is>
          <t>T1190</t>
        </is>
      </c>
      <c r="E174" s="0" t="n">
        <v>0.9</v>
      </c>
      <c r="F174" s="0" t="n">
        <v>3</v>
      </c>
      <c r="G174" s="0" t="n">
        <v>0.46</v>
      </c>
    </row>
    <row r="175">
      <c r="A175" s="0" t="n">
        <v>44</v>
      </c>
      <c r="B175" s="0" t="inlineStr">
        <is>
          <t>B-044</t>
        </is>
      </c>
      <c r="C175" s="0" t="n">
        <v>2</v>
      </c>
      <c r="D175" s="0" t="inlineStr">
        <is>
          <t>T1578.002</t>
        </is>
      </c>
      <c r="E175" s="0" t="n">
        <v>0.36</v>
      </c>
      <c r="F175" s="0" t="n">
        <v>3</v>
      </c>
      <c r="G175" s="0" t="n">
        <v>0.46</v>
      </c>
    </row>
    <row r="176">
      <c r="A176" s="0" t="n">
        <v>44</v>
      </c>
      <c r="B176" s="0" t="inlineStr">
        <is>
          <t>B-044</t>
        </is>
      </c>
      <c r="C176" s="0" t="n">
        <v>3</v>
      </c>
      <c r="D176" s="0" t="inlineStr">
        <is>
          <t>T1555.006</t>
        </is>
      </c>
      <c r="E176" s="0" t="n">
        <v>0.36</v>
      </c>
      <c r="F176" s="0" t="n">
        <v>5</v>
      </c>
      <c r="G176" s="0" t="n">
        <v>0.1</v>
      </c>
    </row>
    <row r="177">
      <c r="A177" s="0" t="n">
        <v>44</v>
      </c>
      <c r="B177" s="0" t="inlineStr">
        <is>
          <t>B-044</t>
        </is>
      </c>
      <c r="C177" s="0" t="n">
        <v>4</v>
      </c>
      <c r="D177" s="0" t="inlineStr">
        <is>
          <t>T1496.004</t>
        </is>
      </c>
      <c r="E177" s="0" t="n">
        <v>0.18</v>
      </c>
      <c r="F177" s="0" t="n">
        <v>4</v>
      </c>
      <c r="G177" s="0" t="n">
        <v>0.28</v>
      </c>
    </row>
    <row r="178">
      <c r="A178" s="0" t="n">
        <v>45</v>
      </c>
      <c r="B178" s="0" t="inlineStr">
        <is>
          <t>B-045</t>
        </is>
      </c>
      <c r="C178" s="0" t="n">
        <v>1</v>
      </c>
      <c r="D178" s="0" t="inlineStr">
        <is>
          <t>T1190</t>
        </is>
      </c>
      <c r="E178" s="0" t="n">
        <v>0.9</v>
      </c>
      <c r="F178" s="0" t="n">
        <v>3</v>
      </c>
      <c r="G178" s="0" t="n">
        <v>0.46</v>
      </c>
    </row>
    <row r="179">
      <c r="A179" s="0" t="n">
        <v>45</v>
      </c>
      <c r="B179" s="0" t="inlineStr">
        <is>
          <t>B-045</t>
        </is>
      </c>
      <c r="C179" s="0" t="n">
        <v>2</v>
      </c>
      <c r="D179" s="0" t="inlineStr">
        <is>
          <t>T1578.002</t>
        </is>
      </c>
      <c r="E179" s="0" t="n">
        <v>0.36</v>
      </c>
      <c r="F179" s="0" t="n">
        <v>3</v>
      </c>
      <c r="G179" s="0" t="n">
        <v>0.46</v>
      </c>
    </row>
    <row r="180">
      <c r="A180" s="0" t="n">
        <v>45</v>
      </c>
      <c r="B180" s="0" t="inlineStr">
        <is>
          <t>B-045</t>
        </is>
      </c>
      <c r="C180" s="0" t="n">
        <v>3</v>
      </c>
      <c r="D180" s="0" t="inlineStr">
        <is>
          <t>T1651</t>
        </is>
      </c>
      <c r="E180" s="0" t="n">
        <v>0.36</v>
      </c>
      <c r="F180" s="0" t="n">
        <v>5</v>
      </c>
      <c r="G180" s="0" t="n">
        <v>0.1</v>
      </c>
    </row>
    <row r="181">
      <c r="A181" s="0" t="n">
        <v>45</v>
      </c>
      <c r="B181" s="0" t="inlineStr">
        <is>
          <t>B-045</t>
        </is>
      </c>
      <c r="C181" s="0" t="n">
        <v>4</v>
      </c>
      <c r="D181" s="0" t="inlineStr">
        <is>
          <t>T1486</t>
        </is>
      </c>
      <c r="E181" s="0" t="n">
        <v>0.9</v>
      </c>
      <c r="F181" s="0" t="n">
        <v>5</v>
      </c>
      <c r="G181" s="0" t="n">
        <v>0.1</v>
      </c>
    </row>
    <row r="182">
      <c r="A182" s="0" t="n">
        <v>46</v>
      </c>
      <c r="B182" s="0" t="inlineStr">
        <is>
          <t>B-046</t>
        </is>
      </c>
      <c r="C182" s="0" t="n">
        <v>1</v>
      </c>
      <c r="D182" s="0" t="inlineStr">
        <is>
          <t>T1190</t>
        </is>
      </c>
      <c r="E182" s="0" t="n">
        <v>0.9</v>
      </c>
      <c r="F182" s="0" t="n">
        <v>3</v>
      </c>
      <c r="G182" s="0" t="n">
        <v>0.46</v>
      </c>
    </row>
    <row r="183">
      <c r="A183" s="0" t="n">
        <v>46</v>
      </c>
      <c r="B183" s="0" t="inlineStr">
        <is>
          <t>B-046</t>
        </is>
      </c>
      <c r="C183" s="0" t="n">
        <v>2</v>
      </c>
      <c r="D183" s="0" t="inlineStr">
        <is>
          <t>T1578.002</t>
        </is>
      </c>
      <c r="E183" s="0" t="n">
        <v>0.36</v>
      </c>
      <c r="F183" s="0" t="n">
        <v>3</v>
      </c>
      <c r="G183" s="0" t="n">
        <v>0.46</v>
      </c>
    </row>
    <row r="184">
      <c r="A184" s="0" t="n">
        <v>46</v>
      </c>
      <c r="B184" s="0" t="inlineStr">
        <is>
          <t>B-046</t>
        </is>
      </c>
      <c r="C184" s="0" t="n">
        <v>3</v>
      </c>
      <c r="D184" s="0" t="inlineStr">
        <is>
          <t>T1651</t>
        </is>
      </c>
      <c r="E184" s="0" t="n">
        <v>0.36</v>
      </c>
      <c r="F184" s="0" t="n">
        <v>5</v>
      </c>
      <c r="G184" s="0" t="n">
        <v>0.1</v>
      </c>
    </row>
    <row r="185">
      <c r="A185" s="0" t="n">
        <v>46</v>
      </c>
      <c r="B185" s="0" t="inlineStr">
        <is>
          <t>B-046</t>
        </is>
      </c>
      <c r="C185" s="0" t="n">
        <v>4</v>
      </c>
      <c r="D185" s="0" t="inlineStr">
        <is>
          <t>T1496.001</t>
        </is>
      </c>
      <c r="E185" s="0" t="n">
        <v>0.72</v>
      </c>
      <c r="F185" s="0" t="n">
        <v>4</v>
      </c>
      <c r="G185" s="0" t="n">
        <v>0.28</v>
      </c>
    </row>
    <row r="186">
      <c r="A186" s="0" t="n">
        <v>47</v>
      </c>
      <c r="B186" s="0" t="inlineStr">
        <is>
          <t>B-047</t>
        </is>
      </c>
      <c r="C186" s="0" t="n">
        <v>1</v>
      </c>
      <c r="D186" s="0" t="inlineStr">
        <is>
          <t>T1190</t>
        </is>
      </c>
      <c r="E186" s="0" t="n">
        <v>0.9</v>
      </c>
      <c r="F186" s="0" t="n">
        <v>3</v>
      </c>
      <c r="G186" s="0" t="n">
        <v>0.46</v>
      </c>
    </row>
    <row r="187">
      <c r="A187" s="0" t="n">
        <v>47</v>
      </c>
      <c r="B187" s="0" t="inlineStr">
        <is>
          <t>B-047</t>
        </is>
      </c>
      <c r="C187" s="0" t="n">
        <v>2</v>
      </c>
      <c r="D187" s="0" t="inlineStr">
        <is>
          <t>T1578.002</t>
        </is>
      </c>
      <c r="E187" s="0" t="n">
        <v>0.36</v>
      </c>
      <c r="F187" s="0" t="n">
        <v>3</v>
      </c>
      <c r="G187" s="0" t="n">
        <v>0.46</v>
      </c>
    </row>
    <row r="188">
      <c r="A188" s="0" t="n">
        <v>47</v>
      </c>
      <c r="B188" s="0" t="inlineStr">
        <is>
          <t>B-047</t>
        </is>
      </c>
      <c r="C188" s="0" t="n">
        <v>3</v>
      </c>
      <c r="D188" s="0" t="inlineStr">
        <is>
          <t>T1651</t>
        </is>
      </c>
      <c r="E188" s="0" t="n">
        <v>0.36</v>
      </c>
      <c r="F188" s="0" t="n">
        <v>5</v>
      </c>
      <c r="G188" s="0" t="n">
        <v>0.1</v>
      </c>
    </row>
    <row r="189">
      <c r="A189" s="0" t="n">
        <v>47</v>
      </c>
      <c r="B189" s="0" t="inlineStr">
        <is>
          <t>B-047</t>
        </is>
      </c>
      <c r="C189" s="0" t="n">
        <v>4</v>
      </c>
      <c r="D189" s="0" t="inlineStr">
        <is>
          <t>T1496.002</t>
        </is>
      </c>
      <c r="E189" s="0" t="n">
        <v>0.18</v>
      </c>
      <c r="F189" s="0" t="n">
        <v>3</v>
      </c>
      <c r="G189" s="0" t="n">
        <v>0.46</v>
      </c>
    </row>
    <row r="190">
      <c r="A190" s="0" t="n">
        <v>48</v>
      </c>
      <c r="B190" s="0" t="inlineStr">
        <is>
          <t>B-048</t>
        </is>
      </c>
      <c r="C190" s="0" t="n">
        <v>1</v>
      </c>
      <c r="D190" s="0" t="inlineStr">
        <is>
          <t>T1190</t>
        </is>
      </c>
      <c r="E190" s="0" t="n">
        <v>0.9</v>
      </c>
      <c r="F190" s="0" t="n">
        <v>3</v>
      </c>
      <c r="G190" s="0" t="n">
        <v>0.46</v>
      </c>
    </row>
    <row r="191">
      <c r="A191" s="0" t="n">
        <v>48</v>
      </c>
      <c r="B191" s="0" t="inlineStr">
        <is>
          <t>B-048</t>
        </is>
      </c>
      <c r="C191" s="0" t="n">
        <v>2</v>
      </c>
      <c r="D191" s="0" t="inlineStr">
        <is>
          <t>T1578.002</t>
        </is>
      </c>
      <c r="E191" s="0" t="n">
        <v>0.36</v>
      </c>
      <c r="F191" s="0" t="n">
        <v>3</v>
      </c>
      <c r="G191" s="0" t="n">
        <v>0.46</v>
      </c>
    </row>
    <row r="192">
      <c r="A192" s="0" t="n">
        <v>48</v>
      </c>
      <c r="B192" s="0" t="inlineStr">
        <is>
          <t>B-048</t>
        </is>
      </c>
      <c r="C192" s="0" t="n">
        <v>3</v>
      </c>
      <c r="D192" s="0" t="inlineStr">
        <is>
          <t>T1651</t>
        </is>
      </c>
      <c r="E192" s="0" t="n">
        <v>0.36</v>
      </c>
      <c r="F192" s="0" t="n">
        <v>5</v>
      </c>
      <c r="G192" s="0" t="n">
        <v>0.1</v>
      </c>
    </row>
    <row r="193">
      <c r="A193" s="0" t="n">
        <v>48</v>
      </c>
      <c r="B193" s="0" t="inlineStr">
        <is>
          <t>B-048</t>
        </is>
      </c>
      <c r="C193" s="0" t="n">
        <v>4</v>
      </c>
      <c r="D193" s="0" t="inlineStr">
        <is>
          <t>T1496.004</t>
        </is>
      </c>
      <c r="E193" s="0" t="n">
        <v>0.18</v>
      </c>
      <c r="F193" s="0" t="n">
        <v>4</v>
      </c>
      <c r="G193" s="0" t="n">
        <v>0.28</v>
      </c>
    </row>
    <row r="194">
      <c r="A194" s="0" t="n">
        <v>49</v>
      </c>
      <c r="B194" s="0" t="inlineStr">
        <is>
          <t>B-049</t>
        </is>
      </c>
      <c r="C194" s="0" t="n">
        <v>1</v>
      </c>
      <c r="D194" s="0" t="inlineStr">
        <is>
          <t>T1190</t>
        </is>
      </c>
      <c r="E194" s="0" t="n">
        <v>0.9</v>
      </c>
      <c r="F194" s="0" t="n">
        <v>3</v>
      </c>
      <c r="G194" s="0" t="n">
        <v>0.46</v>
      </c>
    </row>
    <row r="195">
      <c r="A195" s="0" t="n">
        <v>49</v>
      </c>
      <c r="B195" s="0" t="inlineStr">
        <is>
          <t>B-049</t>
        </is>
      </c>
      <c r="C195" s="0" t="n">
        <v>2</v>
      </c>
      <c r="D195" s="0" t="inlineStr">
        <is>
          <t>T1578.004</t>
        </is>
      </c>
      <c r="E195" s="0" t="n">
        <v>0.18</v>
      </c>
      <c r="F195" s="0" t="n">
        <v>3</v>
      </c>
      <c r="G195" s="0" t="n">
        <v>0.46</v>
      </c>
    </row>
    <row r="196">
      <c r="A196" s="0" t="n">
        <v>49</v>
      </c>
      <c r="B196" s="0" t="inlineStr">
        <is>
          <t>B-049</t>
        </is>
      </c>
      <c r="C196" s="0" t="n">
        <v>3</v>
      </c>
      <c r="D196" s="0" t="inlineStr">
        <is>
          <t>T1059.009</t>
        </is>
      </c>
      <c r="E196" s="0" t="n">
        <v>0.36</v>
      </c>
      <c r="F196" s="0" t="n">
        <v>5</v>
      </c>
      <c r="G196" s="0" t="n">
        <v>0.1</v>
      </c>
    </row>
    <row r="197">
      <c r="A197" s="0" t="n">
        <v>49</v>
      </c>
      <c r="B197" s="0" t="inlineStr">
        <is>
          <t>B-049</t>
        </is>
      </c>
      <c r="C197" s="0" t="n">
        <v>4</v>
      </c>
      <c r="D197" s="0" t="inlineStr">
        <is>
          <t>T1486</t>
        </is>
      </c>
      <c r="E197" s="0" t="n">
        <v>0.9</v>
      </c>
      <c r="F197" s="0" t="n">
        <v>5</v>
      </c>
      <c r="G197" s="0" t="n">
        <v>0.1</v>
      </c>
    </row>
    <row r="198">
      <c r="A198" s="0" t="n">
        <v>50</v>
      </c>
      <c r="B198" s="0" t="inlineStr">
        <is>
          <t>B-050</t>
        </is>
      </c>
      <c r="C198" s="0" t="n">
        <v>1</v>
      </c>
      <c r="D198" s="0" t="inlineStr">
        <is>
          <t>T1190</t>
        </is>
      </c>
      <c r="E198" s="0" t="n">
        <v>0.9</v>
      </c>
      <c r="F198" s="0" t="n">
        <v>3</v>
      </c>
      <c r="G198" s="0" t="n">
        <v>0.46</v>
      </c>
    </row>
    <row r="199">
      <c r="A199" s="0" t="n">
        <v>50</v>
      </c>
      <c r="B199" s="0" t="inlineStr">
        <is>
          <t>B-050</t>
        </is>
      </c>
      <c r="C199" s="0" t="n">
        <v>2</v>
      </c>
      <c r="D199" s="0" t="inlineStr">
        <is>
          <t>T1578.004</t>
        </is>
      </c>
      <c r="E199" s="0" t="n">
        <v>0.18</v>
      </c>
      <c r="F199" s="0" t="n">
        <v>3</v>
      </c>
      <c r="G199" s="0" t="n">
        <v>0.46</v>
      </c>
    </row>
    <row r="200">
      <c r="A200" s="0" t="n">
        <v>50</v>
      </c>
      <c r="B200" s="0" t="inlineStr">
        <is>
          <t>B-050</t>
        </is>
      </c>
      <c r="C200" s="0" t="n">
        <v>3</v>
      </c>
      <c r="D200" s="0" t="inlineStr">
        <is>
          <t>T1059.009</t>
        </is>
      </c>
      <c r="E200" s="0" t="n">
        <v>0.36</v>
      </c>
      <c r="F200" s="0" t="n">
        <v>5</v>
      </c>
      <c r="G200" s="0" t="n">
        <v>0.1</v>
      </c>
    </row>
    <row r="201">
      <c r="A201" s="0" t="n">
        <v>50</v>
      </c>
      <c r="B201" s="0" t="inlineStr">
        <is>
          <t>B-050</t>
        </is>
      </c>
      <c r="C201" s="0" t="n">
        <v>4</v>
      </c>
      <c r="D201" s="0" t="inlineStr">
        <is>
          <t>T1496.001</t>
        </is>
      </c>
      <c r="E201" s="0" t="n">
        <v>0.72</v>
      </c>
      <c r="F201" s="0" t="n">
        <v>4</v>
      </c>
      <c r="G201" s="0" t="n">
        <v>0.28</v>
      </c>
    </row>
    <row r="202">
      <c r="A202" s="0" t="n">
        <v>51</v>
      </c>
      <c r="B202" s="0" t="inlineStr">
        <is>
          <t>B-051</t>
        </is>
      </c>
      <c r="C202" s="0" t="n">
        <v>1</v>
      </c>
      <c r="D202" s="0" t="inlineStr">
        <is>
          <t>T1190</t>
        </is>
      </c>
      <c r="E202" s="0" t="n">
        <v>0.9</v>
      </c>
      <c r="F202" s="0" t="n">
        <v>3</v>
      </c>
      <c r="G202" s="0" t="n">
        <v>0.46</v>
      </c>
    </row>
    <row r="203">
      <c r="A203" s="0" t="n">
        <v>51</v>
      </c>
      <c r="B203" s="0" t="inlineStr">
        <is>
          <t>B-051</t>
        </is>
      </c>
      <c r="C203" s="0" t="n">
        <v>2</v>
      </c>
      <c r="D203" s="0" t="inlineStr">
        <is>
          <t>T1578.004</t>
        </is>
      </c>
      <c r="E203" s="0" t="n">
        <v>0.18</v>
      </c>
      <c r="F203" s="0" t="n">
        <v>3</v>
      </c>
      <c r="G203" s="0" t="n">
        <v>0.46</v>
      </c>
    </row>
    <row r="204">
      <c r="A204" s="0" t="n">
        <v>51</v>
      </c>
      <c r="B204" s="0" t="inlineStr">
        <is>
          <t>B-051</t>
        </is>
      </c>
      <c r="C204" s="0" t="n">
        <v>3</v>
      </c>
      <c r="D204" s="0" t="inlineStr">
        <is>
          <t>T1059.009</t>
        </is>
      </c>
      <c r="E204" s="0" t="n">
        <v>0.36</v>
      </c>
      <c r="F204" s="0" t="n">
        <v>5</v>
      </c>
      <c r="G204" s="0" t="n">
        <v>0.1</v>
      </c>
    </row>
    <row r="205">
      <c r="A205" s="0" t="n">
        <v>51</v>
      </c>
      <c r="B205" s="0" t="inlineStr">
        <is>
          <t>B-051</t>
        </is>
      </c>
      <c r="C205" s="0" t="n">
        <v>4</v>
      </c>
      <c r="D205" s="0" t="inlineStr">
        <is>
          <t>T1496.002</t>
        </is>
      </c>
      <c r="E205" s="0" t="n">
        <v>0.18</v>
      </c>
      <c r="F205" s="0" t="n">
        <v>3</v>
      </c>
      <c r="G205" s="0" t="n">
        <v>0.46</v>
      </c>
    </row>
    <row r="206">
      <c r="A206" s="0" t="n">
        <v>52</v>
      </c>
      <c r="B206" s="0" t="inlineStr">
        <is>
          <t>B-052</t>
        </is>
      </c>
      <c r="C206" s="0" t="n">
        <v>1</v>
      </c>
      <c r="D206" s="0" t="inlineStr">
        <is>
          <t>T1190</t>
        </is>
      </c>
      <c r="E206" s="0" t="n">
        <v>0.9</v>
      </c>
      <c r="F206" s="0" t="n">
        <v>3</v>
      </c>
      <c r="G206" s="0" t="n">
        <v>0.46</v>
      </c>
    </row>
    <row r="207">
      <c r="A207" s="0" t="n">
        <v>52</v>
      </c>
      <c r="B207" s="0" t="inlineStr">
        <is>
          <t>B-052</t>
        </is>
      </c>
      <c r="C207" s="0" t="n">
        <v>2</v>
      </c>
      <c r="D207" s="0" t="inlineStr">
        <is>
          <t>T1578.004</t>
        </is>
      </c>
      <c r="E207" s="0" t="n">
        <v>0.18</v>
      </c>
      <c r="F207" s="0" t="n">
        <v>3</v>
      </c>
      <c r="G207" s="0" t="n">
        <v>0.46</v>
      </c>
    </row>
    <row r="208">
      <c r="A208" s="0" t="n">
        <v>52</v>
      </c>
      <c r="B208" s="0" t="inlineStr">
        <is>
          <t>B-052</t>
        </is>
      </c>
      <c r="C208" s="0" t="n">
        <v>3</v>
      </c>
      <c r="D208" s="0" t="inlineStr">
        <is>
          <t>T1059.009</t>
        </is>
      </c>
      <c r="E208" s="0" t="n">
        <v>0.36</v>
      </c>
      <c r="F208" s="0" t="n">
        <v>5</v>
      </c>
      <c r="G208" s="0" t="n">
        <v>0.1</v>
      </c>
    </row>
    <row r="209">
      <c r="A209" s="0" t="n">
        <v>52</v>
      </c>
      <c r="B209" s="0" t="inlineStr">
        <is>
          <t>B-052</t>
        </is>
      </c>
      <c r="C209" s="0" t="n">
        <v>4</v>
      </c>
      <c r="D209" s="0" t="inlineStr">
        <is>
          <t>T1496.004</t>
        </is>
      </c>
      <c r="E209" s="0" t="n">
        <v>0.18</v>
      </c>
      <c r="F209" s="0" t="n">
        <v>4</v>
      </c>
      <c r="G209" s="0" t="n">
        <v>0.28</v>
      </c>
    </row>
    <row r="210">
      <c r="A210" s="0" t="n">
        <v>53</v>
      </c>
      <c r="B210" s="0" t="inlineStr">
        <is>
          <t>B-053</t>
        </is>
      </c>
      <c r="C210" s="0" t="n">
        <v>1</v>
      </c>
      <c r="D210" s="0" t="inlineStr">
        <is>
          <t>T1190</t>
        </is>
      </c>
      <c r="E210" s="0" t="n">
        <v>0.9</v>
      </c>
      <c r="F210" s="0" t="n">
        <v>3</v>
      </c>
      <c r="G210" s="0" t="n">
        <v>0.46</v>
      </c>
    </row>
    <row r="211">
      <c r="A211" s="0" t="n">
        <v>53</v>
      </c>
      <c r="B211" s="0" t="inlineStr">
        <is>
          <t>B-053</t>
        </is>
      </c>
      <c r="C211" s="0" t="n">
        <v>2</v>
      </c>
      <c r="D211" s="0" t="inlineStr">
        <is>
          <t>T1578.004</t>
        </is>
      </c>
      <c r="E211" s="0" t="n">
        <v>0.18</v>
      </c>
      <c r="F211" s="0" t="n">
        <v>3</v>
      </c>
      <c r="G211" s="0" t="n">
        <v>0.46</v>
      </c>
    </row>
    <row r="212">
      <c r="A212" s="0" t="n">
        <v>53</v>
      </c>
      <c r="B212" s="0" t="inlineStr">
        <is>
          <t>B-053</t>
        </is>
      </c>
      <c r="C212" s="0" t="n">
        <v>3</v>
      </c>
      <c r="D212" s="0" t="inlineStr">
        <is>
          <t>T1484.002</t>
        </is>
      </c>
      <c r="E212" s="0" t="n">
        <v>0.36</v>
      </c>
      <c r="F212" s="0" t="n">
        <v>5</v>
      </c>
      <c r="G212" s="0" t="n">
        <v>0.1</v>
      </c>
    </row>
    <row r="213">
      <c r="A213" s="0" t="n">
        <v>53</v>
      </c>
      <c r="B213" s="0" t="inlineStr">
        <is>
          <t>B-053</t>
        </is>
      </c>
      <c r="C213" s="0" t="n">
        <v>4</v>
      </c>
      <c r="D213" s="0" t="inlineStr">
        <is>
          <t>T1486</t>
        </is>
      </c>
      <c r="E213" s="0" t="n">
        <v>0.9</v>
      </c>
      <c r="F213" s="0" t="n">
        <v>5</v>
      </c>
      <c r="G213" s="0" t="n">
        <v>0.1</v>
      </c>
    </row>
    <row r="214">
      <c r="A214" s="0" t="n">
        <v>54</v>
      </c>
      <c r="B214" s="0" t="inlineStr">
        <is>
          <t>B-054</t>
        </is>
      </c>
      <c r="C214" s="0" t="n">
        <v>1</v>
      </c>
      <c r="D214" s="0" t="inlineStr">
        <is>
          <t>T1190</t>
        </is>
      </c>
      <c r="E214" s="0" t="n">
        <v>0.9</v>
      </c>
      <c r="F214" s="0" t="n">
        <v>3</v>
      </c>
      <c r="G214" s="0" t="n">
        <v>0.46</v>
      </c>
    </row>
    <row r="215">
      <c r="A215" s="0" t="n">
        <v>54</v>
      </c>
      <c r="B215" s="0" t="inlineStr">
        <is>
          <t>B-054</t>
        </is>
      </c>
      <c r="C215" s="0" t="n">
        <v>2</v>
      </c>
      <c r="D215" s="0" t="inlineStr">
        <is>
          <t>T1578.004</t>
        </is>
      </c>
      <c r="E215" s="0" t="n">
        <v>0.18</v>
      </c>
      <c r="F215" s="0" t="n">
        <v>3</v>
      </c>
      <c r="G215" s="0" t="n">
        <v>0.46</v>
      </c>
    </row>
    <row r="216">
      <c r="A216" s="0" t="n">
        <v>54</v>
      </c>
      <c r="B216" s="0" t="inlineStr">
        <is>
          <t>B-054</t>
        </is>
      </c>
      <c r="C216" s="0" t="n">
        <v>3</v>
      </c>
      <c r="D216" s="0" t="inlineStr">
        <is>
          <t>T1484.002</t>
        </is>
      </c>
      <c r="E216" s="0" t="n">
        <v>0.36</v>
      </c>
      <c r="F216" s="0" t="n">
        <v>5</v>
      </c>
      <c r="G216" s="0" t="n">
        <v>0.1</v>
      </c>
    </row>
    <row r="217">
      <c r="A217" s="0" t="n">
        <v>54</v>
      </c>
      <c r="B217" s="0" t="inlineStr">
        <is>
          <t>B-054</t>
        </is>
      </c>
      <c r="C217" s="0" t="n">
        <v>4</v>
      </c>
      <c r="D217" s="0" t="inlineStr">
        <is>
          <t>T1496.001</t>
        </is>
      </c>
      <c r="E217" s="0" t="n">
        <v>0.72</v>
      </c>
      <c r="F217" s="0" t="n">
        <v>4</v>
      </c>
      <c r="G217" s="0" t="n">
        <v>0.28</v>
      </c>
    </row>
    <row r="218">
      <c r="A218" s="0" t="n">
        <v>55</v>
      </c>
      <c r="B218" s="0" t="inlineStr">
        <is>
          <t>B-055</t>
        </is>
      </c>
      <c r="C218" s="0" t="n">
        <v>1</v>
      </c>
      <c r="D218" s="0" t="inlineStr">
        <is>
          <t>T1190</t>
        </is>
      </c>
      <c r="E218" s="0" t="n">
        <v>0.9</v>
      </c>
      <c r="F218" s="0" t="n">
        <v>3</v>
      </c>
      <c r="G218" s="0" t="n">
        <v>0.46</v>
      </c>
    </row>
    <row r="219">
      <c r="A219" s="0" t="n">
        <v>55</v>
      </c>
      <c r="B219" s="0" t="inlineStr">
        <is>
          <t>B-055</t>
        </is>
      </c>
      <c r="C219" s="0" t="n">
        <v>2</v>
      </c>
      <c r="D219" s="0" t="inlineStr">
        <is>
          <t>T1578.004</t>
        </is>
      </c>
      <c r="E219" s="0" t="n">
        <v>0.18</v>
      </c>
      <c r="F219" s="0" t="n">
        <v>3</v>
      </c>
      <c r="G219" s="0" t="n">
        <v>0.46</v>
      </c>
    </row>
    <row r="220">
      <c r="A220" s="0" t="n">
        <v>55</v>
      </c>
      <c r="B220" s="0" t="inlineStr">
        <is>
          <t>B-055</t>
        </is>
      </c>
      <c r="C220" s="0" t="n">
        <v>3</v>
      </c>
      <c r="D220" s="0" t="inlineStr">
        <is>
          <t>T1484.002</t>
        </is>
      </c>
      <c r="E220" s="0" t="n">
        <v>0.36</v>
      </c>
      <c r="F220" s="0" t="n">
        <v>5</v>
      </c>
      <c r="G220" s="0" t="n">
        <v>0.1</v>
      </c>
    </row>
    <row r="221">
      <c r="A221" s="0" t="n">
        <v>55</v>
      </c>
      <c r="B221" s="0" t="inlineStr">
        <is>
          <t>B-055</t>
        </is>
      </c>
      <c r="C221" s="0" t="n">
        <v>4</v>
      </c>
      <c r="D221" s="0" t="inlineStr">
        <is>
          <t>T1496.002</t>
        </is>
      </c>
      <c r="E221" s="0" t="n">
        <v>0.18</v>
      </c>
      <c r="F221" s="0" t="n">
        <v>3</v>
      </c>
      <c r="G221" s="0" t="n">
        <v>0.46</v>
      </c>
    </row>
    <row r="222">
      <c r="A222" s="0" t="n">
        <v>56</v>
      </c>
      <c r="B222" s="0" t="inlineStr">
        <is>
          <t>B-056</t>
        </is>
      </c>
      <c r="C222" s="0" t="n">
        <v>1</v>
      </c>
      <c r="D222" s="0" t="inlineStr">
        <is>
          <t>T1190</t>
        </is>
      </c>
      <c r="E222" s="0" t="n">
        <v>0.9</v>
      </c>
      <c r="F222" s="0" t="n">
        <v>3</v>
      </c>
      <c r="G222" s="0" t="n">
        <v>0.46</v>
      </c>
    </row>
    <row r="223">
      <c r="A223" s="0" t="n">
        <v>56</v>
      </c>
      <c r="B223" s="0" t="inlineStr">
        <is>
          <t>B-056</t>
        </is>
      </c>
      <c r="C223" s="0" t="n">
        <v>2</v>
      </c>
      <c r="D223" s="0" t="inlineStr">
        <is>
          <t>T1578.004</t>
        </is>
      </c>
      <c r="E223" s="0" t="n">
        <v>0.18</v>
      </c>
      <c r="F223" s="0" t="n">
        <v>3</v>
      </c>
      <c r="G223" s="0" t="n">
        <v>0.46</v>
      </c>
    </row>
    <row r="224">
      <c r="A224" s="0" t="n">
        <v>56</v>
      </c>
      <c r="B224" s="0" t="inlineStr">
        <is>
          <t>B-056</t>
        </is>
      </c>
      <c r="C224" s="0" t="n">
        <v>3</v>
      </c>
      <c r="D224" s="0" t="inlineStr">
        <is>
          <t>T1484.002</t>
        </is>
      </c>
      <c r="E224" s="0" t="n">
        <v>0.36</v>
      </c>
      <c r="F224" s="0" t="n">
        <v>5</v>
      </c>
      <c r="G224" s="0" t="n">
        <v>0.1</v>
      </c>
    </row>
    <row r="225">
      <c r="A225" s="0" t="n">
        <v>56</v>
      </c>
      <c r="B225" s="0" t="inlineStr">
        <is>
          <t>B-056</t>
        </is>
      </c>
      <c r="C225" s="0" t="n">
        <v>4</v>
      </c>
      <c r="D225" s="0" t="inlineStr">
        <is>
          <t>T1496.004</t>
        </is>
      </c>
      <c r="E225" s="0" t="n">
        <v>0.18</v>
      </c>
      <c r="F225" s="0" t="n">
        <v>4</v>
      </c>
      <c r="G225" s="0" t="n">
        <v>0.28</v>
      </c>
    </row>
    <row r="226">
      <c r="A226" s="0" t="n">
        <v>57</v>
      </c>
      <c r="B226" s="0" t="inlineStr">
        <is>
          <t>B-057</t>
        </is>
      </c>
      <c r="C226" s="0" t="n">
        <v>1</v>
      </c>
      <c r="D226" s="0" t="inlineStr">
        <is>
          <t>T1190</t>
        </is>
      </c>
      <c r="E226" s="0" t="n">
        <v>0.9</v>
      </c>
      <c r="F226" s="0" t="n">
        <v>3</v>
      </c>
      <c r="G226" s="0" t="n">
        <v>0.46</v>
      </c>
    </row>
    <row r="227">
      <c r="A227" s="0" t="n">
        <v>57</v>
      </c>
      <c r="B227" s="0" t="inlineStr">
        <is>
          <t>B-057</t>
        </is>
      </c>
      <c r="C227" s="0" t="n">
        <v>2</v>
      </c>
      <c r="D227" s="0" t="inlineStr">
        <is>
          <t>T1578.004</t>
        </is>
      </c>
      <c r="E227" s="0" t="n">
        <v>0.18</v>
      </c>
      <c r="F227" s="0" t="n">
        <v>3</v>
      </c>
      <c r="G227" s="0" t="n">
        <v>0.46</v>
      </c>
    </row>
    <row r="228">
      <c r="A228" s="0" t="n">
        <v>57</v>
      </c>
      <c r="B228" s="0" t="inlineStr">
        <is>
          <t>B-057</t>
        </is>
      </c>
      <c r="C228" s="0" t="n">
        <v>3</v>
      </c>
      <c r="D228" s="0" t="inlineStr">
        <is>
          <t>T1555.006</t>
        </is>
      </c>
      <c r="E228" s="0" t="n">
        <v>0.36</v>
      </c>
      <c r="F228" s="0" t="n">
        <v>5</v>
      </c>
      <c r="G228" s="0" t="n">
        <v>0.1</v>
      </c>
    </row>
    <row r="229">
      <c r="A229" s="0" t="n">
        <v>57</v>
      </c>
      <c r="B229" s="0" t="inlineStr">
        <is>
          <t>B-057</t>
        </is>
      </c>
      <c r="C229" s="0" t="n">
        <v>4</v>
      </c>
      <c r="D229" s="0" t="inlineStr">
        <is>
          <t>T1486</t>
        </is>
      </c>
      <c r="E229" s="0" t="n">
        <v>0.9</v>
      </c>
      <c r="F229" s="0" t="n">
        <v>5</v>
      </c>
      <c r="G229" s="0" t="n">
        <v>0.1</v>
      </c>
    </row>
    <row r="230">
      <c r="A230" s="0" t="n">
        <v>58</v>
      </c>
      <c r="B230" s="0" t="inlineStr">
        <is>
          <t>B-058</t>
        </is>
      </c>
      <c r="C230" s="0" t="n">
        <v>1</v>
      </c>
      <c r="D230" s="0" t="inlineStr">
        <is>
          <t>T1190</t>
        </is>
      </c>
      <c r="E230" s="0" t="n">
        <v>0.9</v>
      </c>
      <c r="F230" s="0" t="n">
        <v>3</v>
      </c>
      <c r="G230" s="0" t="n">
        <v>0.46</v>
      </c>
    </row>
    <row r="231">
      <c r="A231" s="0" t="n">
        <v>58</v>
      </c>
      <c r="B231" s="0" t="inlineStr">
        <is>
          <t>B-058</t>
        </is>
      </c>
      <c r="C231" s="0" t="n">
        <v>2</v>
      </c>
      <c r="D231" s="0" t="inlineStr">
        <is>
          <t>T1578.004</t>
        </is>
      </c>
      <c r="E231" s="0" t="n">
        <v>0.18</v>
      </c>
      <c r="F231" s="0" t="n">
        <v>3</v>
      </c>
      <c r="G231" s="0" t="n">
        <v>0.46</v>
      </c>
    </row>
    <row r="232">
      <c r="A232" s="0" t="n">
        <v>58</v>
      </c>
      <c r="B232" s="0" t="inlineStr">
        <is>
          <t>B-058</t>
        </is>
      </c>
      <c r="C232" s="0" t="n">
        <v>3</v>
      </c>
      <c r="D232" s="0" t="inlineStr">
        <is>
          <t>T1555.006</t>
        </is>
      </c>
      <c r="E232" s="0" t="n">
        <v>0.36</v>
      </c>
      <c r="F232" s="0" t="n">
        <v>5</v>
      </c>
      <c r="G232" s="0" t="n">
        <v>0.1</v>
      </c>
    </row>
    <row r="233">
      <c r="A233" s="0" t="n">
        <v>58</v>
      </c>
      <c r="B233" s="0" t="inlineStr">
        <is>
          <t>B-058</t>
        </is>
      </c>
      <c r="C233" s="0" t="n">
        <v>4</v>
      </c>
      <c r="D233" s="0" t="inlineStr">
        <is>
          <t>T1496.001</t>
        </is>
      </c>
      <c r="E233" s="0" t="n">
        <v>0.72</v>
      </c>
      <c r="F233" s="0" t="n">
        <v>4</v>
      </c>
      <c r="G233" s="0" t="n">
        <v>0.28</v>
      </c>
    </row>
    <row r="234">
      <c r="A234" s="0" t="n">
        <v>59</v>
      </c>
      <c r="B234" s="0" t="inlineStr">
        <is>
          <t>B-059</t>
        </is>
      </c>
      <c r="C234" s="0" t="n">
        <v>1</v>
      </c>
      <c r="D234" s="0" t="inlineStr">
        <is>
          <t>T1190</t>
        </is>
      </c>
      <c r="E234" s="0" t="n">
        <v>0.9</v>
      </c>
      <c r="F234" s="0" t="n">
        <v>3</v>
      </c>
      <c r="G234" s="0" t="n">
        <v>0.46</v>
      </c>
    </row>
    <row r="235">
      <c r="A235" s="0" t="n">
        <v>59</v>
      </c>
      <c r="B235" s="0" t="inlineStr">
        <is>
          <t>B-059</t>
        </is>
      </c>
      <c r="C235" s="0" t="n">
        <v>2</v>
      </c>
      <c r="D235" s="0" t="inlineStr">
        <is>
          <t>T1578.004</t>
        </is>
      </c>
      <c r="E235" s="0" t="n">
        <v>0.18</v>
      </c>
      <c r="F235" s="0" t="n">
        <v>3</v>
      </c>
      <c r="G235" s="0" t="n">
        <v>0.46</v>
      </c>
    </row>
    <row r="236">
      <c r="A236" s="0" t="n">
        <v>59</v>
      </c>
      <c r="B236" s="0" t="inlineStr">
        <is>
          <t>B-059</t>
        </is>
      </c>
      <c r="C236" s="0" t="n">
        <v>3</v>
      </c>
      <c r="D236" s="0" t="inlineStr">
        <is>
          <t>T1555.006</t>
        </is>
      </c>
      <c r="E236" s="0" t="n">
        <v>0.36</v>
      </c>
      <c r="F236" s="0" t="n">
        <v>5</v>
      </c>
      <c r="G236" s="0" t="n">
        <v>0.1</v>
      </c>
    </row>
    <row r="237">
      <c r="A237" s="0" t="n">
        <v>59</v>
      </c>
      <c r="B237" s="0" t="inlineStr">
        <is>
          <t>B-059</t>
        </is>
      </c>
      <c r="C237" s="0" t="n">
        <v>4</v>
      </c>
      <c r="D237" s="0" t="inlineStr">
        <is>
          <t>T1496.002</t>
        </is>
      </c>
      <c r="E237" s="0" t="n">
        <v>0.18</v>
      </c>
      <c r="F237" s="0" t="n">
        <v>3</v>
      </c>
      <c r="G237" s="0" t="n">
        <v>0.46</v>
      </c>
    </row>
    <row r="238">
      <c r="A238" s="0" t="n">
        <v>60</v>
      </c>
      <c r="B238" s="0" t="inlineStr">
        <is>
          <t>B-060</t>
        </is>
      </c>
      <c r="C238" s="0" t="n">
        <v>1</v>
      </c>
      <c r="D238" s="0" t="inlineStr">
        <is>
          <t>T1190</t>
        </is>
      </c>
      <c r="E238" s="0" t="n">
        <v>0.9</v>
      </c>
      <c r="F238" s="0" t="n">
        <v>3</v>
      </c>
      <c r="G238" s="0" t="n">
        <v>0.46</v>
      </c>
    </row>
    <row r="239">
      <c r="A239" s="0" t="n">
        <v>60</v>
      </c>
      <c r="B239" s="0" t="inlineStr">
        <is>
          <t>B-060</t>
        </is>
      </c>
      <c r="C239" s="0" t="n">
        <v>2</v>
      </c>
      <c r="D239" s="0" t="inlineStr">
        <is>
          <t>T1578.004</t>
        </is>
      </c>
      <c r="E239" s="0" t="n">
        <v>0.18</v>
      </c>
      <c r="F239" s="0" t="n">
        <v>3</v>
      </c>
      <c r="G239" s="0" t="n">
        <v>0.46</v>
      </c>
    </row>
    <row r="240">
      <c r="A240" s="0" t="n">
        <v>60</v>
      </c>
      <c r="B240" s="0" t="inlineStr">
        <is>
          <t>B-060</t>
        </is>
      </c>
      <c r="C240" s="0" t="n">
        <v>3</v>
      </c>
      <c r="D240" s="0" t="inlineStr">
        <is>
          <t>T1555.006</t>
        </is>
      </c>
      <c r="E240" s="0" t="n">
        <v>0.36</v>
      </c>
      <c r="F240" s="0" t="n">
        <v>5</v>
      </c>
      <c r="G240" s="0" t="n">
        <v>0.1</v>
      </c>
    </row>
    <row r="241">
      <c r="A241" s="0" t="n">
        <v>60</v>
      </c>
      <c r="B241" s="0" t="inlineStr">
        <is>
          <t>B-060</t>
        </is>
      </c>
      <c r="C241" s="0" t="n">
        <v>4</v>
      </c>
      <c r="D241" s="0" t="inlineStr">
        <is>
          <t>T1496.004</t>
        </is>
      </c>
      <c r="E241" s="0" t="n">
        <v>0.18</v>
      </c>
      <c r="F241" s="0" t="n">
        <v>4</v>
      </c>
      <c r="G241" s="0" t="n">
        <v>0.28</v>
      </c>
    </row>
    <row r="242">
      <c r="A242" s="0" t="n">
        <v>61</v>
      </c>
      <c r="B242" s="0" t="inlineStr">
        <is>
          <t>B-061</t>
        </is>
      </c>
      <c r="C242" s="0" t="n">
        <v>1</v>
      </c>
      <c r="D242" s="0" t="inlineStr">
        <is>
          <t>T1190</t>
        </is>
      </c>
      <c r="E242" s="0" t="n">
        <v>0.9</v>
      </c>
      <c r="F242" s="0" t="n">
        <v>3</v>
      </c>
      <c r="G242" s="0" t="n">
        <v>0.46</v>
      </c>
    </row>
    <row r="243">
      <c r="A243" s="0" t="n">
        <v>61</v>
      </c>
      <c r="B243" s="0" t="inlineStr">
        <is>
          <t>B-061</t>
        </is>
      </c>
      <c r="C243" s="0" t="n">
        <v>2</v>
      </c>
      <c r="D243" s="0" t="inlineStr">
        <is>
          <t>T1578.004</t>
        </is>
      </c>
      <c r="E243" s="0" t="n">
        <v>0.18</v>
      </c>
      <c r="F243" s="0" t="n">
        <v>3</v>
      </c>
      <c r="G243" s="0" t="n">
        <v>0.46</v>
      </c>
    </row>
    <row r="244">
      <c r="A244" s="0" t="n">
        <v>61</v>
      </c>
      <c r="B244" s="0" t="inlineStr">
        <is>
          <t>B-061</t>
        </is>
      </c>
      <c r="C244" s="0" t="n">
        <v>3</v>
      </c>
      <c r="D244" s="0" t="inlineStr">
        <is>
          <t>T1651</t>
        </is>
      </c>
      <c r="E244" s="0" t="n">
        <v>0.36</v>
      </c>
      <c r="F244" s="0" t="n">
        <v>5</v>
      </c>
      <c r="G244" s="0" t="n">
        <v>0.1</v>
      </c>
    </row>
    <row r="245">
      <c r="A245" s="0" t="n">
        <v>61</v>
      </c>
      <c r="B245" s="0" t="inlineStr">
        <is>
          <t>B-061</t>
        </is>
      </c>
      <c r="C245" s="0" t="n">
        <v>4</v>
      </c>
      <c r="D245" s="0" t="inlineStr">
        <is>
          <t>T1486</t>
        </is>
      </c>
      <c r="E245" s="0" t="n">
        <v>0.9</v>
      </c>
      <c r="F245" s="0" t="n">
        <v>5</v>
      </c>
      <c r="G245" s="0" t="n">
        <v>0.1</v>
      </c>
    </row>
    <row r="246">
      <c r="A246" s="0" t="n">
        <v>62</v>
      </c>
      <c r="B246" s="0" t="inlineStr">
        <is>
          <t>B-062</t>
        </is>
      </c>
      <c r="C246" s="0" t="n">
        <v>1</v>
      </c>
      <c r="D246" s="0" t="inlineStr">
        <is>
          <t>T1190</t>
        </is>
      </c>
      <c r="E246" s="0" t="n">
        <v>0.9</v>
      </c>
      <c r="F246" s="0" t="n">
        <v>3</v>
      </c>
      <c r="G246" s="0" t="n">
        <v>0.46</v>
      </c>
    </row>
    <row r="247">
      <c r="A247" s="0" t="n">
        <v>62</v>
      </c>
      <c r="B247" s="0" t="inlineStr">
        <is>
          <t>B-062</t>
        </is>
      </c>
      <c r="C247" s="0" t="n">
        <v>2</v>
      </c>
      <c r="D247" s="0" t="inlineStr">
        <is>
          <t>T1578.004</t>
        </is>
      </c>
      <c r="E247" s="0" t="n">
        <v>0.18</v>
      </c>
      <c r="F247" s="0" t="n">
        <v>3</v>
      </c>
      <c r="G247" s="0" t="n">
        <v>0.46</v>
      </c>
    </row>
    <row r="248">
      <c r="A248" s="0" t="n">
        <v>62</v>
      </c>
      <c r="B248" s="0" t="inlineStr">
        <is>
          <t>B-062</t>
        </is>
      </c>
      <c r="C248" s="0" t="n">
        <v>3</v>
      </c>
      <c r="D248" s="0" t="inlineStr">
        <is>
          <t>T1651</t>
        </is>
      </c>
      <c r="E248" s="0" t="n">
        <v>0.36</v>
      </c>
      <c r="F248" s="0" t="n">
        <v>5</v>
      </c>
      <c r="G248" s="0" t="n">
        <v>0.1</v>
      </c>
    </row>
    <row r="249">
      <c r="A249" s="0" t="n">
        <v>62</v>
      </c>
      <c r="B249" s="0" t="inlineStr">
        <is>
          <t>B-062</t>
        </is>
      </c>
      <c r="C249" s="0" t="n">
        <v>4</v>
      </c>
      <c r="D249" s="0" t="inlineStr">
        <is>
          <t>T1496.001</t>
        </is>
      </c>
      <c r="E249" s="0" t="n">
        <v>0.72</v>
      </c>
      <c r="F249" s="0" t="n">
        <v>4</v>
      </c>
      <c r="G249" s="0" t="n">
        <v>0.28</v>
      </c>
    </row>
    <row r="250">
      <c r="A250" s="0" t="n">
        <v>63</v>
      </c>
      <c r="B250" s="0" t="inlineStr">
        <is>
          <t>B-063</t>
        </is>
      </c>
      <c r="C250" s="0" t="n">
        <v>1</v>
      </c>
      <c r="D250" s="0" t="inlineStr">
        <is>
          <t>T1190</t>
        </is>
      </c>
      <c r="E250" s="0" t="n">
        <v>0.9</v>
      </c>
      <c r="F250" s="0" t="n">
        <v>3</v>
      </c>
      <c r="G250" s="0" t="n">
        <v>0.46</v>
      </c>
    </row>
    <row r="251">
      <c r="A251" s="0" t="n">
        <v>63</v>
      </c>
      <c r="B251" s="0" t="inlineStr">
        <is>
          <t>B-063</t>
        </is>
      </c>
      <c r="C251" s="0" t="n">
        <v>2</v>
      </c>
      <c r="D251" s="0" t="inlineStr">
        <is>
          <t>T1578.004</t>
        </is>
      </c>
      <c r="E251" s="0" t="n">
        <v>0.18</v>
      </c>
      <c r="F251" s="0" t="n">
        <v>3</v>
      </c>
      <c r="G251" s="0" t="n">
        <v>0.46</v>
      </c>
    </row>
    <row r="252">
      <c r="A252" s="0" t="n">
        <v>63</v>
      </c>
      <c r="B252" s="0" t="inlineStr">
        <is>
          <t>B-063</t>
        </is>
      </c>
      <c r="C252" s="0" t="n">
        <v>3</v>
      </c>
      <c r="D252" s="0" t="inlineStr">
        <is>
          <t>T1651</t>
        </is>
      </c>
      <c r="E252" s="0" t="n">
        <v>0.36</v>
      </c>
      <c r="F252" s="0" t="n">
        <v>5</v>
      </c>
      <c r="G252" s="0" t="n">
        <v>0.1</v>
      </c>
    </row>
    <row r="253">
      <c r="A253" s="0" t="n">
        <v>63</v>
      </c>
      <c r="B253" s="0" t="inlineStr">
        <is>
          <t>B-063</t>
        </is>
      </c>
      <c r="C253" s="0" t="n">
        <v>4</v>
      </c>
      <c r="D253" s="0" t="inlineStr">
        <is>
          <t>T1496.002</t>
        </is>
      </c>
      <c r="E253" s="0" t="n">
        <v>0.18</v>
      </c>
      <c r="F253" s="0" t="n">
        <v>3</v>
      </c>
      <c r="G253" s="0" t="n">
        <v>0.46</v>
      </c>
    </row>
    <row r="254">
      <c r="A254" s="0" t="n">
        <v>64</v>
      </c>
      <c r="B254" s="0" t="inlineStr">
        <is>
          <t>B-064</t>
        </is>
      </c>
      <c r="C254" s="0" t="n">
        <v>1</v>
      </c>
      <c r="D254" s="0" t="inlineStr">
        <is>
          <t>T1190</t>
        </is>
      </c>
      <c r="E254" s="0" t="n">
        <v>0.9</v>
      </c>
      <c r="F254" s="0" t="n">
        <v>3</v>
      </c>
      <c r="G254" s="0" t="n">
        <v>0.46</v>
      </c>
    </row>
    <row r="255">
      <c r="A255" s="0" t="n">
        <v>64</v>
      </c>
      <c r="B255" s="0" t="inlineStr">
        <is>
          <t>B-064</t>
        </is>
      </c>
      <c r="C255" s="0" t="n">
        <v>2</v>
      </c>
      <c r="D255" s="0" t="inlineStr">
        <is>
          <t>T1578.004</t>
        </is>
      </c>
      <c r="E255" s="0" t="n">
        <v>0.18</v>
      </c>
      <c r="F255" s="0" t="n">
        <v>3</v>
      </c>
      <c r="G255" s="0" t="n">
        <v>0.46</v>
      </c>
    </row>
    <row r="256">
      <c r="A256" s="0" t="n">
        <v>64</v>
      </c>
      <c r="B256" s="0" t="inlineStr">
        <is>
          <t>B-064</t>
        </is>
      </c>
      <c r="C256" s="0" t="n">
        <v>3</v>
      </c>
      <c r="D256" s="0" t="inlineStr">
        <is>
          <t>T1651</t>
        </is>
      </c>
      <c r="E256" s="0" t="n">
        <v>0.36</v>
      </c>
      <c r="F256" s="0" t="n">
        <v>5</v>
      </c>
      <c r="G256" s="0" t="n">
        <v>0.1</v>
      </c>
    </row>
    <row r="257">
      <c r="A257" s="0" t="n">
        <v>64</v>
      </c>
      <c r="B257" s="0" t="inlineStr">
        <is>
          <t>B-064</t>
        </is>
      </c>
      <c r="C257" s="0" t="n">
        <v>4</v>
      </c>
      <c r="D257" s="0" t="inlineStr">
        <is>
          <t>T1496.004</t>
        </is>
      </c>
      <c r="E257" s="0" t="n">
        <v>0.18</v>
      </c>
      <c r="F257" s="0" t="n">
        <v>4</v>
      </c>
      <c r="G257" s="0" t="n">
        <v>0.28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8"/>
  <sheetData>
    <row r="1">
      <c r="A1" s="6" t="inlineStr">
        <is>
          <t>Scenario B rebuilt from SPRV source with formulas</t>
        </is>
      </c>
    </row>
    <row r="2">
      <c r="A2" s="7" t="inlineStr">
        <is>
          <t>Threat = Pi three-level conversion</t>
        </is>
      </c>
    </row>
    <row r="3">
      <c r="A3" s="7" t="inlineStr">
        <is>
          <t>Mitigation = Mi three-level conversion</t>
        </is>
      </c>
    </row>
    <row r="4">
      <c r="A4" s="7" t="inlineStr">
        <is>
          <t>Vulnerability = 4 - Mitigation</t>
        </is>
      </c>
    </row>
    <row r="5">
      <c r="A5" s="7" t="inlineStr">
        <is>
          <t>Step risk follows IPA table for BI=3: 6-9=A, 3-5=B, 1-2=C</t>
        </is>
      </c>
    </row>
    <row r="6">
      <c r="A6" s="7" t="inlineStr">
        <is>
          <t>Overall risk = max of Step1-Step4 risks (A &gt; B &gt;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2025-08-27T12:54:32Z</dcterms:created>
  <dcterms:modified xmlns:dcterms="http://purl.org/dc/terms/" xmlns:xsi="http://www.w3.org/2001/XMLSchema-instance" xsi:type="dcterms:W3CDTF">2026-04-14T15:40:38Z</dcterms:modified>
  <cp:lastModifiedBy>吉也 伊藤</cp:lastModifiedBy>
</cp:coreProperties>
</file>