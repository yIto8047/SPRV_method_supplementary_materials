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59c034dec540282f/デスクトップ/大学院/JSSM投稿/ダメ出し論文修正/最終成果物/output/シナリオⅮ/"/>
    </mc:Choice>
  </mc:AlternateContent>
  <xr:revisionPtr revIDLastSave="2" documentId="11_D7516F779444ADE0ABAD0E8005986CE0831A828B" xr6:coauthVersionLast="47" xr6:coauthVersionMax="47" xr10:uidLastSave="{49919778-8729-403D-A21D-B8FD82310609}"/>
  <bookViews>
    <workbookView xWindow="4180" yWindow="470" windowWidth="12510" windowHeight="9320" xr2:uid="{00000000-000D-0000-FFFF-FFFF00000000}"/>
  </bookViews>
  <sheets>
    <sheet name="ScenarioD_Attack_Paths_64combin" sheetId="1" r:id="rId1"/>
    <sheet name="SPRV_Mi_to_IPA" sheetId="2" r:id="rId2"/>
    <sheet name="IPA_Risk_Rules"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5" i="1" l="1"/>
  <c r="AL65" i="1" s="1"/>
  <c r="AM65" i="1" s="1"/>
  <c r="AE65" i="1"/>
  <c r="AD65" i="1"/>
  <c r="W65" i="1"/>
  <c r="V65" i="1"/>
  <c r="N65" i="1"/>
  <c r="O65" i="1" s="1"/>
  <c r="AN65" i="1" s="1"/>
  <c r="G65" i="1"/>
  <c r="F65" i="1"/>
  <c r="AK64" i="1"/>
  <c r="AL64" i="1" s="1"/>
  <c r="AM64" i="1" s="1"/>
  <c r="AE64" i="1"/>
  <c r="AD64" i="1"/>
  <c r="V64" i="1"/>
  <c r="W64" i="1" s="1"/>
  <c r="N64" i="1"/>
  <c r="O64" i="1" s="1"/>
  <c r="F64" i="1"/>
  <c r="G64" i="1" s="1"/>
  <c r="AK63" i="1"/>
  <c r="AL63" i="1" s="1"/>
  <c r="AM63" i="1" s="1"/>
  <c r="AE63" i="1"/>
  <c r="AD63" i="1"/>
  <c r="V63" i="1"/>
  <c r="W63" i="1" s="1"/>
  <c r="N63" i="1"/>
  <c r="O63" i="1" s="1"/>
  <c r="AN63" i="1" s="1"/>
  <c r="G63" i="1"/>
  <c r="F63" i="1"/>
  <c r="AK62" i="1"/>
  <c r="AL62" i="1" s="1"/>
  <c r="AM62" i="1" s="1"/>
  <c r="AE62" i="1"/>
  <c r="AD62" i="1"/>
  <c r="V62" i="1"/>
  <c r="W62" i="1" s="1"/>
  <c r="N62" i="1"/>
  <c r="O62" i="1" s="1"/>
  <c r="F62" i="1"/>
  <c r="G62" i="1" s="1"/>
  <c r="AN62" i="1" s="1"/>
  <c r="AK61" i="1"/>
  <c r="AL61" i="1" s="1"/>
  <c r="AM61" i="1" s="1"/>
  <c r="AE61" i="1"/>
  <c r="AD61" i="1"/>
  <c r="V61" i="1"/>
  <c r="W61" i="1" s="1"/>
  <c r="N61" i="1"/>
  <c r="O61" i="1" s="1"/>
  <c r="F61" i="1"/>
  <c r="G61" i="1" s="1"/>
  <c r="AN61" i="1" s="1"/>
  <c r="AK60" i="1"/>
  <c r="AL60" i="1" s="1"/>
  <c r="AM60" i="1" s="1"/>
  <c r="AE60" i="1"/>
  <c r="AD60" i="1"/>
  <c r="W60" i="1"/>
  <c r="V60" i="1"/>
  <c r="N60" i="1"/>
  <c r="O60" i="1" s="1"/>
  <c r="F60" i="1"/>
  <c r="G60" i="1" s="1"/>
  <c r="AN60" i="1" s="1"/>
  <c r="AK59" i="1"/>
  <c r="AL59" i="1" s="1"/>
  <c r="AM59" i="1" s="1"/>
  <c r="AE59" i="1"/>
  <c r="AD59" i="1"/>
  <c r="V59" i="1"/>
  <c r="W59" i="1" s="1"/>
  <c r="N59" i="1"/>
  <c r="O59" i="1" s="1"/>
  <c r="AN59" i="1" s="1"/>
  <c r="G59" i="1"/>
  <c r="F59" i="1"/>
  <c r="AK58" i="1"/>
  <c r="AL58" i="1" s="1"/>
  <c r="AM58" i="1" s="1"/>
  <c r="AE58" i="1"/>
  <c r="AD58" i="1"/>
  <c r="V58" i="1"/>
  <c r="W58" i="1" s="1"/>
  <c r="N58" i="1"/>
  <c r="O58" i="1" s="1"/>
  <c r="F58" i="1"/>
  <c r="G58" i="1" s="1"/>
  <c r="AN58" i="1" s="1"/>
  <c r="AK57" i="1"/>
  <c r="AL57" i="1" s="1"/>
  <c r="AM57" i="1" s="1"/>
  <c r="AE57" i="1"/>
  <c r="AD57" i="1"/>
  <c r="V57" i="1"/>
  <c r="W57" i="1" s="1"/>
  <c r="N57" i="1"/>
  <c r="O57" i="1" s="1"/>
  <c r="F57" i="1"/>
  <c r="G57" i="1" s="1"/>
  <c r="AN57" i="1" s="1"/>
  <c r="AK56" i="1"/>
  <c r="AL56" i="1" s="1"/>
  <c r="AM56" i="1" s="1"/>
  <c r="AE56" i="1"/>
  <c r="AD56" i="1"/>
  <c r="W56" i="1"/>
  <c r="V56" i="1"/>
  <c r="N56" i="1"/>
  <c r="O56" i="1" s="1"/>
  <c r="F56" i="1"/>
  <c r="G56" i="1" s="1"/>
  <c r="AN56" i="1" s="1"/>
  <c r="AK55" i="1"/>
  <c r="AL55" i="1" s="1"/>
  <c r="AM55" i="1" s="1"/>
  <c r="AE55" i="1"/>
  <c r="AD55" i="1"/>
  <c r="V55" i="1"/>
  <c r="W55" i="1" s="1"/>
  <c r="N55" i="1"/>
  <c r="O55" i="1" s="1"/>
  <c r="AN55" i="1" s="1"/>
  <c r="G55" i="1"/>
  <c r="F55" i="1"/>
  <c r="AK54" i="1"/>
  <c r="AL54" i="1" s="1"/>
  <c r="AM54" i="1" s="1"/>
  <c r="AE54" i="1"/>
  <c r="AD54" i="1"/>
  <c r="V54" i="1"/>
  <c r="W54" i="1" s="1"/>
  <c r="N54" i="1"/>
  <c r="O54" i="1" s="1"/>
  <c r="F54" i="1"/>
  <c r="G54" i="1" s="1"/>
  <c r="AN54" i="1" s="1"/>
  <c r="AK53" i="1"/>
  <c r="AL53" i="1" s="1"/>
  <c r="AM53" i="1" s="1"/>
  <c r="AE53" i="1"/>
  <c r="AD53" i="1"/>
  <c r="V53" i="1"/>
  <c r="W53" i="1" s="1"/>
  <c r="N53" i="1"/>
  <c r="O53" i="1" s="1"/>
  <c r="F53" i="1"/>
  <c r="G53" i="1" s="1"/>
  <c r="AK52" i="1"/>
  <c r="AL52" i="1" s="1"/>
  <c r="AM52" i="1" s="1"/>
  <c r="AE52" i="1"/>
  <c r="AD52" i="1"/>
  <c r="W52" i="1"/>
  <c r="V52" i="1"/>
  <c r="N52" i="1"/>
  <c r="O52" i="1" s="1"/>
  <c r="F52" i="1"/>
  <c r="G52" i="1" s="1"/>
  <c r="AN52" i="1" s="1"/>
  <c r="AK51" i="1"/>
  <c r="AL51" i="1" s="1"/>
  <c r="AM51" i="1" s="1"/>
  <c r="AE51" i="1"/>
  <c r="AD51" i="1"/>
  <c r="V51" i="1"/>
  <c r="W51" i="1" s="1"/>
  <c r="N51" i="1"/>
  <c r="O51" i="1" s="1"/>
  <c r="G51" i="1"/>
  <c r="F51" i="1"/>
  <c r="AK50" i="1"/>
  <c r="AL50" i="1" s="1"/>
  <c r="AM50" i="1" s="1"/>
  <c r="AE50" i="1"/>
  <c r="AD50" i="1"/>
  <c r="V50" i="1"/>
  <c r="W50" i="1" s="1"/>
  <c r="N50" i="1"/>
  <c r="O50" i="1" s="1"/>
  <c r="F50" i="1"/>
  <c r="G50" i="1" s="1"/>
  <c r="AN50" i="1" s="1"/>
  <c r="AK49" i="1"/>
  <c r="AL49" i="1" s="1"/>
  <c r="AM49" i="1" s="1"/>
  <c r="AE49" i="1"/>
  <c r="AD49" i="1"/>
  <c r="V49" i="1"/>
  <c r="W49" i="1" s="1"/>
  <c r="N49" i="1"/>
  <c r="O49" i="1" s="1"/>
  <c r="F49" i="1"/>
  <c r="G49" i="1" s="1"/>
  <c r="AN49" i="1" s="1"/>
  <c r="AK48" i="1"/>
  <c r="AL48" i="1" s="1"/>
  <c r="AM48" i="1" s="1"/>
  <c r="AE48" i="1"/>
  <c r="AD48" i="1"/>
  <c r="W48" i="1"/>
  <c r="V48" i="1"/>
  <c r="N48" i="1"/>
  <c r="O48" i="1" s="1"/>
  <c r="F48" i="1"/>
  <c r="G48" i="1" s="1"/>
  <c r="AN48" i="1" s="1"/>
  <c r="AK47" i="1"/>
  <c r="AL47" i="1" s="1"/>
  <c r="AM47" i="1" s="1"/>
  <c r="AE47" i="1"/>
  <c r="AD47" i="1"/>
  <c r="V47" i="1"/>
  <c r="W47" i="1" s="1"/>
  <c r="N47" i="1"/>
  <c r="O47" i="1" s="1"/>
  <c r="AN47" i="1" s="1"/>
  <c r="G47" i="1"/>
  <c r="F47" i="1"/>
  <c r="AK46" i="1"/>
  <c r="AL46" i="1" s="1"/>
  <c r="AM46" i="1" s="1"/>
  <c r="AE46" i="1"/>
  <c r="AD46" i="1"/>
  <c r="V46" i="1"/>
  <c r="W46" i="1" s="1"/>
  <c r="N46" i="1"/>
  <c r="O46" i="1" s="1"/>
  <c r="F46" i="1"/>
  <c r="G46" i="1" s="1"/>
  <c r="AN46" i="1" s="1"/>
  <c r="AK45" i="1"/>
  <c r="AL45" i="1" s="1"/>
  <c r="AM45" i="1" s="1"/>
  <c r="AE45" i="1"/>
  <c r="AD45" i="1"/>
  <c r="V45" i="1"/>
  <c r="W45" i="1" s="1"/>
  <c r="N45" i="1"/>
  <c r="O45" i="1" s="1"/>
  <c r="F45" i="1"/>
  <c r="G45" i="1" s="1"/>
  <c r="AN45" i="1" s="1"/>
  <c r="AK44" i="1"/>
  <c r="AL44" i="1" s="1"/>
  <c r="AM44" i="1" s="1"/>
  <c r="AE44" i="1"/>
  <c r="AD44" i="1"/>
  <c r="W44" i="1"/>
  <c r="V44" i="1"/>
  <c r="N44" i="1"/>
  <c r="O44" i="1" s="1"/>
  <c r="F44" i="1"/>
  <c r="G44" i="1" s="1"/>
  <c r="AN44" i="1" s="1"/>
  <c r="AK43" i="1"/>
  <c r="AL43" i="1" s="1"/>
  <c r="AM43" i="1" s="1"/>
  <c r="AE43" i="1"/>
  <c r="AD43" i="1"/>
  <c r="V43" i="1"/>
  <c r="W43" i="1" s="1"/>
  <c r="N43" i="1"/>
  <c r="O43" i="1" s="1"/>
  <c r="F43" i="1"/>
  <c r="G43" i="1" s="1"/>
  <c r="AK42" i="1"/>
  <c r="AL42" i="1" s="1"/>
  <c r="AM42" i="1" s="1"/>
  <c r="AE42" i="1"/>
  <c r="AD42" i="1"/>
  <c r="V42" i="1"/>
  <c r="W42" i="1" s="1"/>
  <c r="N42" i="1"/>
  <c r="O42" i="1" s="1"/>
  <c r="G42" i="1"/>
  <c r="AN42" i="1" s="1"/>
  <c r="F42" i="1"/>
  <c r="AK41" i="1"/>
  <c r="AL41" i="1" s="1"/>
  <c r="AM41" i="1" s="1"/>
  <c r="AE41" i="1"/>
  <c r="AD41" i="1"/>
  <c r="V41" i="1"/>
  <c r="W41" i="1" s="1"/>
  <c r="N41" i="1"/>
  <c r="O41" i="1" s="1"/>
  <c r="F41" i="1"/>
  <c r="G41" i="1" s="1"/>
  <c r="AN41" i="1" s="1"/>
  <c r="AL40" i="1"/>
  <c r="AM40" i="1" s="1"/>
  <c r="AK40" i="1"/>
  <c r="AD40" i="1"/>
  <c r="AE40" i="1" s="1"/>
  <c r="V40" i="1"/>
  <c r="W40" i="1" s="1"/>
  <c r="N40" i="1"/>
  <c r="O40" i="1" s="1"/>
  <c r="F40" i="1"/>
  <c r="G40" i="1" s="1"/>
  <c r="AK39" i="1"/>
  <c r="AL39" i="1" s="1"/>
  <c r="AM39" i="1" s="1"/>
  <c r="AE39" i="1"/>
  <c r="AD39" i="1"/>
  <c r="V39" i="1"/>
  <c r="W39" i="1" s="1"/>
  <c r="N39" i="1"/>
  <c r="O39" i="1" s="1"/>
  <c r="F39" i="1"/>
  <c r="G39" i="1" s="1"/>
  <c r="AN39" i="1" s="1"/>
  <c r="AK38" i="1"/>
  <c r="AL38" i="1" s="1"/>
  <c r="AM38" i="1" s="1"/>
  <c r="AD38" i="1"/>
  <c r="AE38" i="1" s="1"/>
  <c r="W38" i="1"/>
  <c r="V38" i="1"/>
  <c r="N38" i="1"/>
  <c r="O38" i="1" s="1"/>
  <c r="F38" i="1"/>
  <c r="G38" i="1" s="1"/>
  <c r="AK37" i="1"/>
  <c r="AL37" i="1" s="1"/>
  <c r="AM37" i="1" s="1"/>
  <c r="AD37" i="1"/>
  <c r="AE37" i="1" s="1"/>
  <c r="V37" i="1"/>
  <c r="W37" i="1" s="1"/>
  <c r="N37" i="1"/>
  <c r="O37" i="1" s="1"/>
  <c r="F37" i="1"/>
  <c r="G37" i="1" s="1"/>
  <c r="AK36" i="1"/>
  <c r="AL36" i="1" s="1"/>
  <c r="AM36" i="1" s="1"/>
  <c r="AD36" i="1"/>
  <c r="AE36" i="1" s="1"/>
  <c r="V36" i="1"/>
  <c r="W36" i="1" s="1"/>
  <c r="N36" i="1"/>
  <c r="O36" i="1" s="1"/>
  <c r="G36" i="1"/>
  <c r="AN36" i="1" s="1"/>
  <c r="F36" i="1"/>
  <c r="AK35" i="1"/>
  <c r="AL35" i="1" s="1"/>
  <c r="AM35" i="1" s="1"/>
  <c r="AD35" i="1"/>
  <c r="AE35" i="1" s="1"/>
  <c r="V35" i="1"/>
  <c r="W35" i="1" s="1"/>
  <c r="N35" i="1"/>
  <c r="O35" i="1" s="1"/>
  <c r="F35" i="1"/>
  <c r="G35" i="1" s="1"/>
  <c r="AN35" i="1" s="1"/>
  <c r="AL34" i="1"/>
  <c r="AM34" i="1" s="1"/>
  <c r="AK34" i="1"/>
  <c r="AD34" i="1"/>
  <c r="AE34" i="1" s="1"/>
  <c r="V34" i="1"/>
  <c r="W34" i="1" s="1"/>
  <c r="N34" i="1"/>
  <c r="O34" i="1" s="1"/>
  <c r="F34" i="1"/>
  <c r="G34" i="1" s="1"/>
  <c r="AN34" i="1" s="1"/>
  <c r="AK33" i="1"/>
  <c r="AL33" i="1" s="1"/>
  <c r="AM33" i="1" s="1"/>
  <c r="AE33" i="1"/>
  <c r="AD33" i="1"/>
  <c r="V33" i="1"/>
  <c r="W33" i="1" s="1"/>
  <c r="N33" i="1"/>
  <c r="O33" i="1" s="1"/>
  <c r="F33" i="1"/>
  <c r="G33" i="1" s="1"/>
  <c r="AK32" i="1"/>
  <c r="AL32" i="1" s="1"/>
  <c r="AM32" i="1" s="1"/>
  <c r="AD32" i="1"/>
  <c r="AE32" i="1" s="1"/>
  <c r="W32" i="1"/>
  <c r="V32" i="1"/>
  <c r="N32" i="1"/>
  <c r="O32" i="1" s="1"/>
  <c r="F32" i="1"/>
  <c r="G32" i="1" s="1"/>
  <c r="AN32" i="1" s="1"/>
  <c r="AK31" i="1"/>
  <c r="AL31" i="1" s="1"/>
  <c r="AM31" i="1" s="1"/>
  <c r="AD31" i="1"/>
  <c r="AE31" i="1" s="1"/>
  <c r="V31" i="1"/>
  <c r="W31" i="1" s="1"/>
  <c r="N31" i="1"/>
  <c r="O31" i="1" s="1"/>
  <c r="F31" i="1"/>
  <c r="G31" i="1" s="1"/>
  <c r="AK30" i="1"/>
  <c r="AL30" i="1" s="1"/>
  <c r="AM30" i="1" s="1"/>
  <c r="AD30" i="1"/>
  <c r="AE30" i="1" s="1"/>
  <c r="V30" i="1"/>
  <c r="W30" i="1" s="1"/>
  <c r="N30" i="1"/>
  <c r="O30" i="1" s="1"/>
  <c r="G30" i="1"/>
  <c r="AN30" i="1" s="1"/>
  <c r="F30" i="1"/>
  <c r="AK29" i="1"/>
  <c r="AL29" i="1" s="1"/>
  <c r="AM29" i="1" s="1"/>
  <c r="AD29" i="1"/>
  <c r="AE29" i="1" s="1"/>
  <c r="V29" i="1"/>
  <c r="W29" i="1" s="1"/>
  <c r="N29" i="1"/>
  <c r="O29" i="1" s="1"/>
  <c r="F29" i="1"/>
  <c r="G29" i="1" s="1"/>
  <c r="AL28" i="1"/>
  <c r="AM28" i="1" s="1"/>
  <c r="AK28" i="1"/>
  <c r="AD28" i="1"/>
  <c r="AE28" i="1" s="1"/>
  <c r="V28" i="1"/>
  <c r="W28" i="1" s="1"/>
  <c r="N28" i="1"/>
  <c r="O28" i="1" s="1"/>
  <c r="F28" i="1"/>
  <c r="G28" i="1" s="1"/>
  <c r="AN28" i="1" s="1"/>
  <c r="AK27" i="1"/>
  <c r="AL27" i="1" s="1"/>
  <c r="AM27" i="1" s="1"/>
  <c r="AE27" i="1"/>
  <c r="AD27" i="1"/>
  <c r="V27" i="1"/>
  <c r="W27" i="1" s="1"/>
  <c r="N27" i="1"/>
  <c r="O27" i="1" s="1"/>
  <c r="F27" i="1"/>
  <c r="G27" i="1" s="1"/>
  <c r="AK26" i="1"/>
  <c r="AL26" i="1" s="1"/>
  <c r="AM26" i="1" s="1"/>
  <c r="AD26" i="1"/>
  <c r="AE26" i="1" s="1"/>
  <c r="W26" i="1"/>
  <c r="V26" i="1"/>
  <c r="N26" i="1"/>
  <c r="O26" i="1" s="1"/>
  <c r="F26" i="1"/>
  <c r="G26" i="1" s="1"/>
  <c r="AN26" i="1" s="1"/>
  <c r="AK25" i="1"/>
  <c r="AL25" i="1" s="1"/>
  <c r="AM25" i="1" s="1"/>
  <c r="AD25" i="1"/>
  <c r="AE25" i="1" s="1"/>
  <c r="V25" i="1"/>
  <c r="W25" i="1" s="1"/>
  <c r="N25" i="1"/>
  <c r="O25" i="1" s="1"/>
  <c r="F25" i="1"/>
  <c r="G25" i="1" s="1"/>
  <c r="AK24" i="1"/>
  <c r="AL24" i="1" s="1"/>
  <c r="AM24" i="1" s="1"/>
  <c r="AD24" i="1"/>
  <c r="AE24" i="1" s="1"/>
  <c r="V24" i="1"/>
  <c r="W24" i="1" s="1"/>
  <c r="N24" i="1"/>
  <c r="O24" i="1" s="1"/>
  <c r="G24" i="1"/>
  <c r="AN24" i="1" s="1"/>
  <c r="F24" i="1"/>
  <c r="AK23" i="1"/>
  <c r="AL23" i="1" s="1"/>
  <c r="AM23" i="1" s="1"/>
  <c r="AD23" i="1"/>
  <c r="AE23" i="1" s="1"/>
  <c r="V23" i="1"/>
  <c r="W23" i="1" s="1"/>
  <c r="N23" i="1"/>
  <c r="O23" i="1" s="1"/>
  <c r="F23" i="1"/>
  <c r="G23" i="1" s="1"/>
  <c r="AL22" i="1"/>
  <c r="AM22" i="1" s="1"/>
  <c r="AK22" i="1"/>
  <c r="AD22" i="1"/>
  <c r="AE22" i="1" s="1"/>
  <c r="V22" i="1"/>
  <c r="W22" i="1" s="1"/>
  <c r="N22" i="1"/>
  <c r="O22" i="1" s="1"/>
  <c r="F22" i="1"/>
  <c r="G22" i="1" s="1"/>
  <c r="AN22" i="1" s="1"/>
  <c r="AK21" i="1"/>
  <c r="AL21" i="1" s="1"/>
  <c r="AM21" i="1" s="1"/>
  <c r="AE21" i="1"/>
  <c r="AD21" i="1"/>
  <c r="V21" i="1"/>
  <c r="W21" i="1" s="1"/>
  <c r="N21" i="1"/>
  <c r="O21" i="1" s="1"/>
  <c r="F21" i="1"/>
  <c r="G21" i="1" s="1"/>
  <c r="AK20" i="1"/>
  <c r="AL20" i="1" s="1"/>
  <c r="AM20" i="1" s="1"/>
  <c r="AD20" i="1"/>
  <c r="AE20" i="1" s="1"/>
  <c r="W20" i="1"/>
  <c r="V20" i="1"/>
  <c r="N20" i="1"/>
  <c r="O20" i="1" s="1"/>
  <c r="F20" i="1"/>
  <c r="G20" i="1" s="1"/>
  <c r="AN20" i="1" s="1"/>
  <c r="AK19" i="1"/>
  <c r="AL19" i="1" s="1"/>
  <c r="AM19" i="1" s="1"/>
  <c r="AD19" i="1"/>
  <c r="AE19" i="1" s="1"/>
  <c r="V19" i="1"/>
  <c r="W19" i="1" s="1"/>
  <c r="N19" i="1"/>
  <c r="O19" i="1" s="1"/>
  <c r="F19" i="1"/>
  <c r="G19" i="1" s="1"/>
  <c r="AN19" i="1" s="1"/>
  <c r="AK18" i="1"/>
  <c r="AL18" i="1" s="1"/>
  <c r="AM18" i="1" s="1"/>
  <c r="AD18" i="1"/>
  <c r="AE18" i="1" s="1"/>
  <c r="V18" i="1"/>
  <c r="W18" i="1" s="1"/>
  <c r="N18" i="1"/>
  <c r="O18" i="1" s="1"/>
  <c r="G18" i="1"/>
  <c r="AN18" i="1" s="1"/>
  <c r="F18" i="1"/>
  <c r="AK17" i="1"/>
  <c r="AL17" i="1" s="1"/>
  <c r="AM17" i="1" s="1"/>
  <c r="AD17" i="1"/>
  <c r="AE17" i="1" s="1"/>
  <c r="V17" i="1"/>
  <c r="W17" i="1" s="1"/>
  <c r="N17" i="1"/>
  <c r="O17" i="1" s="1"/>
  <c r="F17" i="1"/>
  <c r="G17" i="1" s="1"/>
  <c r="AN17" i="1" s="1"/>
  <c r="AL16" i="1"/>
  <c r="AM16" i="1" s="1"/>
  <c r="AK16" i="1"/>
  <c r="AD16" i="1"/>
  <c r="AE16" i="1" s="1"/>
  <c r="V16" i="1"/>
  <c r="W16" i="1" s="1"/>
  <c r="N16" i="1"/>
  <c r="O16" i="1" s="1"/>
  <c r="F16" i="1"/>
  <c r="G16" i="1" s="1"/>
  <c r="AN16" i="1" s="1"/>
  <c r="AK15" i="1"/>
  <c r="AL15" i="1" s="1"/>
  <c r="AM15" i="1" s="1"/>
  <c r="AE15" i="1"/>
  <c r="AD15" i="1"/>
  <c r="V15" i="1"/>
  <c r="W15" i="1" s="1"/>
  <c r="N15" i="1"/>
  <c r="O15" i="1" s="1"/>
  <c r="F15" i="1"/>
  <c r="G15" i="1" s="1"/>
  <c r="AN15" i="1" s="1"/>
  <c r="AK14" i="1"/>
  <c r="AL14" i="1" s="1"/>
  <c r="AM14" i="1" s="1"/>
  <c r="AD14" i="1"/>
  <c r="AE14" i="1" s="1"/>
  <c r="W14" i="1"/>
  <c r="V14" i="1"/>
  <c r="N14" i="1"/>
  <c r="O14" i="1" s="1"/>
  <c r="F14" i="1"/>
  <c r="G14" i="1" s="1"/>
  <c r="AK13" i="1"/>
  <c r="AL13" i="1" s="1"/>
  <c r="AM13" i="1" s="1"/>
  <c r="AD13" i="1"/>
  <c r="AE13" i="1" s="1"/>
  <c r="V13" i="1"/>
  <c r="W13" i="1" s="1"/>
  <c r="N13" i="1"/>
  <c r="O13" i="1" s="1"/>
  <c r="F13" i="1"/>
  <c r="G13" i="1" s="1"/>
  <c r="AN13" i="1" s="1"/>
  <c r="AK12" i="1"/>
  <c r="AL12" i="1" s="1"/>
  <c r="AM12" i="1" s="1"/>
  <c r="AD12" i="1"/>
  <c r="AE12" i="1" s="1"/>
  <c r="V12" i="1"/>
  <c r="W12" i="1" s="1"/>
  <c r="N12" i="1"/>
  <c r="O12" i="1" s="1"/>
  <c r="G12" i="1"/>
  <c r="F12" i="1"/>
  <c r="AK11" i="1"/>
  <c r="AL11" i="1" s="1"/>
  <c r="AM11" i="1" s="1"/>
  <c r="AD11" i="1"/>
  <c r="AE11" i="1" s="1"/>
  <c r="V11" i="1"/>
  <c r="W11" i="1" s="1"/>
  <c r="N11" i="1"/>
  <c r="O11" i="1" s="1"/>
  <c r="F11" i="1"/>
  <c r="G11" i="1" s="1"/>
  <c r="AN11" i="1" s="1"/>
  <c r="AL10" i="1"/>
  <c r="AM10" i="1" s="1"/>
  <c r="AK10" i="1"/>
  <c r="AD10" i="1"/>
  <c r="AE10" i="1" s="1"/>
  <c r="V10" i="1"/>
  <c r="W10" i="1" s="1"/>
  <c r="N10" i="1"/>
  <c r="O10" i="1" s="1"/>
  <c r="F10" i="1"/>
  <c r="G10" i="1" s="1"/>
  <c r="AK9" i="1"/>
  <c r="AL9" i="1" s="1"/>
  <c r="AM9" i="1" s="1"/>
  <c r="AE9" i="1"/>
  <c r="AD9" i="1"/>
  <c r="V9" i="1"/>
  <c r="W9" i="1" s="1"/>
  <c r="N9" i="1"/>
  <c r="O9" i="1" s="1"/>
  <c r="F9" i="1"/>
  <c r="G9" i="1" s="1"/>
  <c r="AN9" i="1" s="1"/>
  <c r="AK8" i="1"/>
  <c r="AL8" i="1" s="1"/>
  <c r="AM8" i="1" s="1"/>
  <c r="AD8" i="1"/>
  <c r="AE8" i="1" s="1"/>
  <c r="W8" i="1"/>
  <c r="V8" i="1"/>
  <c r="N8" i="1"/>
  <c r="O8" i="1" s="1"/>
  <c r="F8" i="1"/>
  <c r="G8" i="1" s="1"/>
  <c r="AK7" i="1"/>
  <c r="AL7" i="1" s="1"/>
  <c r="AM7" i="1" s="1"/>
  <c r="AD7" i="1"/>
  <c r="AE7" i="1" s="1"/>
  <c r="V7" i="1"/>
  <c r="W7" i="1" s="1"/>
  <c r="N7" i="1"/>
  <c r="O7" i="1" s="1"/>
  <c r="F7" i="1"/>
  <c r="G7" i="1" s="1"/>
  <c r="AK6" i="1"/>
  <c r="AL6" i="1" s="1"/>
  <c r="AM6" i="1" s="1"/>
  <c r="AD6" i="1"/>
  <c r="AE6" i="1" s="1"/>
  <c r="V6" i="1"/>
  <c r="W6" i="1" s="1"/>
  <c r="N6" i="1"/>
  <c r="O6" i="1" s="1"/>
  <c r="G6" i="1"/>
  <c r="F6" i="1"/>
  <c r="AK5" i="1"/>
  <c r="AL5" i="1" s="1"/>
  <c r="AM5" i="1" s="1"/>
  <c r="AD5" i="1"/>
  <c r="AE5" i="1" s="1"/>
  <c r="V5" i="1"/>
  <c r="W5" i="1" s="1"/>
  <c r="N5" i="1"/>
  <c r="O5" i="1" s="1"/>
  <c r="F5" i="1"/>
  <c r="G5" i="1" s="1"/>
  <c r="AN5" i="1" s="1"/>
  <c r="AL4" i="1"/>
  <c r="AM4" i="1" s="1"/>
  <c r="AK4" i="1"/>
  <c r="AD4" i="1"/>
  <c r="AE4" i="1" s="1"/>
  <c r="V4" i="1"/>
  <c r="W4" i="1" s="1"/>
  <c r="N4" i="1"/>
  <c r="O4" i="1" s="1"/>
  <c r="F4" i="1"/>
  <c r="G4" i="1" s="1"/>
  <c r="AK3" i="1"/>
  <c r="AL3" i="1" s="1"/>
  <c r="AM3" i="1" s="1"/>
  <c r="AE3" i="1"/>
  <c r="AD3" i="1"/>
  <c r="V3" i="1"/>
  <c r="W3" i="1" s="1"/>
  <c r="N3" i="1"/>
  <c r="O3" i="1" s="1"/>
  <c r="F3" i="1"/>
  <c r="G3" i="1" s="1"/>
  <c r="AN3" i="1" s="1"/>
  <c r="AK2" i="1"/>
  <c r="AL2" i="1" s="1"/>
  <c r="AM2" i="1" s="1"/>
  <c r="AD2" i="1"/>
  <c r="AE2" i="1" s="1"/>
  <c r="W2" i="1"/>
  <c r="V2" i="1"/>
  <c r="N2" i="1"/>
  <c r="O2" i="1" s="1"/>
  <c r="F2" i="1"/>
  <c r="G2" i="1" s="1"/>
  <c r="AN7" i="1" l="1"/>
  <c r="AN37" i="1"/>
  <c r="AN43" i="1"/>
  <c r="AN31" i="1"/>
  <c r="AN12" i="1"/>
  <c r="AN33" i="1"/>
  <c r="AN10" i="1"/>
  <c r="AN27" i="1"/>
  <c r="AN25" i="1"/>
  <c r="AN64" i="1"/>
  <c r="AN14" i="1"/>
  <c r="AN8" i="1"/>
  <c r="AN29" i="1"/>
  <c r="AN2" i="1"/>
  <c r="AN4" i="1"/>
  <c r="AN6" i="1"/>
  <c r="AN21" i="1"/>
  <c r="AN23" i="1"/>
  <c r="AN38" i="1"/>
  <c r="AN40" i="1"/>
  <c r="AN51" i="1"/>
  <c r="AN53" i="1"/>
</calcChain>
</file>

<file path=xl/sharedStrings.xml><?xml version="1.0" encoding="utf-8"?>
<sst xmlns="http://schemas.openxmlformats.org/spreadsheetml/2006/main" count="1230" uniqueCount="91">
  <si>
    <t>Step1_TechniqueID</t>
  </si>
  <si>
    <t>Description</t>
  </si>
  <si>
    <t>Business Impact</t>
  </si>
  <si>
    <t>Threat</t>
  </si>
  <si>
    <t>Mitigation</t>
  </si>
  <si>
    <t>Vulnerability</t>
  </si>
  <si>
    <t>Risk Score</t>
  </si>
  <si>
    <t>対策根拠</t>
  </si>
  <si>
    <t>Step2_TechniqueID</t>
  </si>
  <si>
    <t>Step3_TechniqueID</t>
  </si>
  <si>
    <t>Step4_TechniqueID</t>
  </si>
  <si>
    <t>判定根拠</t>
  </si>
  <si>
    <t>T1566.002_Business Workstation</t>
  </si>
  <si>
    <t>職員が庁内ネットワークに接続された業務端末で、業務メールを装った標的型スピアフィッシングメールを開封し、文中のリンクをクリック。正規Webサイトを模倣した不正ページへ誘導され、マルウェア（例：RAT、インフォスティーラー等）をダウンロード・実行。内部端末が初期感染され、認証情報の窃取やプロセス監視のためのバックドアが常駐する。</t>
  </si>
  <si>
    <t>β’モデル 3.4.3「メールセキュリティ」、3.3.2「マルウェア対策」で以下が求められている：
添付ファイル・リンクの自動検知、分離（サンドボックス）
迷惑メールフィルタ＋URLフィルタリング
EDR導入によるマルウェア挙動の検知と封じ込め
職員の標的型攻撃訓練や注意喚起の運用も想定される
ただし、ユーザー操作（リンククリック）による内部感染を完全には防げず、残余リスクが一定残るため3評価</t>
  </si>
  <si>
    <t xml:space="preserve"> T1578.002_VDI Auth Server</t>
  </si>
  <si>
    <t>T1578.002_VDI Auth Server：「考えられる攻撃手口」
1. 有効なドメインアカウントによる認証バイパス・権限取得
攻撃者が何らかの手法（内部流出/クレデンシャル窃取/過去の漏洩からの再利用、横展開等）で有効なAD/LDAPドメインアカウントを入手し、VDI認証サーバに対して正規ユーザ・管理者としてログイン。
管理系アカウント、特権付きサービスアカウント（運用・保守用等）での接続も想定される。
2. 特権/運用アカウントの乗っ取り・セッション維持
ドメイン内の権限エスカレーションに成功すれば、そ4. 登録済み証明書・多要素認証解除/無効化
ドメインアカウントでの管理者権限によるMFA設定や公開鍵認証登録の改竄/無効化により、多要素認証の実効性低下、さらに横展開を促進。
3. VDIセッション情報収集・なりすまし攻撃
有効アカウント権限を使い、VDIユーザや運用者の認認証情報・セッション情報を収集、さらに追加乗っ取りを実施。
他のVDIユーザのセッション奪取やリプレイ攻撃も。                                                                                                                                                                               4. 登録済み証明書・多要素認証解除/無効化
ドメインアカウントでの管理者権限によるMFA設定や公開鍵認証登録の改竄/無効化により、多要素認証の実効性低下、さらに横展開を促進。
5. VDIポリシー・許可リスト操作
アカウント管理インターフェースやディレクトリサービス上での「ログイン許可端末リスト」「IP制限」「利用時間帯制御」等の運用ポリシーを改変、無制限アクセス化。証情報・セッション情報を収集、さらに追加乗っ取りを実施。
他のVDIユーザのセッション奪取やリプレイ攻撃も。</t>
  </si>
  <si>
    <t xml:space="preserve"> T1651_VDI Server</t>
  </si>
  <si>
    <t>T1651_VDI server：考えられる攻撃手口
T1651は「情報の不正な書き換え・改ざん」（Data Manipulation/Information Manipulation）を指します。
VDI（仮想デスクトップインフラ）サーバがこの攻撃を受ける場合、主に以下のような手法が想定されます。
1. セッション内データや構成ファイルの改ざん
攻撃者がVDIサーバ上でユーザプロファイル、構成ファイル、認証プロファイル、あるいはOS/アプリ設定ファイルなどを改ざんし、運用の混乱や可用性障害を引き起こす。
例：ユーザ権限を不正に昇格、セッションポリシーを変更して特定アカウントの制御を奪取。
2. 管理者設定やグループポリシーの改変
VDIサーバのグループポリシーや管理設定を操作し、正当なユーザの挙動や認証条件を変質させる。
管理者が許可しないネットワークアクセスや新たなアプリケーション実行権限を追加するなど。                                                                                                                                             3. ログや証跡情報の書き換え・抹消
不正アクセスや内部操作の隠蔽のため、VDIサーバのイベントログや操作証跡を“正常”なパターンに書き換え、痕跡を消去。
4. 仮想マシンイメージやテンプレートの改ざん
標準イメージやゴールデンイメージのアプリや設定を書き換え、以後展開される新規VDI全体にマルウェア混入やセキュリティ弱体化を埋め込む。
5. 業務データや一時ファイルの直接操作
VDI経由で一時ストレージや共有ドライブに置かれた業務ファイルを改ざんし、外部連携システムやバックエンドにも被害を連鎖させる。</t>
  </si>
  <si>
    <t>◆ 評価理由
β’モデル・ガバメントクラウドの要求体系では、「管理・運用権限の分離」「全操作・構成変更の証跡自動取得」「イメージ・テンプレート改変の管理/監督/履歴記録」「異常操作やデータ改ざんのログ監査・即時検知」が制度／技術的な両輪で仕組化されています。
仮に一時的な設定改変・イメージ改ざん・一部データの編集が生じても、速やかな検知／回復／証跡回収／責任追跡が可能。
内部不正やゼロデイ級同時発生の極限ケース以外は、実用上「成立困難」といえる水準です。
◆ 主な根拠・公式ガイドライン出典
「クラウドの設定ミス対策ガイドブック」3.2, 3.3, 3.6, 3.7, 3.8, 3.9
β’モデル地方公共団体向け情報セキュリティポリシーガイドラインⅢ.1.1.1, Ⅲ.2.1.1, Ⅲ.2.1.3, Ⅲ.4.1.1
ガバメントクラウドリスクアセスメント2.2, 3.2, 4.2
対策例：多要素認証、不要権限・ID棚卸/即無効化、全操作のログ化・ダブルチェック・イメージ配布監査、異常検知・自動復旧・多重バックアップ　等</t>
  </si>
  <si>
    <t>T1496.004</t>
  </si>
  <si>
    <t>攻撃者は、Gov-Cloud上の仮想マシンやPaaS基盤のサービスアカウントの権限昇格を悪用し、既存の行政処理用クラウドサービスを乗っ取り状態にして、暗号資産マイニングや不正外部アクセスの中継地点に悪用する。業務妨害が主目的。ZTNAで通信制御されていても、正規サービスに見えるため検知困難。</t>
  </si>
  <si>
    <t>ガバクラ「3.4.2.2」「3.3.2.1」クラウドリソース監視、異常利用検知が明記されており、EDRやCSPM導入前提で早期検知が可能。</t>
  </si>
  <si>
    <t>β’モデル 3.4.3「メールセキュリティ」、3.3.2「マルウェア対策」で以下が求められている：
添付ファイル・リンクの自動検知、分離（サンドボックス）
迷惑メールフィルタ＋URLフィルタリング
EDR導入によるマルウェア挙動の検知と封じ込め
職員の標的型攻撃訓練や注意喚起の運用も想定される
ただし、ユーザー操作（リンククリック）による内部感染を完全には防げず、残余リスクが一定残るため4評価</t>
  </si>
  <si>
    <t>T1496.001</t>
  </si>
  <si>
    <t>乗っ取ったVDIや業務アプリサーバの演算資源（CPU/GPU）を密かに使用し、外部クラウドにリダイレクトされたマイニングスクリプトを実行。クラウド利用料金の増加・リソース逼迫による行政サービスの遅延が生じる。ログ監視やアラート閾値が不十分な環境では長期間発見されない。</t>
  </si>
  <si>
    <t>仮想インスタンスの挙動監視と、EDRによる制御で防止可能。</t>
  </si>
  <si>
    <t>T1486</t>
  </si>
  <si>
    <t>T1486 × My Number Administrative System on GovCloud：想定される攻撃手口
1. ランサムウェアによるデータ・システム暗号化
攻撃者はマイナンバー利用事務系へマルウェア（ランサムウェア等）を侵入させ、業務データ（住民台帳、申請記録、付随書類など）やアプリケーション構成ファイルを暗号化・不可視化し、利用不能状態を強制。
被害例：住民業務システムの長期停止、行政サービスの中断、重大データの完全消失。
2. 暗号化後の業務継続妨害・サボタージュ
システム管理用VPC/経路、定期バックアップやレプリカ先まで一括して暗号化され、復旧プロセス全体が妨害されるケースも。
管理コンソールも奪取されていた場合、冗長化エンジンや復元フロー自体を操作不能化。
3. 二重脅迫型攻撃（暗号化＋データの外部送信/リーク）
暗号化前に住民情報・内部業務情報を外部に送信／漏洩させ、「身代金不払いの場合、リークサイトなどで情報を公開」と二重恐喝。</t>
  </si>
  <si>
    <t>評価理由とガイドライン根拠
β’モデルや「ガバメントクラウドリスクアセスメント」では、マイナンバー利用事務系の通信・運用経路・端末管理のすべてで**「多層防御・最小権限・運用分離・多要素認証・定期監査」「全通信のホワイトリスティング」**を要求。
ランサムウェア型マルウェアは、インターネット遮断・サンドボックス検証・定期EDR診断・不正操作のリアルタイム監査などにより“定着・拡散・二重脅迫”いずれのシナリオも構造的に封じ込め。
バックアップや業務継続計画も標準要件となっているため、万一一時的に暗号化被害が生じても、逸失データ無しでの迅速復旧・住民サービス維持が図られます。
なお実際のセキュリティレベル評価（デジタル庁「ガバメントクラウドリスクアセスメント」2.2・3.2節）でも、同様攻撃について「十分に多層の防御」「管理用アカウントの権限制御」「EDR等運用」等を前提とし、「リスク極小」・「成功確率低（最低）」と明記されています</t>
  </si>
  <si>
    <t>T1496.002</t>
  </si>
  <si>
    <t>攻撃テクニックID：T1496.002（Resource Hijacking: Cloud Service Hijacking）の攻撃手口
T1496.002はMITRE ATT&amp;CKで「クラウドサービスのリソース乗っ取り型」サブテクニックです。My Number Administrative System on GovCloud（住民情報管理系）を標的とした場合、以下のような手口が現実的に考えられます。
1. システムリソースの密かなる不正利用
攻撃者が脆弱性・認証情報窃取・設定ミスなどにより、マイナンバー系の本番VM・コンテナ・クラスタ・計算リソースに不正アクセス。
そこで「クラウドリソースを自己のために不正消費」し、暗号資産マイニング（例：仮想CPU・GPUの無断占有）やDDoS踏み台化、違法データホスティングなどを実施。
ガバメントクラウド課金リソースが大量消費・高騰し、業務処理能力の低下・停止など間接被害も。
2. サービスアカウント悪用による不正プロセス実行
古い・棚卸未済のサービスアカウントAPIキーやIAM資格情報を収集し、バックグラウンドで不正ジョブを自動投入。
管理者も見落としやすい「一時停止させたバッチ」「退職者ID」「一時APIキー」「メンテナンス時直挿しシェル」などで、第三者ジョブ（マイニング、迷惑メール、外部プロキシ利用 etc.）を組み込む。
3. ネットワーク帯域・ストレージ汚染クラウドストレージやオブジェクトバケットを「パブリック」にし、違法ファイル・動画・マルウェア配布等に悪用。
ネットワーク帯域がマイナス影響を受け、正規業務アプリのパフォーマンス低下・SLA逸脱を引き起こす場合も。</t>
  </si>
  <si>
    <t>評価理由・ガイドライン根拠
β’モデルやガバメントクラウドリスクアセスメントでは**「クラウド資産の公開許可範囲厳格化」「不必要なAPI発行・棚卸」「ログ監査・多段階認証」「Cloudサービス診断（CSPM/CIEM）運用」**の多層防御が標準実装。
一時的なヒューマンエラー（例：APIキーの削除忘れ、一時ストレージ公開、サービスアカウント棚卸抜け）はゼロ化困難なので、完全自動抑止には至らないものの、現行の業界水準＋国ガイドラインでは最高レベルの抑止力が担保されています。
クラウドリソースの不正利用（暗号資産マイニング/リソース乗っ取りなど）被害ソースが出現しても、異常利用はほぼ確実に即時アラートが上がるため、被害極小化およびサービス停止回避体制が成立。
● 主な根拠条文・資料
『ガバメントクラウドリスクアセスメント』（2023/2024）2.2項「セキュリティ対策」、3.2項他
「クラウドの設定ミス対策ガイドブック」3.2（認可管理）、3.3、3.4（API/アカウント管理）、3.6～3.9（監査、CSPM、運用手順）
β’モデル地方公共団体向けセキュリティポリシーガイドライン Ⅲ.1.1.1, Ⅲ.2.1.1, Ⅲ.4.1.1, Ⅲ.2.1.3</t>
  </si>
  <si>
    <t>T1555.006_VDI Server</t>
  </si>
  <si>
    <t xml:space="preserve"> T1555.006 × VDI server：考えられる攻撃手口
クラウドストレージ上の資格情報ファイル回収
VDI管理や構成ファイル（config.json/.env/.ini等）、一時ログ、スナップショット内などに、IDやパスワード、APIキー、管理者トークン等が保管されたままになっている場合、攻撃者がパブリック権限や設定ミスを突いてこれを窃取。
証跡・自動バックアップの認証情報から横展開
VDI管理ジョブや更新系バッチのログ、バックアップ等に認証情報が平文で残り、攻撃者が別環境への横断侵害の手がかりに利用。
コンテナイメージやテンプレートの資格情報悪用
VDI配布用イメージ/テンプレートがストレージ上で誤って公開され、そこからembedded APIキーや管理クレデンシャルが復元され横展開。
自動化スクリプト、ジョブ管理ファイル経由の情報奪取
定期運用用のスクリプト/ジョブファイル/Linkedサービス設定がストレージに暗号化されず置かれ、広範なシステム資産へのアクセス権を連鎖的に奪われる。</t>
  </si>
  <si>
    <t>◆ 評価理由とポイント
構成ミス・公開設定抜け・認証情報放置といったヒューマンエラーや棚卸不備が完全ゼロにはできないため、“100％抑止＝5”ではなく「4（かなり高いが完封とは言わない）」評価が現実解です。
β’モデルやガイドブックでは「運用フローに削除・監査・異常監視等を織り込む」仕組化が要求されており、標準水準はグローバルでも高位。
それでも「人手によるアップロード/設定/追跡抜け」や「設計されていない領域での一時保存」等、“仕組み化の隙間”がゼロにはならない…というのがガイド本体やリスクアセスメントでも明記されています。
◆ 根拠・公式ガイド出典
クラウドの設定ミス対策ガイドブック：3.2（ストレージ認可・ホワイトリスト）、3.3（設定基準）、3.6（多段チェック/棚卸）、3.7,3.8（診断/CSPM/Vault）、3.9（証跡監査）
β’モデル地方公共団体向け情報セキュリティポリシーガイドライン：Ⅲ.1.1.1（権限管理・MFA）、Ⅲ.2.1.1（不要ID即廃止）、Ⅲ.2.1.3（ダブルチェック/監督・教育）、Ⅲ.4.1.1（証跡管理・監査）
ガバメントクラウドリスクアセスメント2.2（構成設計・ログ・通信制御）</t>
  </si>
  <si>
    <t>T1059.009_VDI Server</t>
  </si>
  <si>
    <t>攻撃者は、クラウド連携機能をもつVDIサーバ（たとえば仮想デスクトップ環境のバックエンド）に対して、Cloud API経由でPowerShellスクリプトやPythonコードを投入し、横展開やバックドア展開を行う。クラウドAPIはZTNAで制御されづらく、管理用スクリプトに偽装したマルウェア注入が可能。例：AWS CLI / Azure CLI / gcloud を用いた設定変更、キー抽出など。</t>
  </si>
  <si>
    <t xml:space="preserve">	
β’モデル「3.3.6」、ガバクラ「3.4.2.4」ではAPI監査・実行制限が規定。だが、正規用途と区別が困難な場合がある。</t>
  </si>
  <si>
    <t>T1484.002_VDI Server</t>
  </si>
  <si>
    <t>攻撃者は、VDI環境で接続されているAD（Active Directory）ドメインやクラウドID基盤の信頼ポリシーを操作。たとえば、VDIサーバが属するOUに対し、グループポリシーオブジェクト（GPO）を改変して、ログオン制限・監査設定・更新ポリシーを無効化。これにより、EDR無効化、証跡消去など、最終目的に向けた環境工作が可能となる。</t>
  </si>
  <si>
    <t>管理者権限奪取後のポリシー改変は、β’モデル「3.3.1」でも検出が難しく、ログ改ざんが伴えば特定困難。</t>
  </si>
  <si>
    <t>T1021.007_VDI Auth Server</t>
  </si>
  <si>
    <t xml:space="preserve"> T1021.007_VDI Auth Server への攻撃手口
1. 有効な認証情報を利用したリモートサービス経由攻撃
攻撃者が漏洩・窃取・推測した管理者または運用アカウントの認証情報（例：Active Directoryドメインアカウント）を用いて、VDI Auth serverに対しRDPやWinRM、SSH、PowerShell Remotingなどのリモートサービス経由でアクセス。
多要素認証や端末認証の不備があれば、正規ユーザーまたは管理者権限でログインできる。
2. 認証バイパスと権限昇格
ドメインアカウントを悪用し、認証プロセスをバイパス、VDI認証サーバ設定の不備を突いて本来不要な権限昇格や認証設定の変更（例：不正な証明書追加・MFA無効化）。</t>
  </si>
  <si>
    <t>T1578.004_VDI Auth Server</t>
  </si>
  <si>
    <t>攻撃者はVDI認証サーバが稼働する仮想マシンやコンテナ環境に対し、クラウドの管理コンソールやAPI経由で「スナップショットからの復元」操作を悪用。以前の脆弱状態の構成に戻すことで、一度削除されたバックドアや緩い認証設定を再び有効化。これによりZTNAやSASEのセキュリティ境界をバイパスし、攻撃に都合の良い状態へ巻き戻すことが可能。SaaS管理の甘さやログ監視の盲点が突かれる。</t>
  </si>
  <si>
    <t>T1484.002_VDI Auth Server</t>
  </si>
  <si>
    <t>攻撃者はVDI認証環境のクラウドID基盤（例：Azure AD, Okta）に対し、信頼設定や条件付きアクセスルールを不正に変更。たとえば、外部ID連携設定の追加・緩和、MFA要件の除外、IPフィルタ制限の解除などが行われることで、ZTNAが想定するセキュリティ境界が緩み、なりすましや横展開が一層容易に。これらの操作はクラウドAPI経由で行えるため、検知が遅れると複数システムへの波及もありうる。</t>
  </si>
  <si>
    <t>Purpose</t>
  </si>
  <si>
    <t>Convert SPRV Pi/Mi to IPA Threat/Mitigation (3-level)</t>
  </si>
  <si>
    <t>Threat rule</t>
  </si>
  <si>
    <t>Pi&lt;=0.2 =&gt; 1 ; 0.2&lt;Pi&lt;=0.5 =&gt; 2 ; Pi&gt;0.5 =&gt; 3</t>
  </si>
  <si>
    <t>Mitigation rule</t>
  </si>
  <si>
    <t>Mi&lt;=0.2 =&gt; 3 ; 0.2&lt;Mi&lt;=0.5 =&gt; 2 ; Mi&gt;0.5 =&gt; 1</t>
  </si>
  <si>
    <t>Overall rule</t>
  </si>
  <si>
    <t>Business Impact / Threat / Mitigation are each the maximum across Step1-Step4</t>
  </si>
  <si>
    <t>AttackPathRow</t>
  </si>
  <si>
    <t>StepNo</t>
  </si>
  <si>
    <t>Original_Technique_Cell</t>
  </si>
  <si>
    <t>Technique_ID_norm</t>
  </si>
  <si>
    <t>Source_Pi</t>
  </si>
  <si>
    <t>IPA_Threat</t>
  </si>
  <si>
    <t>Source_Mi</t>
  </si>
  <si>
    <t>IPA_Mitigation</t>
  </si>
  <si>
    <t>T1566.002</t>
  </si>
  <si>
    <t>T1578.002</t>
  </si>
  <si>
    <t>T1651</t>
  </si>
  <si>
    <t>T1555.006</t>
  </si>
  <si>
    <t>T1059.009</t>
  </si>
  <si>
    <t>T1484.002</t>
  </si>
  <si>
    <t>T1021.007</t>
  </si>
  <si>
    <t>T1578.004</t>
  </si>
  <si>
    <t>総合採点ルール</t>
  </si>
  <si>
    <t>各攻撃ツリーの4つの攻撃ステップのうち最大値を採用</t>
  </si>
  <si>
    <t>SPRVのPiを3段階変換した各Step値のうち最大値を採用</t>
  </si>
  <si>
    <t>SPRVのMiを3段階変換した各Step値のうち最大値を採用</t>
  </si>
  <si>
    <t>Vulnerability = 4 - Mitigation</t>
  </si>
  <si>
    <t>Pi→Threat変換</t>
  </si>
  <si>
    <t>Mi→Mitigation変換</t>
  </si>
  <si>
    <t>リスク判定</t>
  </si>
  <si>
    <t>A</t>
  </si>
  <si>
    <t>Business Impact=3 かつ 6&lt;=Threat×Vulnerability&lt;=9</t>
  </si>
  <si>
    <t>B</t>
  </si>
  <si>
    <t>Business Impact=3 かつ 3&lt;=Threat×Vulnerability&lt;6, または Business Impact=2 かつ 6&lt;=Threat×Vulnerability&lt;=9</t>
  </si>
  <si>
    <t>C</t>
  </si>
  <si>
    <t>Business Impact=3 かつ Threat×Vulnerability&lt;3, または Business Impact=2 かつ 3&lt;=Threat×Vulnerability&lt;6, または Business Impact=1 かつ 6&lt;=Threat×Vulnerability&lt;=9</t>
  </si>
  <si>
    <t>D</t>
  </si>
  <si>
    <t>Business Impact=2 かつ Threat×Vulnerability&lt;3, または Business Impact=1 かつ 3&lt;=Threat×Vulnerability&lt;6</t>
  </si>
  <si>
    <t>E</t>
  </si>
  <si>
    <t>Business Impact=1 かつ Threat×Vulnerability&lt;3</t>
  </si>
  <si>
    <t>T1566.002_Desktop OnPremise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</si>
</sst>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name val="游ゴシック"/>
      <family val="3"/>
      <charset val="128"/>
    </font>
  </fonts>
  <fills count="4">
    <fill>
      <patternFill patternType="none"/>
    </fill>
    <fill>
      <patternFill patternType="gray125"/>
    </fill>
    <fill>
      <patternFill patternType="solid">
        <fgColor rgb="FFFFF2CC"/>
      </patternFill>
    </fill>
    <fill>
      <patternFill patternType="solid">
        <fgColor rgb="FFFFF2CC"/>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xf numFmtId="0" fontId="0" fillId="2" borderId="0" xfId="0" applyFill="1">
      <alignment vertical="center"/>
    </xf>
    <xf numFmtId="0" fontId="2" fillId="2" borderId="0" xfId="0" applyFont="1" applyFill="1" applyAlignment="1"/>
    <xf numFmtId="0" fontId="0" fillId="3" borderId="0" xfId="0" applyFill="1">
      <alignment vertical="center"/>
    </xf>
    <xf numFmtId="0" fontId="0" fillId="3" borderId="0" xfId="0"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5"/>
  <sheetViews>
    <sheetView tabSelected="1" workbookViewId="0">
      <selection activeCell="A3" sqref="A3:A65"/>
    </sheetView>
  </sheetViews>
  <sheetFormatPr defaultRowHeight="18" x14ac:dyDescent="0.55000000000000004"/>
  <cols>
    <col min="1" max="1" width="48.1640625" style="1" customWidth="1"/>
    <col min="2" max="2" width="20.08203125" style="1" customWidth="1"/>
    <col min="8" max="8" width="9" style="1" customWidth="1"/>
    <col min="9" max="9" width="40.5" style="1" customWidth="1"/>
    <col min="16" max="16" width="9" style="1" customWidth="1"/>
    <col min="17" max="17" width="19.83203125" style="1" customWidth="1"/>
    <col min="24" max="24" width="93" style="1" customWidth="1"/>
    <col min="25" max="25" width="57.6640625" style="1" customWidth="1"/>
    <col min="26" max="26" width="55.9140625" style="1" customWidth="1"/>
    <col min="29" max="29" width="14.4140625" style="1" customWidth="1"/>
  </cols>
  <sheetData>
    <row r="1" spans="1:40" x14ac:dyDescent="0.55000000000000004">
      <c r="A1" t="s">
        <v>0</v>
      </c>
      <c r="B1" t="s">
        <v>1</v>
      </c>
      <c r="C1" t="s">
        <v>2</v>
      </c>
      <c r="D1" t="s">
        <v>3</v>
      </c>
      <c r="E1" t="s">
        <v>4</v>
      </c>
      <c r="F1" t="s">
        <v>5</v>
      </c>
      <c r="G1" t="s">
        <v>6</v>
      </c>
      <c r="H1" t="s">
        <v>7</v>
      </c>
      <c r="I1" t="s">
        <v>8</v>
      </c>
      <c r="J1" t="s">
        <v>1</v>
      </c>
      <c r="K1" t="s">
        <v>2</v>
      </c>
      <c r="L1" t="s">
        <v>3</v>
      </c>
      <c r="M1" t="s">
        <v>4</v>
      </c>
      <c r="N1" t="s">
        <v>5</v>
      </c>
      <c r="O1" t="s">
        <v>6</v>
      </c>
      <c r="P1" t="s">
        <v>7</v>
      </c>
      <c r="Q1" t="s">
        <v>9</v>
      </c>
      <c r="R1" t="s">
        <v>1</v>
      </c>
      <c r="S1" t="s">
        <v>2</v>
      </c>
      <c r="T1" t="s">
        <v>3</v>
      </c>
      <c r="U1" t="s">
        <v>4</v>
      </c>
      <c r="V1" t="s">
        <v>5</v>
      </c>
      <c r="W1" t="s">
        <v>6</v>
      </c>
      <c r="X1" t="s">
        <v>7</v>
      </c>
      <c r="Y1" t="s">
        <v>10</v>
      </c>
      <c r="Z1" t="s">
        <v>1</v>
      </c>
      <c r="AA1" t="s">
        <v>2</v>
      </c>
      <c r="AB1" t="s">
        <v>3</v>
      </c>
      <c r="AC1" t="s">
        <v>4</v>
      </c>
      <c r="AD1" t="s">
        <v>5</v>
      </c>
      <c r="AE1" t="s">
        <v>6</v>
      </c>
      <c r="AF1" t="s">
        <v>7</v>
      </c>
      <c r="AI1" t="s">
        <v>2</v>
      </c>
      <c r="AJ1" t="s">
        <v>3</v>
      </c>
      <c r="AK1" t="s">
        <v>4</v>
      </c>
      <c r="AL1" t="s">
        <v>5</v>
      </c>
      <c r="AM1" t="s">
        <v>6</v>
      </c>
      <c r="AN1" t="s">
        <v>11</v>
      </c>
    </row>
    <row r="2" spans="1:40" x14ac:dyDescent="0.55000000000000004">
      <c r="A2" s="2" t="s">
        <v>90</v>
      </c>
      <c r="B2" t="s">
        <v>13</v>
      </c>
      <c r="C2">
        <v>3</v>
      </c>
      <c r="D2" s="4">
        <v>3</v>
      </c>
      <c r="E2" s="2">
        <v>2</v>
      </c>
      <c r="F2" s="4">
        <f t="shared" ref="F2:F33" si="0">4-E2</f>
        <v>2</v>
      </c>
      <c r="G2" s="5" t="str">
        <f t="shared" ref="G2:G33" si="1">IF(AND(C2=3,D2*F2&gt;=6),"A",IF(AND(C2=3,D2*F2&gt;=3),"B",IF(AND(C2=3,D2*F2&gt;=1),"C","")))</f>
        <v>A</v>
      </c>
      <c r="H2" t="s">
        <v>14</v>
      </c>
      <c r="I2" s="2" t="s">
        <v>15</v>
      </c>
      <c r="J2" t="s">
        <v>16</v>
      </c>
      <c r="K2">
        <v>3</v>
      </c>
      <c r="L2" s="4">
        <v>3</v>
      </c>
      <c r="M2" s="2">
        <v>2</v>
      </c>
      <c r="N2" s="4">
        <f t="shared" ref="N2:N33" si="2">4-M2</f>
        <v>2</v>
      </c>
      <c r="O2" s="5" t="str">
        <f t="shared" ref="O2:O33" si="3">IF(AND(K2=3,L2*N2&gt;=6),"A",IF(AND(K2=3,L2*N2&gt;=3),"B",IF(AND(K2=3,L2*N2&gt;=1),"C","")))</f>
        <v>A</v>
      </c>
      <c r="P2">
        <v>1</v>
      </c>
      <c r="Q2" s="2" t="s">
        <v>17</v>
      </c>
      <c r="R2" t="s">
        <v>18</v>
      </c>
      <c r="S2">
        <v>3</v>
      </c>
      <c r="T2" s="4">
        <v>3</v>
      </c>
      <c r="U2" s="2">
        <v>3</v>
      </c>
      <c r="V2" s="4">
        <f t="shared" ref="V2:V33" si="4">4-U2</f>
        <v>1</v>
      </c>
      <c r="W2" s="5" t="str">
        <f t="shared" ref="W2:W33" si="5">IF(AND(S2=3,T2*V2&gt;=6),"A",IF(AND(S2=3,T2*V2&gt;=3),"B",IF(AND(S2=3,T2*V2&gt;=1),"C","")))</f>
        <v>B</v>
      </c>
      <c r="X2" t="s">
        <v>19</v>
      </c>
      <c r="Y2" s="2" t="s">
        <v>20</v>
      </c>
      <c r="Z2" t="s">
        <v>21</v>
      </c>
      <c r="AA2">
        <v>3</v>
      </c>
      <c r="AB2" s="4">
        <v>3</v>
      </c>
      <c r="AC2" s="2">
        <v>2</v>
      </c>
      <c r="AD2" s="4">
        <f t="shared" ref="AD2:AD33" si="6">4-AC2</f>
        <v>2</v>
      </c>
      <c r="AE2" s="5" t="str">
        <f t="shared" ref="AE2:AE33" si="7">IF(AND(AA2=3,AB2*AD2&gt;=6),"A",IF(AND(AA2=3,AB2*AD2&gt;=3),"B",IF(AND(AA2=3,AB2*AD2&gt;=1),"C","")))</f>
        <v>A</v>
      </c>
      <c r="AF2" t="s">
        <v>22</v>
      </c>
      <c r="AI2" s="4">
        <v>3</v>
      </c>
      <c r="AJ2" s="4">
        <v>3</v>
      </c>
      <c r="AK2" s="4">
        <f t="shared" ref="AK2:AK33" si="8">MAX(E2,M2,U2,AC2)</f>
        <v>3</v>
      </c>
      <c r="AL2" s="4">
        <f t="shared" ref="AL2:AL33" si="9">4-AK2</f>
        <v>1</v>
      </c>
      <c r="AM2" s="5" t="str">
        <f t="shared" ref="AM2:AM33" si="10">IF(AND(AI2=3,AJ2*AL2&gt;=6),"A",IF(AND(AI2=3,AJ2*AL2&gt;=3),"B",IF(AND(AI2=3,AJ2*AL2&gt;=1),"C","")))</f>
        <v>B</v>
      </c>
      <c r="AN2" s="4" t="str">
        <f t="shared" ref="AN2:AN33" si="11">"Scenario-level Threat=3; Step1="&amp;G2&amp;" Step2="&amp;O2&amp;" Step3="&amp;W2&amp;" Step4="&amp;AE2&amp;" ; Overall Threat fixed=3, Max Mitigation="&amp;AK2&amp;" =&gt; Overall="&amp;AM2</f>
        <v>Scenario-level Threat=3; Step1=A Step2=A Step3=B Step4=A ; Overall Threat fixed=3, Max Mitigation=3 =&gt; Overall=B</v>
      </c>
    </row>
    <row r="3" spans="1:40" x14ac:dyDescent="0.55000000000000004">
      <c r="A3" s="2" t="s">
        <v>90</v>
      </c>
      <c r="B3" t="s">
        <v>13</v>
      </c>
      <c r="C3">
        <v>3</v>
      </c>
      <c r="D3" s="4">
        <v>3</v>
      </c>
      <c r="E3" s="2">
        <v>2</v>
      </c>
      <c r="F3" s="4">
        <f t="shared" si="0"/>
        <v>2</v>
      </c>
      <c r="G3" s="5" t="str">
        <f t="shared" si="1"/>
        <v>A</v>
      </c>
      <c r="H3" t="s">
        <v>23</v>
      </c>
      <c r="I3" s="2" t="s">
        <v>15</v>
      </c>
      <c r="J3" t="s">
        <v>16</v>
      </c>
      <c r="K3">
        <v>3</v>
      </c>
      <c r="L3" s="4">
        <v>3</v>
      </c>
      <c r="M3" s="2">
        <v>2</v>
      </c>
      <c r="N3" s="4">
        <f t="shared" si="2"/>
        <v>2</v>
      </c>
      <c r="O3" s="5" t="str">
        <f t="shared" si="3"/>
        <v>A</v>
      </c>
      <c r="P3">
        <v>1</v>
      </c>
      <c r="Q3" s="2" t="s">
        <v>17</v>
      </c>
      <c r="R3" t="s">
        <v>18</v>
      </c>
      <c r="S3">
        <v>3</v>
      </c>
      <c r="T3" s="4">
        <v>3</v>
      </c>
      <c r="U3" s="2">
        <v>3</v>
      </c>
      <c r="V3" s="4">
        <f t="shared" si="4"/>
        <v>1</v>
      </c>
      <c r="W3" s="5" t="str">
        <f t="shared" si="5"/>
        <v>B</v>
      </c>
      <c r="X3" t="s">
        <v>19</v>
      </c>
      <c r="Y3" s="2" t="s">
        <v>24</v>
      </c>
      <c r="Z3" t="s">
        <v>25</v>
      </c>
      <c r="AA3">
        <v>3</v>
      </c>
      <c r="AB3" s="4">
        <v>3</v>
      </c>
      <c r="AC3" s="2">
        <v>2</v>
      </c>
      <c r="AD3" s="4">
        <f t="shared" si="6"/>
        <v>2</v>
      </c>
      <c r="AE3" s="5" t="str">
        <f t="shared" si="7"/>
        <v>A</v>
      </c>
      <c r="AF3" t="s">
        <v>26</v>
      </c>
      <c r="AI3" s="4">
        <v>3</v>
      </c>
      <c r="AJ3" s="4">
        <v>3</v>
      </c>
      <c r="AK3" s="4">
        <f t="shared" si="8"/>
        <v>3</v>
      </c>
      <c r="AL3" s="4">
        <f t="shared" si="9"/>
        <v>1</v>
      </c>
      <c r="AM3" s="5" t="str">
        <f t="shared" si="10"/>
        <v>B</v>
      </c>
      <c r="AN3" s="4" t="str">
        <f t="shared" si="11"/>
        <v>Scenario-level Threat=3; Step1=A Step2=A Step3=B Step4=A ; Overall Threat fixed=3, Max Mitigation=3 =&gt; Overall=B</v>
      </c>
    </row>
    <row r="4" spans="1:40" x14ac:dyDescent="0.55000000000000004">
      <c r="A4" s="2" t="s">
        <v>90</v>
      </c>
      <c r="B4" t="s">
        <v>13</v>
      </c>
      <c r="C4">
        <v>3</v>
      </c>
      <c r="D4" s="4">
        <v>3</v>
      </c>
      <c r="E4" s="2">
        <v>2</v>
      </c>
      <c r="F4" s="4">
        <f t="shared" si="0"/>
        <v>2</v>
      </c>
      <c r="G4" s="5" t="str">
        <f t="shared" si="1"/>
        <v>A</v>
      </c>
      <c r="H4" t="s">
        <v>23</v>
      </c>
      <c r="I4" s="2" t="s">
        <v>15</v>
      </c>
      <c r="J4" t="s">
        <v>16</v>
      </c>
      <c r="K4">
        <v>3</v>
      </c>
      <c r="L4" s="4">
        <v>3</v>
      </c>
      <c r="M4" s="2">
        <v>2</v>
      </c>
      <c r="N4" s="4">
        <f t="shared" si="2"/>
        <v>2</v>
      </c>
      <c r="O4" s="5" t="str">
        <f t="shared" si="3"/>
        <v>A</v>
      </c>
      <c r="P4">
        <v>1</v>
      </c>
      <c r="Q4" s="2" t="s">
        <v>17</v>
      </c>
      <c r="R4" t="s">
        <v>18</v>
      </c>
      <c r="S4">
        <v>3</v>
      </c>
      <c r="T4" s="4">
        <v>3</v>
      </c>
      <c r="U4" s="2">
        <v>3</v>
      </c>
      <c r="V4" s="4">
        <f t="shared" si="4"/>
        <v>1</v>
      </c>
      <c r="W4" s="5" t="str">
        <f t="shared" si="5"/>
        <v>B</v>
      </c>
      <c r="X4" t="s">
        <v>19</v>
      </c>
      <c r="Y4" s="2" t="s">
        <v>27</v>
      </c>
      <c r="Z4" t="s">
        <v>28</v>
      </c>
      <c r="AA4">
        <v>3</v>
      </c>
      <c r="AB4" s="4">
        <v>3</v>
      </c>
      <c r="AC4" s="2">
        <v>3</v>
      </c>
      <c r="AD4" s="4">
        <f t="shared" si="6"/>
        <v>1</v>
      </c>
      <c r="AE4" s="5" t="str">
        <f t="shared" si="7"/>
        <v>B</v>
      </c>
      <c r="AF4" t="s">
        <v>29</v>
      </c>
      <c r="AI4" s="4">
        <v>3</v>
      </c>
      <c r="AJ4" s="4">
        <v>3</v>
      </c>
      <c r="AK4" s="4">
        <f t="shared" si="8"/>
        <v>3</v>
      </c>
      <c r="AL4" s="4">
        <f t="shared" si="9"/>
        <v>1</v>
      </c>
      <c r="AM4" s="5" t="str">
        <f t="shared" si="10"/>
        <v>B</v>
      </c>
      <c r="AN4" s="4" t="str">
        <f t="shared" si="11"/>
        <v>Scenario-level Threat=3; Step1=A Step2=A Step3=B Step4=B ; Overall Threat fixed=3, Max Mitigation=3 =&gt; Overall=B</v>
      </c>
    </row>
    <row r="5" spans="1:40" x14ac:dyDescent="0.55000000000000004">
      <c r="A5" s="2" t="s">
        <v>90</v>
      </c>
      <c r="B5" t="s">
        <v>13</v>
      </c>
      <c r="C5">
        <v>3</v>
      </c>
      <c r="D5" s="4">
        <v>3</v>
      </c>
      <c r="E5" s="2">
        <v>2</v>
      </c>
      <c r="F5" s="4">
        <f t="shared" si="0"/>
        <v>2</v>
      </c>
      <c r="G5" s="5" t="str">
        <f t="shared" si="1"/>
        <v>A</v>
      </c>
      <c r="H5" t="s">
        <v>23</v>
      </c>
      <c r="I5" s="2" t="s">
        <v>15</v>
      </c>
      <c r="J5" t="s">
        <v>16</v>
      </c>
      <c r="K5">
        <v>3</v>
      </c>
      <c r="L5" s="4">
        <v>3</v>
      </c>
      <c r="M5" s="2">
        <v>2</v>
      </c>
      <c r="N5" s="4">
        <f t="shared" si="2"/>
        <v>2</v>
      </c>
      <c r="O5" s="5" t="str">
        <f t="shared" si="3"/>
        <v>A</v>
      </c>
      <c r="P5">
        <v>1</v>
      </c>
      <c r="Q5" s="2" t="s">
        <v>17</v>
      </c>
      <c r="R5" t="s">
        <v>18</v>
      </c>
      <c r="S5">
        <v>3</v>
      </c>
      <c r="T5" s="4">
        <v>3</v>
      </c>
      <c r="U5" s="2">
        <v>3</v>
      </c>
      <c r="V5" s="4">
        <f t="shared" si="4"/>
        <v>1</v>
      </c>
      <c r="W5" s="5" t="str">
        <f t="shared" si="5"/>
        <v>B</v>
      </c>
      <c r="X5" t="s">
        <v>19</v>
      </c>
      <c r="Y5" s="2" t="s">
        <v>30</v>
      </c>
      <c r="Z5" t="s">
        <v>31</v>
      </c>
      <c r="AA5">
        <v>3</v>
      </c>
      <c r="AB5" s="4">
        <v>3</v>
      </c>
      <c r="AC5" s="2">
        <v>2</v>
      </c>
      <c r="AD5" s="4">
        <f t="shared" si="6"/>
        <v>2</v>
      </c>
      <c r="AE5" s="5" t="str">
        <f t="shared" si="7"/>
        <v>A</v>
      </c>
      <c r="AF5" t="s">
        <v>32</v>
      </c>
      <c r="AI5" s="4">
        <v>3</v>
      </c>
      <c r="AJ5" s="4">
        <v>3</v>
      </c>
      <c r="AK5" s="4">
        <f t="shared" si="8"/>
        <v>3</v>
      </c>
      <c r="AL5" s="4">
        <f t="shared" si="9"/>
        <v>1</v>
      </c>
      <c r="AM5" s="5" t="str">
        <f t="shared" si="10"/>
        <v>B</v>
      </c>
      <c r="AN5" s="4" t="str">
        <f t="shared" si="11"/>
        <v>Scenario-level Threat=3; Step1=A Step2=A Step3=B Step4=A ; Overall Threat fixed=3, Max Mitigation=3 =&gt; Overall=B</v>
      </c>
    </row>
    <row r="6" spans="1:40" x14ac:dyDescent="0.55000000000000004">
      <c r="A6" s="2" t="s">
        <v>90</v>
      </c>
      <c r="B6" t="s">
        <v>13</v>
      </c>
      <c r="C6">
        <v>3</v>
      </c>
      <c r="D6" s="4">
        <v>3</v>
      </c>
      <c r="E6" s="2">
        <v>2</v>
      </c>
      <c r="F6" s="4">
        <f t="shared" si="0"/>
        <v>2</v>
      </c>
      <c r="G6" s="5" t="str">
        <f t="shared" si="1"/>
        <v>A</v>
      </c>
      <c r="H6" t="s">
        <v>23</v>
      </c>
      <c r="I6" s="2" t="s">
        <v>15</v>
      </c>
      <c r="J6" t="s">
        <v>16</v>
      </c>
      <c r="K6">
        <v>3</v>
      </c>
      <c r="L6" s="4">
        <v>3</v>
      </c>
      <c r="M6" s="2">
        <v>2</v>
      </c>
      <c r="N6" s="4">
        <f t="shared" si="2"/>
        <v>2</v>
      </c>
      <c r="O6" s="5" t="str">
        <f t="shared" si="3"/>
        <v>A</v>
      </c>
      <c r="P6">
        <v>1</v>
      </c>
      <c r="Q6" s="2" t="s">
        <v>33</v>
      </c>
      <c r="R6" t="s">
        <v>34</v>
      </c>
      <c r="S6">
        <v>3</v>
      </c>
      <c r="T6" s="4">
        <v>3</v>
      </c>
      <c r="U6" s="2">
        <v>3</v>
      </c>
      <c r="V6" s="4">
        <f t="shared" si="4"/>
        <v>1</v>
      </c>
      <c r="W6" s="5" t="str">
        <f t="shared" si="5"/>
        <v>B</v>
      </c>
      <c r="X6" t="s">
        <v>35</v>
      </c>
      <c r="Y6" s="2" t="s">
        <v>20</v>
      </c>
      <c r="Z6" t="s">
        <v>21</v>
      </c>
      <c r="AA6">
        <v>3</v>
      </c>
      <c r="AB6" s="4">
        <v>3</v>
      </c>
      <c r="AC6" s="2">
        <v>2</v>
      </c>
      <c r="AD6" s="4">
        <f t="shared" si="6"/>
        <v>2</v>
      </c>
      <c r="AE6" s="5" t="str">
        <f t="shared" si="7"/>
        <v>A</v>
      </c>
      <c r="AF6" t="s">
        <v>22</v>
      </c>
      <c r="AI6" s="4">
        <v>3</v>
      </c>
      <c r="AJ6" s="4">
        <v>3</v>
      </c>
      <c r="AK6" s="4">
        <f t="shared" si="8"/>
        <v>3</v>
      </c>
      <c r="AL6" s="4">
        <f t="shared" si="9"/>
        <v>1</v>
      </c>
      <c r="AM6" s="5" t="str">
        <f t="shared" si="10"/>
        <v>B</v>
      </c>
      <c r="AN6" s="4" t="str">
        <f t="shared" si="11"/>
        <v>Scenario-level Threat=3; Step1=A Step2=A Step3=B Step4=A ; Overall Threat fixed=3, Max Mitigation=3 =&gt; Overall=B</v>
      </c>
    </row>
    <row r="7" spans="1:40" x14ac:dyDescent="0.55000000000000004">
      <c r="A7" s="2" t="s">
        <v>90</v>
      </c>
      <c r="B7" t="s">
        <v>13</v>
      </c>
      <c r="C7">
        <v>3</v>
      </c>
      <c r="D7" s="4">
        <v>3</v>
      </c>
      <c r="E7" s="2">
        <v>2</v>
      </c>
      <c r="F7" s="4">
        <f t="shared" si="0"/>
        <v>2</v>
      </c>
      <c r="G7" s="5" t="str">
        <f t="shared" si="1"/>
        <v>A</v>
      </c>
      <c r="H7" t="s">
        <v>23</v>
      </c>
      <c r="I7" s="2" t="s">
        <v>15</v>
      </c>
      <c r="J7" t="s">
        <v>16</v>
      </c>
      <c r="K7">
        <v>3</v>
      </c>
      <c r="L7" s="4">
        <v>3</v>
      </c>
      <c r="M7" s="2">
        <v>2</v>
      </c>
      <c r="N7" s="4">
        <f t="shared" si="2"/>
        <v>2</v>
      </c>
      <c r="O7" s="5" t="str">
        <f t="shared" si="3"/>
        <v>A</v>
      </c>
      <c r="P7">
        <v>1</v>
      </c>
      <c r="Q7" s="2" t="s">
        <v>33</v>
      </c>
      <c r="R7" t="s">
        <v>34</v>
      </c>
      <c r="S7">
        <v>3</v>
      </c>
      <c r="T7" s="4">
        <v>3</v>
      </c>
      <c r="U7" s="2">
        <v>3</v>
      </c>
      <c r="V7" s="4">
        <f t="shared" si="4"/>
        <v>1</v>
      </c>
      <c r="W7" s="5" t="str">
        <f t="shared" si="5"/>
        <v>B</v>
      </c>
      <c r="X7" t="s">
        <v>35</v>
      </c>
      <c r="Y7" s="2" t="s">
        <v>24</v>
      </c>
      <c r="Z7" t="s">
        <v>25</v>
      </c>
      <c r="AA7">
        <v>3</v>
      </c>
      <c r="AB7" s="4">
        <v>3</v>
      </c>
      <c r="AC7" s="2">
        <v>2</v>
      </c>
      <c r="AD7" s="4">
        <f t="shared" si="6"/>
        <v>2</v>
      </c>
      <c r="AE7" s="5" t="str">
        <f t="shared" si="7"/>
        <v>A</v>
      </c>
      <c r="AF7" t="s">
        <v>26</v>
      </c>
      <c r="AI7" s="4">
        <v>3</v>
      </c>
      <c r="AJ7" s="4">
        <v>3</v>
      </c>
      <c r="AK7" s="4">
        <f t="shared" si="8"/>
        <v>3</v>
      </c>
      <c r="AL7" s="4">
        <f t="shared" si="9"/>
        <v>1</v>
      </c>
      <c r="AM7" s="5" t="str">
        <f t="shared" si="10"/>
        <v>B</v>
      </c>
      <c r="AN7" s="4" t="str">
        <f t="shared" si="11"/>
        <v>Scenario-level Threat=3; Step1=A Step2=A Step3=B Step4=A ; Overall Threat fixed=3, Max Mitigation=3 =&gt; Overall=B</v>
      </c>
    </row>
    <row r="8" spans="1:40" x14ac:dyDescent="0.55000000000000004">
      <c r="A8" s="2" t="s">
        <v>90</v>
      </c>
      <c r="B8" t="s">
        <v>13</v>
      </c>
      <c r="C8">
        <v>3</v>
      </c>
      <c r="D8" s="4">
        <v>3</v>
      </c>
      <c r="E8" s="2">
        <v>2</v>
      </c>
      <c r="F8" s="4">
        <f t="shared" si="0"/>
        <v>2</v>
      </c>
      <c r="G8" s="5" t="str">
        <f t="shared" si="1"/>
        <v>A</v>
      </c>
      <c r="H8" t="s">
        <v>23</v>
      </c>
      <c r="I8" s="2" t="s">
        <v>15</v>
      </c>
      <c r="J8" t="s">
        <v>16</v>
      </c>
      <c r="K8">
        <v>3</v>
      </c>
      <c r="L8" s="4">
        <v>3</v>
      </c>
      <c r="M8" s="2">
        <v>2</v>
      </c>
      <c r="N8" s="4">
        <f t="shared" si="2"/>
        <v>2</v>
      </c>
      <c r="O8" s="5" t="str">
        <f t="shared" si="3"/>
        <v>A</v>
      </c>
      <c r="P8">
        <v>1</v>
      </c>
      <c r="Q8" s="2" t="s">
        <v>33</v>
      </c>
      <c r="R8" t="s">
        <v>34</v>
      </c>
      <c r="S8">
        <v>3</v>
      </c>
      <c r="T8" s="4">
        <v>3</v>
      </c>
      <c r="U8" s="2">
        <v>3</v>
      </c>
      <c r="V8" s="4">
        <f t="shared" si="4"/>
        <v>1</v>
      </c>
      <c r="W8" s="5" t="str">
        <f t="shared" si="5"/>
        <v>B</v>
      </c>
      <c r="X8" t="s">
        <v>35</v>
      </c>
      <c r="Y8" s="2" t="s">
        <v>27</v>
      </c>
      <c r="Z8" t="s">
        <v>28</v>
      </c>
      <c r="AA8">
        <v>3</v>
      </c>
      <c r="AB8" s="4">
        <v>3</v>
      </c>
      <c r="AC8" s="2">
        <v>3</v>
      </c>
      <c r="AD8" s="4">
        <f t="shared" si="6"/>
        <v>1</v>
      </c>
      <c r="AE8" s="5" t="str">
        <f t="shared" si="7"/>
        <v>B</v>
      </c>
      <c r="AF8" t="s">
        <v>29</v>
      </c>
      <c r="AI8" s="4">
        <v>3</v>
      </c>
      <c r="AJ8" s="4">
        <v>3</v>
      </c>
      <c r="AK8" s="4">
        <f t="shared" si="8"/>
        <v>3</v>
      </c>
      <c r="AL8" s="4">
        <f t="shared" si="9"/>
        <v>1</v>
      </c>
      <c r="AM8" s="5" t="str">
        <f t="shared" si="10"/>
        <v>B</v>
      </c>
      <c r="AN8" s="4" t="str">
        <f t="shared" si="11"/>
        <v>Scenario-level Threat=3; Step1=A Step2=A Step3=B Step4=B ; Overall Threat fixed=3, Max Mitigation=3 =&gt; Overall=B</v>
      </c>
    </row>
    <row r="9" spans="1:40" x14ac:dyDescent="0.55000000000000004">
      <c r="A9" s="2" t="s">
        <v>90</v>
      </c>
      <c r="B9" t="s">
        <v>13</v>
      </c>
      <c r="C9">
        <v>3</v>
      </c>
      <c r="D9" s="4">
        <v>3</v>
      </c>
      <c r="E9" s="2">
        <v>2</v>
      </c>
      <c r="F9" s="4">
        <f t="shared" si="0"/>
        <v>2</v>
      </c>
      <c r="G9" s="5" t="str">
        <f t="shared" si="1"/>
        <v>A</v>
      </c>
      <c r="H9" t="s">
        <v>23</v>
      </c>
      <c r="I9" s="2" t="s">
        <v>15</v>
      </c>
      <c r="J9" t="s">
        <v>16</v>
      </c>
      <c r="K9">
        <v>3</v>
      </c>
      <c r="L9" s="4">
        <v>3</v>
      </c>
      <c r="M9" s="2">
        <v>2</v>
      </c>
      <c r="N9" s="4">
        <f t="shared" si="2"/>
        <v>2</v>
      </c>
      <c r="O9" s="5" t="str">
        <f t="shared" si="3"/>
        <v>A</v>
      </c>
      <c r="P9">
        <v>1</v>
      </c>
      <c r="Q9" s="2" t="s">
        <v>33</v>
      </c>
      <c r="R9" t="s">
        <v>34</v>
      </c>
      <c r="S9">
        <v>3</v>
      </c>
      <c r="T9" s="4">
        <v>3</v>
      </c>
      <c r="U9" s="2">
        <v>3</v>
      </c>
      <c r="V9" s="4">
        <f t="shared" si="4"/>
        <v>1</v>
      </c>
      <c r="W9" s="5" t="str">
        <f t="shared" si="5"/>
        <v>B</v>
      </c>
      <c r="X9" t="s">
        <v>35</v>
      </c>
      <c r="Y9" s="2" t="s">
        <v>30</v>
      </c>
      <c r="Z9" t="s">
        <v>31</v>
      </c>
      <c r="AA9">
        <v>3</v>
      </c>
      <c r="AB9" s="4">
        <v>3</v>
      </c>
      <c r="AC9" s="2">
        <v>2</v>
      </c>
      <c r="AD9" s="4">
        <f t="shared" si="6"/>
        <v>2</v>
      </c>
      <c r="AE9" s="5" t="str">
        <f t="shared" si="7"/>
        <v>A</v>
      </c>
      <c r="AF9" t="s">
        <v>32</v>
      </c>
      <c r="AI9" s="4">
        <v>3</v>
      </c>
      <c r="AJ9" s="4">
        <v>3</v>
      </c>
      <c r="AK9" s="4">
        <f t="shared" si="8"/>
        <v>3</v>
      </c>
      <c r="AL9" s="4">
        <f t="shared" si="9"/>
        <v>1</v>
      </c>
      <c r="AM9" s="5" t="str">
        <f t="shared" si="10"/>
        <v>B</v>
      </c>
      <c r="AN9" s="4" t="str">
        <f t="shared" si="11"/>
        <v>Scenario-level Threat=3; Step1=A Step2=A Step3=B Step4=A ; Overall Threat fixed=3, Max Mitigation=3 =&gt; Overall=B</v>
      </c>
    </row>
    <row r="10" spans="1:40" x14ac:dyDescent="0.55000000000000004">
      <c r="A10" s="2" t="s">
        <v>90</v>
      </c>
      <c r="B10" t="s">
        <v>13</v>
      </c>
      <c r="C10">
        <v>3</v>
      </c>
      <c r="D10" s="4">
        <v>3</v>
      </c>
      <c r="E10" s="2">
        <v>2</v>
      </c>
      <c r="F10" s="4">
        <f t="shared" si="0"/>
        <v>2</v>
      </c>
      <c r="G10" s="5" t="str">
        <f t="shared" si="1"/>
        <v>A</v>
      </c>
      <c r="H10" t="s">
        <v>23</v>
      </c>
      <c r="I10" s="2" t="s">
        <v>15</v>
      </c>
      <c r="J10" t="s">
        <v>16</v>
      </c>
      <c r="K10">
        <v>3</v>
      </c>
      <c r="L10" s="4">
        <v>3</v>
      </c>
      <c r="M10" s="2">
        <v>2</v>
      </c>
      <c r="N10" s="4">
        <f t="shared" si="2"/>
        <v>2</v>
      </c>
      <c r="O10" s="5" t="str">
        <f t="shared" si="3"/>
        <v>A</v>
      </c>
      <c r="P10">
        <v>1</v>
      </c>
      <c r="Q10" s="2" t="s">
        <v>36</v>
      </c>
      <c r="R10" t="s">
        <v>37</v>
      </c>
      <c r="S10">
        <v>3</v>
      </c>
      <c r="T10" s="4">
        <v>3</v>
      </c>
      <c r="U10" s="2">
        <v>3</v>
      </c>
      <c r="V10" s="4">
        <f t="shared" si="4"/>
        <v>1</v>
      </c>
      <c r="W10" s="5" t="str">
        <f t="shared" si="5"/>
        <v>B</v>
      </c>
      <c r="X10" t="s">
        <v>38</v>
      </c>
      <c r="Y10" s="2" t="s">
        <v>20</v>
      </c>
      <c r="Z10" t="s">
        <v>21</v>
      </c>
      <c r="AA10">
        <v>3</v>
      </c>
      <c r="AB10" s="4">
        <v>3</v>
      </c>
      <c r="AC10" s="2">
        <v>2</v>
      </c>
      <c r="AD10" s="4">
        <f t="shared" si="6"/>
        <v>2</v>
      </c>
      <c r="AE10" s="5" t="str">
        <f t="shared" si="7"/>
        <v>A</v>
      </c>
      <c r="AF10" t="s">
        <v>22</v>
      </c>
      <c r="AI10" s="4">
        <v>3</v>
      </c>
      <c r="AJ10" s="4">
        <v>3</v>
      </c>
      <c r="AK10" s="4">
        <f t="shared" si="8"/>
        <v>3</v>
      </c>
      <c r="AL10" s="4">
        <f t="shared" si="9"/>
        <v>1</v>
      </c>
      <c r="AM10" s="5" t="str">
        <f t="shared" si="10"/>
        <v>B</v>
      </c>
      <c r="AN10" s="4" t="str">
        <f t="shared" si="11"/>
        <v>Scenario-level Threat=3; Step1=A Step2=A Step3=B Step4=A ; Overall Threat fixed=3, Max Mitigation=3 =&gt; Overall=B</v>
      </c>
    </row>
    <row r="11" spans="1:40" x14ac:dyDescent="0.55000000000000004">
      <c r="A11" s="2" t="s">
        <v>90</v>
      </c>
      <c r="B11" t="s">
        <v>13</v>
      </c>
      <c r="C11">
        <v>3</v>
      </c>
      <c r="D11" s="4">
        <v>3</v>
      </c>
      <c r="E11" s="2">
        <v>2</v>
      </c>
      <c r="F11" s="4">
        <f t="shared" si="0"/>
        <v>2</v>
      </c>
      <c r="G11" s="5" t="str">
        <f t="shared" si="1"/>
        <v>A</v>
      </c>
      <c r="H11" t="s">
        <v>23</v>
      </c>
      <c r="I11" s="2" t="s">
        <v>15</v>
      </c>
      <c r="J11" t="s">
        <v>16</v>
      </c>
      <c r="K11">
        <v>3</v>
      </c>
      <c r="L11" s="4">
        <v>3</v>
      </c>
      <c r="M11" s="2">
        <v>2</v>
      </c>
      <c r="N11" s="4">
        <f t="shared" si="2"/>
        <v>2</v>
      </c>
      <c r="O11" s="5" t="str">
        <f t="shared" si="3"/>
        <v>A</v>
      </c>
      <c r="P11">
        <v>1</v>
      </c>
      <c r="Q11" s="2" t="s">
        <v>36</v>
      </c>
      <c r="R11" t="s">
        <v>37</v>
      </c>
      <c r="S11">
        <v>3</v>
      </c>
      <c r="T11" s="4">
        <v>3</v>
      </c>
      <c r="U11" s="2">
        <v>3</v>
      </c>
      <c r="V11" s="4">
        <f t="shared" si="4"/>
        <v>1</v>
      </c>
      <c r="W11" s="5" t="str">
        <f t="shared" si="5"/>
        <v>B</v>
      </c>
      <c r="X11" t="s">
        <v>38</v>
      </c>
      <c r="Y11" s="2" t="s">
        <v>24</v>
      </c>
      <c r="Z11" t="s">
        <v>25</v>
      </c>
      <c r="AA11">
        <v>3</v>
      </c>
      <c r="AB11" s="4">
        <v>3</v>
      </c>
      <c r="AC11" s="2">
        <v>2</v>
      </c>
      <c r="AD11" s="4">
        <f t="shared" si="6"/>
        <v>2</v>
      </c>
      <c r="AE11" s="5" t="str">
        <f t="shared" si="7"/>
        <v>A</v>
      </c>
      <c r="AF11" t="s">
        <v>26</v>
      </c>
      <c r="AI11" s="4">
        <v>3</v>
      </c>
      <c r="AJ11" s="4">
        <v>3</v>
      </c>
      <c r="AK11" s="4">
        <f t="shared" si="8"/>
        <v>3</v>
      </c>
      <c r="AL11" s="4">
        <f t="shared" si="9"/>
        <v>1</v>
      </c>
      <c r="AM11" s="5" t="str">
        <f t="shared" si="10"/>
        <v>B</v>
      </c>
      <c r="AN11" s="4" t="str">
        <f t="shared" si="11"/>
        <v>Scenario-level Threat=3; Step1=A Step2=A Step3=B Step4=A ; Overall Threat fixed=3, Max Mitigation=3 =&gt; Overall=B</v>
      </c>
    </row>
    <row r="12" spans="1:40" x14ac:dyDescent="0.55000000000000004">
      <c r="A12" s="2" t="s">
        <v>90</v>
      </c>
      <c r="B12" t="s">
        <v>13</v>
      </c>
      <c r="C12">
        <v>3</v>
      </c>
      <c r="D12" s="4">
        <v>3</v>
      </c>
      <c r="E12" s="2">
        <v>2</v>
      </c>
      <c r="F12" s="4">
        <f t="shared" si="0"/>
        <v>2</v>
      </c>
      <c r="G12" s="5" t="str">
        <f t="shared" si="1"/>
        <v>A</v>
      </c>
      <c r="H12" t="s">
        <v>23</v>
      </c>
      <c r="I12" s="2" t="s">
        <v>15</v>
      </c>
      <c r="J12" t="s">
        <v>16</v>
      </c>
      <c r="K12">
        <v>3</v>
      </c>
      <c r="L12" s="4">
        <v>3</v>
      </c>
      <c r="M12" s="2">
        <v>2</v>
      </c>
      <c r="N12" s="4">
        <f t="shared" si="2"/>
        <v>2</v>
      </c>
      <c r="O12" s="5" t="str">
        <f t="shared" si="3"/>
        <v>A</v>
      </c>
      <c r="P12">
        <v>1</v>
      </c>
      <c r="Q12" s="2" t="s">
        <v>36</v>
      </c>
      <c r="R12" t="s">
        <v>37</v>
      </c>
      <c r="S12">
        <v>3</v>
      </c>
      <c r="T12" s="4">
        <v>3</v>
      </c>
      <c r="U12" s="2">
        <v>3</v>
      </c>
      <c r="V12" s="4">
        <f t="shared" si="4"/>
        <v>1</v>
      </c>
      <c r="W12" s="5" t="str">
        <f t="shared" si="5"/>
        <v>B</v>
      </c>
      <c r="X12" t="s">
        <v>38</v>
      </c>
      <c r="Y12" s="2" t="s">
        <v>27</v>
      </c>
      <c r="Z12" t="s">
        <v>28</v>
      </c>
      <c r="AA12">
        <v>3</v>
      </c>
      <c r="AB12" s="4">
        <v>3</v>
      </c>
      <c r="AC12" s="2">
        <v>3</v>
      </c>
      <c r="AD12" s="4">
        <f t="shared" si="6"/>
        <v>1</v>
      </c>
      <c r="AE12" s="5" t="str">
        <f t="shared" si="7"/>
        <v>B</v>
      </c>
      <c r="AF12" t="s">
        <v>29</v>
      </c>
      <c r="AI12" s="4">
        <v>3</v>
      </c>
      <c r="AJ12" s="4">
        <v>3</v>
      </c>
      <c r="AK12" s="4">
        <f t="shared" si="8"/>
        <v>3</v>
      </c>
      <c r="AL12" s="4">
        <f t="shared" si="9"/>
        <v>1</v>
      </c>
      <c r="AM12" s="5" t="str">
        <f t="shared" si="10"/>
        <v>B</v>
      </c>
      <c r="AN12" s="4" t="str">
        <f t="shared" si="11"/>
        <v>Scenario-level Threat=3; Step1=A Step2=A Step3=B Step4=B ; Overall Threat fixed=3, Max Mitigation=3 =&gt; Overall=B</v>
      </c>
    </row>
    <row r="13" spans="1:40" x14ac:dyDescent="0.55000000000000004">
      <c r="A13" s="2" t="s">
        <v>90</v>
      </c>
      <c r="B13" t="s">
        <v>13</v>
      </c>
      <c r="C13">
        <v>3</v>
      </c>
      <c r="D13" s="4">
        <v>3</v>
      </c>
      <c r="E13" s="2">
        <v>2</v>
      </c>
      <c r="F13" s="4">
        <f t="shared" si="0"/>
        <v>2</v>
      </c>
      <c r="G13" s="5" t="str">
        <f t="shared" si="1"/>
        <v>A</v>
      </c>
      <c r="H13" t="s">
        <v>23</v>
      </c>
      <c r="I13" s="2" t="s">
        <v>15</v>
      </c>
      <c r="J13" t="s">
        <v>16</v>
      </c>
      <c r="K13">
        <v>3</v>
      </c>
      <c r="L13" s="4">
        <v>3</v>
      </c>
      <c r="M13" s="2">
        <v>2</v>
      </c>
      <c r="N13" s="4">
        <f t="shared" si="2"/>
        <v>2</v>
      </c>
      <c r="O13" s="5" t="str">
        <f t="shared" si="3"/>
        <v>A</v>
      </c>
      <c r="P13">
        <v>1</v>
      </c>
      <c r="Q13" s="2" t="s">
        <v>36</v>
      </c>
      <c r="R13" t="s">
        <v>37</v>
      </c>
      <c r="S13">
        <v>3</v>
      </c>
      <c r="T13" s="4">
        <v>3</v>
      </c>
      <c r="U13" s="2">
        <v>3</v>
      </c>
      <c r="V13" s="4">
        <f t="shared" si="4"/>
        <v>1</v>
      </c>
      <c r="W13" s="5" t="str">
        <f t="shared" si="5"/>
        <v>B</v>
      </c>
      <c r="X13" t="s">
        <v>38</v>
      </c>
      <c r="Y13" s="2" t="s">
        <v>30</v>
      </c>
      <c r="Z13" t="s">
        <v>31</v>
      </c>
      <c r="AA13">
        <v>3</v>
      </c>
      <c r="AB13" s="4">
        <v>3</v>
      </c>
      <c r="AC13" s="2">
        <v>2</v>
      </c>
      <c r="AD13" s="4">
        <f t="shared" si="6"/>
        <v>2</v>
      </c>
      <c r="AE13" s="5" t="str">
        <f t="shared" si="7"/>
        <v>A</v>
      </c>
      <c r="AF13" t="s">
        <v>32</v>
      </c>
      <c r="AI13" s="4">
        <v>3</v>
      </c>
      <c r="AJ13" s="4">
        <v>3</v>
      </c>
      <c r="AK13" s="4">
        <f t="shared" si="8"/>
        <v>3</v>
      </c>
      <c r="AL13" s="4">
        <f t="shared" si="9"/>
        <v>1</v>
      </c>
      <c r="AM13" s="5" t="str">
        <f t="shared" si="10"/>
        <v>B</v>
      </c>
      <c r="AN13" s="4" t="str">
        <f t="shared" si="11"/>
        <v>Scenario-level Threat=3; Step1=A Step2=A Step3=B Step4=A ; Overall Threat fixed=3, Max Mitigation=3 =&gt; Overall=B</v>
      </c>
    </row>
    <row r="14" spans="1:40" x14ac:dyDescent="0.55000000000000004">
      <c r="A14" s="2" t="s">
        <v>90</v>
      </c>
      <c r="B14" t="s">
        <v>13</v>
      </c>
      <c r="C14">
        <v>3</v>
      </c>
      <c r="D14" s="4">
        <v>3</v>
      </c>
      <c r="E14" s="2">
        <v>2</v>
      </c>
      <c r="F14" s="4">
        <f t="shared" si="0"/>
        <v>2</v>
      </c>
      <c r="G14" s="5" t="str">
        <f t="shared" si="1"/>
        <v>A</v>
      </c>
      <c r="H14" t="s">
        <v>23</v>
      </c>
      <c r="I14" s="2" t="s">
        <v>15</v>
      </c>
      <c r="J14" t="s">
        <v>16</v>
      </c>
      <c r="K14">
        <v>3</v>
      </c>
      <c r="L14" s="4">
        <v>3</v>
      </c>
      <c r="M14" s="2">
        <v>2</v>
      </c>
      <c r="N14" s="4">
        <f t="shared" si="2"/>
        <v>2</v>
      </c>
      <c r="O14" s="5" t="str">
        <f t="shared" si="3"/>
        <v>A</v>
      </c>
      <c r="P14">
        <v>1</v>
      </c>
      <c r="Q14" s="2" t="s">
        <v>39</v>
      </c>
      <c r="R14" t="s">
        <v>40</v>
      </c>
      <c r="S14">
        <v>3</v>
      </c>
      <c r="T14" s="4">
        <v>3</v>
      </c>
      <c r="U14" s="2">
        <v>3</v>
      </c>
      <c r="V14" s="4">
        <f t="shared" si="4"/>
        <v>1</v>
      </c>
      <c r="W14" s="5" t="str">
        <f t="shared" si="5"/>
        <v>B</v>
      </c>
      <c r="X14" t="s">
        <v>41</v>
      </c>
      <c r="Y14" s="2" t="s">
        <v>20</v>
      </c>
      <c r="Z14" t="s">
        <v>21</v>
      </c>
      <c r="AA14">
        <v>3</v>
      </c>
      <c r="AB14" s="4">
        <v>3</v>
      </c>
      <c r="AC14" s="2">
        <v>2</v>
      </c>
      <c r="AD14" s="4">
        <f t="shared" si="6"/>
        <v>2</v>
      </c>
      <c r="AE14" s="5" t="str">
        <f t="shared" si="7"/>
        <v>A</v>
      </c>
      <c r="AF14" t="s">
        <v>22</v>
      </c>
      <c r="AI14" s="4">
        <v>3</v>
      </c>
      <c r="AJ14" s="4">
        <v>3</v>
      </c>
      <c r="AK14" s="4">
        <f t="shared" si="8"/>
        <v>3</v>
      </c>
      <c r="AL14" s="4">
        <f t="shared" si="9"/>
        <v>1</v>
      </c>
      <c r="AM14" s="5" t="str">
        <f t="shared" si="10"/>
        <v>B</v>
      </c>
      <c r="AN14" s="4" t="str">
        <f t="shared" si="11"/>
        <v>Scenario-level Threat=3; Step1=A Step2=A Step3=B Step4=A ; Overall Threat fixed=3, Max Mitigation=3 =&gt; Overall=B</v>
      </c>
    </row>
    <row r="15" spans="1:40" x14ac:dyDescent="0.55000000000000004">
      <c r="A15" s="2" t="s">
        <v>90</v>
      </c>
      <c r="B15" t="s">
        <v>13</v>
      </c>
      <c r="C15">
        <v>3</v>
      </c>
      <c r="D15" s="4">
        <v>3</v>
      </c>
      <c r="E15" s="2">
        <v>2</v>
      </c>
      <c r="F15" s="4">
        <f t="shared" si="0"/>
        <v>2</v>
      </c>
      <c r="G15" s="5" t="str">
        <f t="shared" si="1"/>
        <v>A</v>
      </c>
      <c r="H15" t="s">
        <v>23</v>
      </c>
      <c r="I15" s="2" t="s">
        <v>15</v>
      </c>
      <c r="J15" t="s">
        <v>16</v>
      </c>
      <c r="K15">
        <v>3</v>
      </c>
      <c r="L15" s="4">
        <v>3</v>
      </c>
      <c r="M15" s="2">
        <v>2</v>
      </c>
      <c r="N15" s="4">
        <f t="shared" si="2"/>
        <v>2</v>
      </c>
      <c r="O15" s="5" t="str">
        <f t="shared" si="3"/>
        <v>A</v>
      </c>
      <c r="P15">
        <v>1</v>
      </c>
      <c r="Q15" s="2" t="s">
        <v>39</v>
      </c>
      <c r="R15" t="s">
        <v>40</v>
      </c>
      <c r="S15">
        <v>3</v>
      </c>
      <c r="T15" s="4">
        <v>3</v>
      </c>
      <c r="U15" s="2">
        <v>3</v>
      </c>
      <c r="V15" s="4">
        <f t="shared" si="4"/>
        <v>1</v>
      </c>
      <c r="W15" s="5" t="str">
        <f t="shared" si="5"/>
        <v>B</v>
      </c>
      <c r="X15" t="s">
        <v>41</v>
      </c>
      <c r="Y15" s="2" t="s">
        <v>24</v>
      </c>
      <c r="Z15" t="s">
        <v>25</v>
      </c>
      <c r="AA15">
        <v>3</v>
      </c>
      <c r="AB15" s="4">
        <v>3</v>
      </c>
      <c r="AC15" s="2">
        <v>2</v>
      </c>
      <c r="AD15" s="4">
        <f t="shared" si="6"/>
        <v>2</v>
      </c>
      <c r="AE15" s="5" t="str">
        <f t="shared" si="7"/>
        <v>A</v>
      </c>
      <c r="AF15" t="s">
        <v>26</v>
      </c>
      <c r="AI15" s="4">
        <v>3</v>
      </c>
      <c r="AJ15" s="4">
        <v>3</v>
      </c>
      <c r="AK15" s="4">
        <f t="shared" si="8"/>
        <v>3</v>
      </c>
      <c r="AL15" s="4">
        <f t="shared" si="9"/>
        <v>1</v>
      </c>
      <c r="AM15" s="5" t="str">
        <f t="shared" si="10"/>
        <v>B</v>
      </c>
      <c r="AN15" s="4" t="str">
        <f t="shared" si="11"/>
        <v>Scenario-level Threat=3; Step1=A Step2=A Step3=B Step4=A ; Overall Threat fixed=3, Max Mitigation=3 =&gt; Overall=B</v>
      </c>
    </row>
    <row r="16" spans="1:40" x14ac:dyDescent="0.55000000000000004">
      <c r="A16" s="2" t="s">
        <v>90</v>
      </c>
      <c r="B16" t="s">
        <v>13</v>
      </c>
      <c r="C16">
        <v>3</v>
      </c>
      <c r="D16" s="4">
        <v>3</v>
      </c>
      <c r="E16" s="2">
        <v>2</v>
      </c>
      <c r="F16" s="4">
        <f t="shared" si="0"/>
        <v>2</v>
      </c>
      <c r="G16" s="5" t="str">
        <f t="shared" si="1"/>
        <v>A</v>
      </c>
      <c r="H16" t="s">
        <v>23</v>
      </c>
      <c r="I16" s="2" t="s">
        <v>15</v>
      </c>
      <c r="J16" t="s">
        <v>16</v>
      </c>
      <c r="K16">
        <v>3</v>
      </c>
      <c r="L16" s="4">
        <v>3</v>
      </c>
      <c r="M16" s="2">
        <v>2</v>
      </c>
      <c r="N16" s="4">
        <f t="shared" si="2"/>
        <v>2</v>
      </c>
      <c r="O16" s="5" t="str">
        <f t="shared" si="3"/>
        <v>A</v>
      </c>
      <c r="P16">
        <v>1</v>
      </c>
      <c r="Q16" s="2" t="s">
        <v>39</v>
      </c>
      <c r="R16" t="s">
        <v>40</v>
      </c>
      <c r="S16">
        <v>3</v>
      </c>
      <c r="T16" s="4">
        <v>3</v>
      </c>
      <c r="U16" s="2">
        <v>3</v>
      </c>
      <c r="V16" s="4">
        <f t="shared" si="4"/>
        <v>1</v>
      </c>
      <c r="W16" s="5" t="str">
        <f t="shared" si="5"/>
        <v>B</v>
      </c>
      <c r="X16" t="s">
        <v>41</v>
      </c>
      <c r="Y16" s="2" t="s">
        <v>27</v>
      </c>
      <c r="Z16" t="s">
        <v>28</v>
      </c>
      <c r="AA16">
        <v>3</v>
      </c>
      <c r="AB16" s="4">
        <v>3</v>
      </c>
      <c r="AC16" s="2">
        <v>3</v>
      </c>
      <c r="AD16" s="4">
        <f t="shared" si="6"/>
        <v>1</v>
      </c>
      <c r="AE16" s="5" t="str">
        <f t="shared" si="7"/>
        <v>B</v>
      </c>
      <c r="AF16" t="s">
        <v>29</v>
      </c>
      <c r="AI16" s="4">
        <v>3</v>
      </c>
      <c r="AJ16" s="4">
        <v>3</v>
      </c>
      <c r="AK16" s="4">
        <f t="shared" si="8"/>
        <v>3</v>
      </c>
      <c r="AL16" s="4">
        <f t="shared" si="9"/>
        <v>1</v>
      </c>
      <c r="AM16" s="5" t="str">
        <f t="shared" si="10"/>
        <v>B</v>
      </c>
      <c r="AN16" s="4" t="str">
        <f t="shared" si="11"/>
        <v>Scenario-level Threat=3; Step1=A Step2=A Step3=B Step4=B ; Overall Threat fixed=3, Max Mitigation=3 =&gt; Overall=B</v>
      </c>
    </row>
    <row r="17" spans="1:40" x14ac:dyDescent="0.55000000000000004">
      <c r="A17" s="2" t="s">
        <v>90</v>
      </c>
      <c r="B17" t="s">
        <v>13</v>
      </c>
      <c r="C17">
        <v>3</v>
      </c>
      <c r="D17" s="4">
        <v>3</v>
      </c>
      <c r="E17" s="2">
        <v>2</v>
      </c>
      <c r="F17" s="4">
        <f t="shared" si="0"/>
        <v>2</v>
      </c>
      <c r="G17" s="5" t="str">
        <f t="shared" si="1"/>
        <v>A</v>
      </c>
      <c r="H17" t="s">
        <v>23</v>
      </c>
      <c r="I17" s="2" t="s">
        <v>15</v>
      </c>
      <c r="J17" t="s">
        <v>16</v>
      </c>
      <c r="K17">
        <v>3</v>
      </c>
      <c r="L17" s="4">
        <v>3</v>
      </c>
      <c r="M17" s="2">
        <v>2</v>
      </c>
      <c r="N17" s="4">
        <f t="shared" si="2"/>
        <v>2</v>
      </c>
      <c r="O17" s="5" t="str">
        <f t="shared" si="3"/>
        <v>A</v>
      </c>
      <c r="P17">
        <v>1</v>
      </c>
      <c r="Q17" s="2" t="s">
        <v>39</v>
      </c>
      <c r="R17" t="s">
        <v>40</v>
      </c>
      <c r="S17">
        <v>3</v>
      </c>
      <c r="T17" s="4">
        <v>3</v>
      </c>
      <c r="U17" s="2">
        <v>3</v>
      </c>
      <c r="V17" s="4">
        <f t="shared" si="4"/>
        <v>1</v>
      </c>
      <c r="W17" s="5" t="str">
        <f t="shared" si="5"/>
        <v>B</v>
      </c>
      <c r="X17" t="s">
        <v>41</v>
      </c>
      <c r="Y17" s="2" t="s">
        <v>30</v>
      </c>
      <c r="Z17" t="s">
        <v>31</v>
      </c>
      <c r="AA17">
        <v>3</v>
      </c>
      <c r="AB17" s="4">
        <v>3</v>
      </c>
      <c r="AC17" s="2">
        <v>2</v>
      </c>
      <c r="AD17" s="4">
        <f t="shared" si="6"/>
        <v>2</v>
      </c>
      <c r="AE17" s="5" t="str">
        <f t="shared" si="7"/>
        <v>A</v>
      </c>
      <c r="AF17" t="s">
        <v>32</v>
      </c>
      <c r="AI17" s="4">
        <v>3</v>
      </c>
      <c r="AJ17" s="4">
        <v>3</v>
      </c>
      <c r="AK17" s="4">
        <f t="shared" si="8"/>
        <v>3</v>
      </c>
      <c r="AL17" s="4">
        <f t="shared" si="9"/>
        <v>1</v>
      </c>
      <c r="AM17" s="5" t="str">
        <f t="shared" si="10"/>
        <v>B</v>
      </c>
      <c r="AN17" s="4" t="str">
        <f t="shared" si="11"/>
        <v>Scenario-level Threat=3; Step1=A Step2=A Step3=B Step4=A ; Overall Threat fixed=3, Max Mitigation=3 =&gt; Overall=B</v>
      </c>
    </row>
    <row r="18" spans="1:40" x14ac:dyDescent="0.55000000000000004">
      <c r="A18" s="2" t="s">
        <v>90</v>
      </c>
      <c r="B18" t="s">
        <v>13</v>
      </c>
      <c r="C18">
        <v>3</v>
      </c>
      <c r="D18" s="4">
        <v>3</v>
      </c>
      <c r="E18" s="2">
        <v>2</v>
      </c>
      <c r="F18" s="4">
        <f t="shared" si="0"/>
        <v>2</v>
      </c>
      <c r="G18" s="5" t="str">
        <f t="shared" si="1"/>
        <v>A</v>
      </c>
      <c r="H18" t="s">
        <v>23</v>
      </c>
      <c r="I18" s="2" t="s">
        <v>42</v>
      </c>
      <c r="J18" t="s">
        <v>43</v>
      </c>
      <c r="K18">
        <v>3</v>
      </c>
      <c r="L18" s="4">
        <v>3</v>
      </c>
      <c r="M18" s="2">
        <v>3</v>
      </c>
      <c r="N18" s="4">
        <f t="shared" si="2"/>
        <v>1</v>
      </c>
      <c r="O18" s="5" t="str">
        <f t="shared" si="3"/>
        <v>B</v>
      </c>
      <c r="P18">
        <v>1</v>
      </c>
      <c r="Q18" s="2" t="s">
        <v>17</v>
      </c>
      <c r="R18" t="s">
        <v>18</v>
      </c>
      <c r="S18">
        <v>3</v>
      </c>
      <c r="T18" s="4">
        <v>3</v>
      </c>
      <c r="U18" s="2">
        <v>3</v>
      </c>
      <c r="V18" s="4">
        <f t="shared" si="4"/>
        <v>1</v>
      </c>
      <c r="W18" s="5" t="str">
        <f t="shared" si="5"/>
        <v>B</v>
      </c>
      <c r="X18" t="s">
        <v>19</v>
      </c>
      <c r="Y18" s="2" t="s">
        <v>20</v>
      </c>
      <c r="Z18" t="s">
        <v>21</v>
      </c>
      <c r="AA18">
        <v>3</v>
      </c>
      <c r="AB18" s="4">
        <v>3</v>
      </c>
      <c r="AC18" s="2">
        <v>2</v>
      </c>
      <c r="AD18" s="4">
        <f t="shared" si="6"/>
        <v>2</v>
      </c>
      <c r="AE18" s="5" t="str">
        <f t="shared" si="7"/>
        <v>A</v>
      </c>
      <c r="AF18" t="s">
        <v>22</v>
      </c>
      <c r="AI18" s="4">
        <v>3</v>
      </c>
      <c r="AJ18" s="4">
        <v>3</v>
      </c>
      <c r="AK18" s="4">
        <f t="shared" si="8"/>
        <v>3</v>
      </c>
      <c r="AL18" s="4">
        <f t="shared" si="9"/>
        <v>1</v>
      </c>
      <c r="AM18" s="5" t="str">
        <f t="shared" si="10"/>
        <v>B</v>
      </c>
      <c r="AN18" s="4" t="str">
        <f t="shared" si="11"/>
        <v>Scenario-level Threat=3; Step1=A Step2=B Step3=B Step4=A ; Overall Threat fixed=3, Max Mitigation=3 =&gt; Overall=B</v>
      </c>
    </row>
    <row r="19" spans="1:40" x14ac:dyDescent="0.55000000000000004">
      <c r="A19" s="2" t="s">
        <v>90</v>
      </c>
      <c r="B19" t="s">
        <v>13</v>
      </c>
      <c r="C19">
        <v>3</v>
      </c>
      <c r="D19" s="4">
        <v>3</v>
      </c>
      <c r="E19" s="2">
        <v>2</v>
      </c>
      <c r="F19" s="4">
        <f t="shared" si="0"/>
        <v>2</v>
      </c>
      <c r="G19" s="5" t="str">
        <f t="shared" si="1"/>
        <v>A</v>
      </c>
      <c r="H19" t="s">
        <v>23</v>
      </c>
      <c r="I19" s="2" t="s">
        <v>42</v>
      </c>
      <c r="J19" t="s">
        <v>43</v>
      </c>
      <c r="K19">
        <v>3</v>
      </c>
      <c r="L19" s="4">
        <v>3</v>
      </c>
      <c r="M19" s="2">
        <v>3</v>
      </c>
      <c r="N19" s="4">
        <f t="shared" si="2"/>
        <v>1</v>
      </c>
      <c r="O19" s="5" t="str">
        <f t="shared" si="3"/>
        <v>B</v>
      </c>
      <c r="P19">
        <v>1</v>
      </c>
      <c r="Q19" s="2" t="s">
        <v>17</v>
      </c>
      <c r="R19" t="s">
        <v>18</v>
      </c>
      <c r="S19">
        <v>3</v>
      </c>
      <c r="T19" s="4">
        <v>3</v>
      </c>
      <c r="U19" s="2">
        <v>3</v>
      </c>
      <c r="V19" s="4">
        <f t="shared" si="4"/>
        <v>1</v>
      </c>
      <c r="W19" s="5" t="str">
        <f t="shared" si="5"/>
        <v>B</v>
      </c>
      <c r="X19" t="s">
        <v>19</v>
      </c>
      <c r="Y19" s="2" t="s">
        <v>24</v>
      </c>
      <c r="Z19" t="s">
        <v>25</v>
      </c>
      <c r="AA19">
        <v>3</v>
      </c>
      <c r="AB19" s="4">
        <v>3</v>
      </c>
      <c r="AC19" s="2">
        <v>2</v>
      </c>
      <c r="AD19" s="4">
        <f t="shared" si="6"/>
        <v>2</v>
      </c>
      <c r="AE19" s="5" t="str">
        <f t="shared" si="7"/>
        <v>A</v>
      </c>
      <c r="AF19" t="s">
        <v>26</v>
      </c>
      <c r="AI19" s="4">
        <v>3</v>
      </c>
      <c r="AJ19" s="4">
        <v>3</v>
      </c>
      <c r="AK19" s="4">
        <f t="shared" si="8"/>
        <v>3</v>
      </c>
      <c r="AL19" s="4">
        <f t="shared" si="9"/>
        <v>1</v>
      </c>
      <c r="AM19" s="5" t="str">
        <f t="shared" si="10"/>
        <v>B</v>
      </c>
      <c r="AN19" s="4" t="str">
        <f t="shared" si="11"/>
        <v>Scenario-level Threat=3; Step1=A Step2=B Step3=B Step4=A ; Overall Threat fixed=3, Max Mitigation=3 =&gt; Overall=B</v>
      </c>
    </row>
    <row r="20" spans="1:40" x14ac:dyDescent="0.55000000000000004">
      <c r="A20" s="2" t="s">
        <v>90</v>
      </c>
      <c r="B20" t="s">
        <v>13</v>
      </c>
      <c r="C20">
        <v>3</v>
      </c>
      <c r="D20" s="4">
        <v>3</v>
      </c>
      <c r="E20" s="2">
        <v>2</v>
      </c>
      <c r="F20" s="4">
        <f t="shared" si="0"/>
        <v>2</v>
      </c>
      <c r="G20" s="5" t="str">
        <f t="shared" si="1"/>
        <v>A</v>
      </c>
      <c r="H20" t="s">
        <v>23</v>
      </c>
      <c r="I20" s="2" t="s">
        <v>42</v>
      </c>
      <c r="J20" t="s">
        <v>43</v>
      </c>
      <c r="K20">
        <v>3</v>
      </c>
      <c r="L20" s="4">
        <v>3</v>
      </c>
      <c r="M20" s="2">
        <v>3</v>
      </c>
      <c r="N20" s="4">
        <f t="shared" si="2"/>
        <v>1</v>
      </c>
      <c r="O20" s="5" t="str">
        <f t="shared" si="3"/>
        <v>B</v>
      </c>
      <c r="P20">
        <v>1</v>
      </c>
      <c r="Q20" s="2" t="s">
        <v>17</v>
      </c>
      <c r="R20" t="s">
        <v>18</v>
      </c>
      <c r="S20">
        <v>3</v>
      </c>
      <c r="T20" s="4">
        <v>3</v>
      </c>
      <c r="U20" s="2">
        <v>3</v>
      </c>
      <c r="V20" s="4">
        <f t="shared" si="4"/>
        <v>1</v>
      </c>
      <c r="W20" s="5" t="str">
        <f t="shared" si="5"/>
        <v>B</v>
      </c>
      <c r="X20" t="s">
        <v>19</v>
      </c>
      <c r="Y20" s="2" t="s">
        <v>27</v>
      </c>
      <c r="Z20" t="s">
        <v>28</v>
      </c>
      <c r="AA20">
        <v>3</v>
      </c>
      <c r="AB20" s="4">
        <v>3</v>
      </c>
      <c r="AC20" s="2">
        <v>3</v>
      </c>
      <c r="AD20" s="4">
        <f t="shared" si="6"/>
        <v>1</v>
      </c>
      <c r="AE20" s="5" t="str">
        <f t="shared" si="7"/>
        <v>B</v>
      </c>
      <c r="AF20" t="s">
        <v>29</v>
      </c>
      <c r="AI20" s="4">
        <v>3</v>
      </c>
      <c r="AJ20" s="4">
        <v>3</v>
      </c>
      <c r="AK20" s="4">
        <f t="shared" si="8"/>
        <v>3</v>
      </c>
      <c r="AL20" s="4">
        <f t="shared" si="9"/>
        <v>1</v>
      </c>
      <c r="AM20" s="5" t="str">
        <f t="shared" si="10"/>
        <v>B</v>
      </c>
      <c r="AN20" s="4" t="str">
        <f t="shared" si="11"/>
        <v>Scenario-level Threat=3; Step1=A Step2=B Step3=B Step4=B ; Overall Threat fixed=3, Max Mitigation=3 =&gt; Overall=B</v>
      </c>
    </row>
    <row r="21" spans="1:40" x14ac:dyDescent="0.55000000000000004">
      <c r="A21" s="2" t="s">
        <v>90</v>
      </c>
      <c r="B21" t="s">
        <v>13</v>
      </c>
      <c r="C21">
        <v>3</v>
      </c>
      <c r="D21" s="4">
        <v>3</v>
      </c>
      <c r="E21" s="2">
        <v>2</v>
      </c>
      <c r="F21" s="4">
        <f t="shared" si="0"/>
        <v>2</v>
      </c>
      <c r="G21" s="5" t="str">
        <f t="shared" si="1"/>
        <v>A</v>
      </c>
      <c r="H21" t="s">
        <v>23</v>
      </c>
      <c r="I21" s="2" t="s">
        <v>42</v>
      </c>
      <c r="J21" t="s">
        <v>43</v>
      </c>
      <c r="K21">
        <v>3</v>
      </c>
      <c r="L21" s="4">
        <v>3</v>
      </c>
      <c r="M21" s="2">
        <v>3</v>
      </c>
      <c r="N21" s="4">
        <f t="shared" si="2"/>
        <v>1</v>
      </c>
      <c r="O21" s="5" t="str">
        <f t="shared" si="3"/>
        <v>B</v>
      </c>
      <c r="P21">
        <v>1</v>
      </c>
      <c r="Q21" s="2" t="s">
        <v>17</v>
      </c>
      <c r="R21" t="s">
        <v>18</v>
      </c>
      <c r="S21">
        <v>3</v>
      </c>
      <c r="T21" s="4">
        <v>3</v>
      </c>
      <c r="U21" s="2">
        <v>3</v>
      </c>
      <c r="V21" s="4">
        <f t="shared" si="4"/>
        <v>1</v>
      </c>
      <c r="W21" s="5" t="str">
        <f t="shared" si="5"/>
        <v>B</v>
      </c>
      <c r="X21" t="s">
        <v>19</v>
      </c>
      <c r="Y21" s="2" t="s">
        <v>30</v>
      </c>
      <c r="Z21" t="s">
        <v>31</v>
      </c>
      <c r="AA21">
        <v>3</v>
      </c>
      <c r="AB21" s="4">
        <v>3</v>
      </c>
      <c r="AC21" s="2">
        <v>2</v>
      </c>
      <c r="AD21" s="4">
        <f t="shared" si="6"/>
        <v>2</v>
      </c>
      <c r="AE21" s="5" t="str">
        <f t="shared" si="7"/>
        <v>A</v>
      </c>
      <c r="AF21" t="s">
        <v>32</v>
      </c>
      <c r="AI21" s="4">
        <v>3</v>
      </c>
      <c r="AJ21" s="4">
        <v>3</v>
      </c>
      <c r="AK21" s="4">
        <f t="shared" si="8"/>
        <v>3</v>
      </c>
      <c r="AL21" s="4">
        <f t="shared" si="9"/>
        <v>1</v>
      </c>
      <c r="AM21" s="5" t="str">
        <f t="shared" si="10"/>
        <v>B</v>
      </c>
      <c r="AN21" s="4" t="str">
        <f t="shared" si="11"/>
        <v>Scenario-level Threat=3; Step1=A Step2=B Step3=B Step4=A ; Overall Threat fixed=3, Max Mitigation=3 =&gt; Overall=B</v>
      </c>
    </row>
    <row r="22" spans="1:40" x14ac:dyDescent="0.55000000000000004">
      <c r="A22" s="2" t="s">
        <v>90</v>
      </c>
      <c r="B22" t="s">
        <v>13</v>
      </c>
      <c r="C22">
        <v>3</v>
      </c>
      <c r="D22" s="4">
        <v>3</v>
      </c>
      <c r="E22" s="2">
        <v>2</v>
      </c>
      <c r="F22" s="4">
        <f t="shared" si="0"/>
        <v>2</v>
      </c>
      <c r="G22" s="5" t="str">
        <f t="shared" si="1"/>
        <v>A</v>
      </c>
      <c r="H22" t="s">
        <v>23</v>
      </c>
      <c r="I22" s="2" t="s">
        <v>42</v>
      </c>
      <c r="J22" t="s">
        <v>43</v>
      </c>
      <c r="K22">
        <v>3</v>
      </c>
      <c r="L22" s="4">
        <v>3</v>
      </c>
      <c r="M22" s="2">
        <v>3</v>
      </c>
      <c r="N22" s="4">
        <f t="shared" si="2"/>
        <v>1</v>
      </c>
      <c r="O22" s="5" t="str">
        <f t="shared" si="3"/>
        <v>B</v>
      </c>
      <c r="P22">
        <v>1</v>
      </c>
      <c r="Q22" s="2" t="s">
        <v>33</v>
      </c>
      <c r="R22" t="s">
        <v>34</v>
      </c>
      <c r="S22">
        <v>3</v>
      </c>
      <c r="T22" s="4">
        <v>3</v>
      </c>
      <c r="U22" s="2">
        <v>3</v>
      </c>
      <c r="V22" s="4">
        <f t="shared" si="4"/>
        <v>1</v>
      </c>
      <c r="W22" s="5" t="str">
        <f t="shared" si="5"/>
        <v>B</v>
      </c>
      <c r="X22" t="s">
        <v>35</v>
      </c>
      <c r="Y22" s="2" t="s">
        <v>20</v>
      </c>
      <c r="Z22" t="s">
        <v>21</v>
      </c>
      <c r="AA22">
        <v>3</v>
      </c>
      <c r="AB22" s="4">
        <v>3</v>
      </c>
      <c r="AC22" s="2">
        <v>2</v>
      </c>
      <c r="AD22" s="4">
        <f t="shared" si="6"/>
        <v>2</v>
      </c>
      <c r="AE22" s="5" t="str">
        <f t="shared" si="7"/>
        <v>A</v>
      </c>
      <c r="AF22" t="s">
        <v>22</v>
      </c>
      <c r="AI22" s="4">
        <v>3</v>
      </c>
      <c r="AJ22" s="4">
        <v>3</v>
      </c>
      <c r="AK22" s="4">
        <f t="shared" si="8"/>
        <v>3</v>
      </c>
      <c r="AL22" s="4">
        <f t="shared" si="9"/>
        <v>1</v>
      </c>
      <c r="AM22" s="5" t="str">
        <f t="shared" si="10"/>
        <v>B</v>
      </c>
      <c r="AN22" s="4" t="str">
        <f t="shared" si="11"/>
        <v>Scenario-level Threat=3; Step1=A Step2=B Step3=B Step4=A ; Overall Threat fixed=3, Max Mitigation=3 =&gt; Overall=B</v>
      </c>
    </row>
    <row r="23" spans="1:40" x14ac:dyDescent="0.55000000000000004">
      <c r="A23" s="2" t="s">
        <v>90</v>
      </c>
      <c r="B23" t="s">
        <v>13</v>
      </c>
      <c r="C23">
        <v>3</v>
      </c>
      <c r="D23" s="4">
        <v>3</v>
      </c>
      <c r="E23" s="2">
        <v>2</v>
      </c>
      <c r="F23" s="4">
        <f t="shared" si="0"/>
        <v>2</v>
      </c>
      <c r="G23" s="5" t="str">
        <f t="shared" si="1"/>
        <v>A</v>
      </c>
      <c r="H23" t="s">
        <v>23</v>
      </c>
      <c r="I23" s="2" t="s">
        <v>42</v>
      </c>
      <c r="J23" t="s">
        <v>43</v>
      </c>
      <c r="K23">
        <v>3</v>
      </c>
      <c r="L23" s="4">
        <v>3</v>
      </c>
      <c r="M23" s="2">
        <v>3</v>
      </c>
      <c r="N23" s="4">
        <f t="shared" si="2"/>
        <v>1</v>
      </c>
      <c r="O23" s="5" t="str">
        <f t="shared" si="3"/>
        <v>B</v>
      </c>
      <c r="P23">
        <v>1</v>
      </c>
      <c r="Q23" s="2" t="s">
        <v>33</v>
      </c>
      <c r="R23" t="s">
        <v>34</v>
      </c>
      <c r="S23">
        <v>3</v>
      </c>
      <c r="T23" s="4">
        <v>3</v>
      </c>
      <c r="U23" s="2">
        <v>3</v>
      </c>
      <c r="V23" s="4">
        <f t="shared" si="4"/>
        <v>1</v>
      </c>
      <c r="W23" s="5" t="str">
        <f t="shared" si="5"/>
        <v>B</v>
      </c>
      <c r="X23" t="s">
        <v>35</v>
      </c>
      <c r="Y23" s="2" t="s">
        <v>24</v>
      </c>
      <c r="Z23" t="s">
        <v>25</v>
      </c>
      <c r="AA23">
        <v>3</v>
      </c>
      <c r="AB23" s="4">
        <v>3</v>
      </c>
      <c r="AC23" s="2">
        <v>2</v>
      </c>
      <c r="AD23" s="4">
        <f t="shared" si="6"/>
        <v>2</v>
      </c>
      <c r="AE23" s="5" t="str">
        <f t="shared" si="7"/>
        <v>A</v>
      </c>
      <c r="AF23" t="s">
        <v>26</v>
      </c>
      <c r="AI23" s="4">
        <v>3</v>
      </c>
      <c r="AJ23" s="4">
        <v>3</v>
      </c>
      <c r="AK23" s="4">
        <f t="shared" si="8"/>
        <v>3</v>
      </c>
      <c r="AL23" s="4">
        <f t="shared" si="9"/>
        <v>1</v>
      </c>
      <c r="AM23" s="5" t="str">
        <f t="shared" si="10"/>
        <v>B</v>
      </c>
      <c r="AN23" s="4" t="str">
        <f t="shared" si="11"/>
        <v>Scenario-level Threat=3; Step1=A Step2=B Step3=B Step4=A ; Overall Threat fixed=3, Max Mitigation=3 =&gt; Overall=B</v>
      </c>
    </row>
    <row r="24" spans="1:40" x14ac:dyDescent="0.55000000000000004">
      <c r="A24" s="2" t="s">
        <v>90</v>
      </c>
      <c r="B24" t="s">
        <v>13</v>
      </c>
      <c r="C24">
        <v>3</v>
      </c>
      <c r="D24" s="4">
        <v>3</v>
      </c>
      <c r="E24" s="2">
        <v>2</v>
      </c>
      <c r="F24" s="4">
        <f t="shared" si="0"/>
        <v>2</v>
      </c>
      <c r="G24" s="5" t="str">
        <f t="shared" si="1"/>
        <v>A</v>
      </c>
      <c r="H24" t="s">
        <v>23</v>
      </c>
      <c r="I24" s="2" t="s">
        <v>42</v>
      </c>
      <c r="J24" t="s">
        <v>43</v>
      </c>
      <c r="K24">
        <v>3</v>
      </c>
      <c r="L24" s="4">
        <v>3</v>
      </c>
      <c r="M24" s="2">
        <v>3</v>
      </c>
      <c r="N24" s="4">
        <f t="shared" si="2"/>
        <v>1</v>
      </c>
      <c r="O24" s="5" t="str">
        <f t="shared" si="3"/>
        <v>B</v>
      </c>
      <c r="P24">
        <v>1</v>
      </c>
      <c r="Q24" s="2" t="s">
        <v>33</v>
      </c>
      <c r="R24" t="s">
        <v>34</v>
      </c>
      <c r="S24">
        <v>3</v>
      </c>
      <c r="T24" s="4">
        <v>3</v>
      </c>
      <c r="U24" s="2">
        <v>3</v>
      </c>
      <c r="V24" s="4">
        <f t="shared" si="4"/>
        <v>1</v>
      </c>
      <c r="W24" s="5" t="str">
        <f t="shared" si="5"/>
        <v>B</v>
      </c>
      <c r="X24" t="s">
        <v>35</v>
      </c>
      <c r="Y24" s="2" t="s">
        <v>27</v>
      </c>
      <c r="Z24" t="s">
        <v>28</v>
      </c>
      <c r="AA24">
        <v>3</v>
      </c>
      <c r="AB24" s="4">
        <v>3</v>
      </c>
      <c r="AC24" s="2">
        <v>3</v>
      </c>
      <c r="AD24" s="4">
        <f t="shared" si="6"/>
        <v>1</v>
      </c>
      <c r="AE24" s="5" t="str">
        <f t="shared" si="7"/>
        <v>B</v>
      </c>
      <c r="AF24" t="s">
        <v>29</v>
      </c>
      <c r="AI24" s="4">
        <v>3</v>
      </c>
      <c r="AJ24" s="4">
        <v>3</v>
      </c>
      <c r="AK24" s="4">
        <f t="shared" si="8"/>
        <v>3</v>
      </c>
      <c r="AL24" s="4">
        <f t="shared" si="9"/>
        <v>1</v>
      </c>
      <c r="AM24" s="5" t="str">
        <f t="shared" si="10"/>
        <v>B</v>
      </c>
      <c r="AN24" s="4" t="str">
        <f t="shared" si="11"/>
        <v>Scenario-level Threat=3; Step1=A Step2=B Step3=B Step4=B ; Overall Threat fixed=3, Max Mitigation=3 =&gt; Overall=B</v>
      </c>
    </row>
    <row r="25" spans="1:40" x14ac:dyDescent="0.55000000000000004">
      <c r="A25" s="2" t="s">
        <v>90</v>
      </c>
      <c r="B25" t="s">
        <v>13</v>
      </c>
      <c r="C25">
        <v>3</v>
      </c>
      <c r="D25" s="4">
        <v>3</v>
      </c>
      <c r="E25" s="2">
        <v>2</v>
      </c>
      <c r="F25" s="4">
        <f t="shared" si="0"/>
        <v>2</v>
      </c>
      <c r="G25" s="5" t="str">
        <f t="shared" si="1"/>
        <v>A</v>
      </c>
      <c r="H25" t="s">
        <v>23</v>
      </c>
      <c r="I25" s="2" t="s">
        <v>42</v>
      </c>
      <c r="J25" t="s">
        <v>43</v>
      </c>
      <c r="K25">
        <v>3</v>
      </c>
      <c r="L25" s="4">
        <v>3</v>
      </c>
      <c r="M25" s="2">
        <v>3</v>
      </c>
      <c r="N25" s="4">
        <f t="shared" si="2"/>
        <v>1</v>
      </c>
      <c r="O25" s="5" t="str">
        <f t="shared" si="3"/>
        <v>B</v>
      </c>
      <c r="P25">
        <v>1</v>
      </c>
      <c r="Q25" s="2" t="s">
        <v>33</v>
      </c>
      <c r="R25" t="s">
        <v>34</v>
      </c>
      <c r="S25">
        <v>3</v>
      </c>
      <c r="T25" s="4">
        <v>3</v>
      </c>
      <c r="U25" s="2">
        <v>3</v>
      </c>
      <c r="V25" s="4">
        <f t="shared" si="4"/>
        <v>1</v>
      </c>
      <c r="W25" s="5" t="str">
        <f t="shared" si="5"/>
        <v>B</v>
      </c>
      <c r="X25" t="s">
        <v>35</v>
      </c>
      <c r="Y25" s="2" t="s">
        <v>30</v>
      </c>
      <c r="Z25" t="s">
        <v>31</v>
      </c>
      <c r="AA25">
        <v>3</v>
      </c>
      <c r="AB25" s="4">
        <v>3</v>
      </c>
      <c r="AC25" s="2">
        <v>2</v>
      </c>
      <c r="AD25" s="4">
        <f t="shared" si="6"/>
        <v>2</v>
      </c>
      <c r="AE25" s="5" t="str">
        <f t="shared" si="7"/>
        <v>A</v>
      </c>
      <c r="AF25" t="s">
        <v>32</v>
      </c>
      <c r="AI25" s="4">
        <v>3</v>
      </c>
      <c r="AJ25" s="4">
        <v>3</v>
      </c>
      <c r="AK25" s="4">
        <f t="shared" si="8"/>
        <v>3</v>
      </c>
      <c r="AL25" s="4">
        <f t="shared" si="9"/>
        <v>1</v>
      </c>
      <c r="AM25" s="5" t="str">
        <f t="shared" si="10"/>
        <v>B</v>
      </c>
      <c r="AN25" s="4" t="str">
        <f t="shared" si="11"/>
        <v>Scenario-level Threat=3; Step1=A Step2=B Step3=B Step4=A ; Overall Threat fixed=3, Max Mitigation=3 =&gt; Overall=B</v>
      </c>
    </row>
    <row r="26" spans="1:40" x14ac:dyDescent="0.55000000000000004">
      <c r="A26" s="2" t="s">
        <v>90</v>
      </c>
      <c r="B26" t="s">
        <v>13</v>
      </c>
      <c r="C26">
        <v>3</v>
      </c>
      <c r="D26" s="4">
        <v>3</v>
      </c>
      <c r="E26" s="2">
        <v>2</v>
      </c>
      <c r="F26" s="4">
        <f t="shared" si="0"/>
        <v>2</v>
      </c>
      <c r="G26" s="5" t="str">
        <f t="shared" si="1"/>
        <v>A</v>
      </c>
      <c r="H26" t="s">
        <v>23</v>
      </c>
      <c r="I26" s="2" t="s">
        <v>42</v>
      </c>
      <c r="J26" t="s">
        <v>43</v>
      </c>
      <c r="K26">
        <v>3</v>
      </c>
      <c r="L26" s="4">
        <v>3</v>
      </c>
      <c r="M26" s="2">
        <v>3</v>
      </c>
      <c r="N26" s="4">
        <f t="shared" si="2"/>
        <v>1</v>
      </c>
      <c r="O26" s="5" t="str">
        <f t="shared" si="3"/>
        <v>B</v>
      </c>
      <c r="P26">
        <v>1</v>
      </c>
      <c r="Q26" s="2" t="s">
        <v>36</v>
      </c>
      <c r="R26" t="s">
        <v>37</v>
      </c>
      <c r="S26">
        <v>3</v>
      </c>
      <c r="T26" s="4">
        <v>3</v>
      </c>
      <c r="U26" s="2">
        <v>3</v>
      </c>
      <c r="V26" s="4">
        <f t="shared" si="4"/>
        <v>1</v>
      </c>
      <c r="W26" s="5" t="str">
        <f t="shared" si="5"/>
        <v>B</v>
      </c>
      <c r="X26" t="s">
        <v>38</v>
      </c>
      <c r="Y26" s="2" t="s">
        <v>20</v>
      </c>
      <c r="Z26" t="s">
        <v>21</v>
      </c>
      <c r="AA26">
        <v>3</v>
      </c>
      <c r="AB26" s="4">
        <v>3</v>
      </c>
      <c r="AC26" s="2">
        <v>2</v>
      </c>
      <c r="AD26" s="4">
        <f t="shared" si="6"/>
        <v>2</v>
      </c>
      <c r="AE26" s="5" t="str">
        <f t="shared" si="7"/>
        <v>A</v>
      </c>
      <c r="AF26" t="s">
        <v>22</v>
      </c>
      <c r="AI26" s="4">
        <v>3</v>
      </c>
      <c r="AJ26" s="4">
        <v>3</v>
      </c>
      <c r="AK26" s="4">
        <f t="shared" si="8"/>
        <v>3</v>
      </c>
      <c r="AL26" s="4">
        <f t="shared" si="9"/>
        <v>1</v>
      </c>
      <c r="AM26" s="5" t="str">
        <f t="shared" si="10"/>
        <v>B</v>
      </c>
      <c r="AN26" s="4" t="str">
        <f t="shared" si="11"/>
        <v>Scenario-level Threat=3; Step1=A Step2=B Step3=B Step4=A ; Overall Threat fixed=3, Max Mitigation=3 =&gt; Overall=B</v>
      </c>
    </row>
    <row r="27" spans="1:40" x14ac:dyDescent="0.55000000000000004">
      <c r="A27" s="2" t="s">
        <v>90</v>
      </c>
      <c r="B27" t="s">
        <v>13</v>
      </c>
      <c r="C27">
        <v>3</v>
      </c>
      <c r="D27" s="4">
        <v>3</v>
      </c>
      <c r="E27" s="2">
        <v>2</v>
      </c>
      <c r="F27" s="4">
        <f t="shared" si="0"/>
        <v>2</v>
      </c>
      <c r="G27" s="5" t="str">
        <f t="shared" si="1"/>
        <v>A</v>
      </c>
      <c r="H27" t="s">
        <v>23</v>
      </c>
      <c r="I27" s="2" t="s">
        <v>42</v>
      </c>
      <c r="J27" t="s">
        <v>43</v>
      </c>
      <c r="K27">
        <v>3</v>
      </c>
      <c r="L27" s="4">
        <v>3</v>
      </c>
      <c r="M27" s="2">
        <v>3</v>
      </c>
      <c r="N27" s="4">
        <f t="shared" si="2"/>
        <v>1</v>
      </c>
      <c r="O27" s="5" t="str">
        <f t="shared" si="3"/>
        <v>B</v>
      </c>
      <c r="P27">
        <v>1</v>
      </c>
      <c r="Q27" s="2" t="s">
        <v>36</v>
      </c>
      <c r="R27" t="s">
        <v>37</v>
      </c>
      <c r="S27">
        <v>3</v>
      </c>
      <c r="T27" s="4">
        <v>3</v>
      </c>
      <c r="U27" s="2">
        <v>3</v>
      </c>
      <c r="V27" s="4">
        <f t="shared" si="4"/>
        <v>1</v>
      </c>
      <c r="W27" s="5" t="str">
        <f t="shared" si="5"/>
        <v>B</v>
      </c>
      <c r="X27" t="s">
        <v>38</v>
      </c>
      <c r="Y27" s="2" t="s">
        <v>24</v>
      </c>
      <c r="Z27" t="s">
        <v>25</v>
      </c>
      <c r="AA27">
        <v>3</v>
      </c>
      <c r="AB27" s="4">
        <v>3</v>
      </c>
      <c r="AC27" s="2">
        <v>2</v>
      </c>
      <c r="AD27" s="4">
        <f t="shared" si="6"/>
        <v>2</v>
      </c>
      <c r="AE27" s="5" t="str">
        <f t="shared" si="7"/>
        <v>A</v>
      </c>
      <c r="AF27" t="s">
        <v>26</v>
      </c>
      <c r="AI27" s="4">
        <v>3</v>
      </c>
      <c r="AJ27" s="4">
        <v>3</v>
      </c>
      <c r="AK27" s="4">
        <f t="shared" si="8"/>
        <v>3</v>
      </c>
      <c r="AL27" s="4">
        <f t="shared" si="9"/>
        <v>1</v>
      </c>
      <c r="AM27" s="5" t="str">
        <f t="shared" si="10"/>
        <v>B</v>
      </c>
      <c r="AN27" s="4" t="str">
        <f t="shared" si="11"/>
        <v>Scenario-level Threat=3; Step1=A Step2=B Step3=B Step4=A ; Overall Threat fixed=3, Max Mitigation=3 =&gt; Overall=B</v>
      </c>
    </row>
    <row r="28" spans="1:40" x14ac:dyDescent="0.55000000000000004">
      <c r="A28" s="2" t="s">
        <v>90</v>
      </c>
      <c r="B28" t="s">
        <v>13</v>
      </c>
      <c r="C28">
        <v>3</v>
      </c>
      <c r="D28" s="4">
        <v>3</v>
      </c>
      <c r="E28" s="2">
        <v>2</v>
      </c>
      <c r="F28" s="4">
        <f t="shared" si="0"/>
        <v>2</v>
      </c>
      <c r="G28" s="5" t="str">
        <f t="shared" si="1"/>
        <v>A</v>
      </c>
      <c r="H28" t="s">
        <v>23</v>
      </c>
      <c r="I28" s="2" t="s">
        <v>42</v>
      </c>
      <c r="J28" t="s">
        <v>43</v>
      </c>
      <c r="K28">
        <v>3</v>
      </c>
      <c r="L28" s="4">
        <v>3</v>
      </c>
      <c r="M28" s="2">
        <v>3</v>
      </c>
      <c r="N28" s="4">
        <f t="shared" si="2"/>
        <v>1</v>
      </c>
      <c r="O28" s="5" t="str">
        <f t="shared" si="3"/>
        <v>B</v>
      </c>
      <c r="P28">
        <v>1</v>
      </c>
      <c r="Q28" s="2" t="s">
        <v>36</v>
      </c>
      <c r="R28" t="s">
        <v>37</v>
      </c>
      <c r="S28">
        <v>3</v>
      </c>
      <c r="T28" s="4">
        <v>3</v>
      </c>
      <c r="U28" s="2">
        <v>3</v>
      </c>
      <c r="V28" s="4">
        <f t="shared" si="4"/>
        <v>1</v>
      </c>
      <c r="W28" s="5" t="str">
        <f t="shared" si="5"/>
        <v>B</v>
      </c>
      <c r="X28" t="s">
        <v>38</v>
      </c>
      <c r="Y28" s="2" t="s">
        <v>27</v>
      </c>
      <c r="Z28" t="s">
        <v>28</v>
      </c>
      <c r="AA28">
        <v>3</v>
      </c>
      <c r="AB28" s="4">
        <v>3</v>
      </c>
      <c r="AC28" s="2">
        <v>3</v>
      </c>
      <c r="AD28" s="4">
        <f t="shared" si="6"/>
        <v>1</v>
      </c>
      <c r="AE28" s="5" t="str">
        <f t="shared" si="7"/>
        <v>B</v>
      </c>
      <c r="AF28" t="s">
        <v>29</v>
      </c>
      <c r="AI28" s="4">
        <v>3</v>
      </c>
      <c r="AJ28" s="4">
        <v>3</v>
      </c>
      <c r="AK28" s="4">
        <f t="shared" si="8"/>
        <v>3</v>
      </c>
      <c r="AL28" s="4">
        <f t="shared" si="9"/>
        <v>1</v>
      </c>
      <c r="AM28" s="5" t="str">
        <f t="shared" si="10"/>
        <v>B</v>
      </c>
      <c r="AN28" s="4" t="str">
        <f t="shared" si="11"/>
        <v>Scenario-level Threat=3; Step1=A Step2=B Step3=B Step4=B ; Overall Threat fixed=3, Max Mitigation=3 =&gt; Overall=B</v>
      </c>
    </row>
    <row r="29" spans="1:40" x14ac:dyDescent="0.55000000000000004">
      <c r="A29" s="2" t="s">
        <v>90</v>
      </c>
      <c r="B29" t="s">
        <v>13</v>
      </c>
      <c r="C29">
        <v>3</v>
      </c>
      <c r="D29" s="4">
        <v>3</v>
      </c>
      <c r="E29" s="2">
        <v>2</v>
      </c>
      <c r="F29" s="4">
        <f t="shared" si="0"/>
        <v>2</v>
      </c>
      <c r="G29" s="5" t="str">
        <f t="shared" si="1"/>
        <v>A</v>
      </c>
      <c r="H29" t="s">
        <v>23</v>
      </c>
      <c r="I29" s="2" t="s">
        <v>42</v>
      </c>
      <c r="J29" t="s">
        <v>43</v>
      </c>
      <c r="K29">
        <v>3</v>
      </c>
      <c r="L29" s="4">
        <v>3</v>
      </c>
      <c r="M29" s="2">
        <v>3</v>
      </c>
      <c r="N29" s="4">
        <f t="shared" si="2"/>
        <v>1</v>
      </c>
      <c r="O29" s="5" t="str">
        <f t="shared" si="3"/>
        <v>B</v>
      </c>
      <c r="P29">
        <v>1</v>
      </c>
      <c r="Q29" s="2" t="s">
        <v>36</v>
      </c>
      <c r="R29" t="s">
        <v>37</v>
      </c>
      <c r="S29">
        <v>3</v>
      </c>
      <c r="T29" s="4">
        <v>3</v>
      </c>
      <c r="U29" s="2">
        <v>3</v>
      </c>
      <c r="V29" s="4">
        <f t="shared" si="4"/>
        <v>1</v>
      </c>
      <c r="W29" s="5" t="str">
        <f t="shared" si="5"/>
        <v>B</v>
      </c>
      <c r="X29" t="s">
        <v>38</v>
      </c>
      <c r="Y29" s="2" t="s">
        <v>30</v>
      </c>
      <c r="Z29" t="s">
        <v>31</v>
      </c>
      <c r="AA29">
        <v>3</v>
      </c>
      <c r="AB29" s="4">
        <v>3</v>
      </c>
      <c r="AC29" s="2">
        <v>2</v>
      </c>
      <c r="AD29" s="4">
        <f t="shared" si="6"/>
        <v>2</v>
      </c>
      <c r="AE29" s="5" t="str">
        <f t="shared" si="7"/>
        <v>A</v>
      </c>
      <c r="AF29" t="s">
        <v>32</v>
      </c>
      <c r="AI29" s="4">
        <v>3</v>
      </c>
      <c r="AJ29" s="4">
        <v>3</v>
      </c>
      <c r="AK29" s="4">
        <f t="shared" si="8"/>
        <v>3</v>
      </c>
      <c r="AL29" s="4">
        <f t="shared" si="9"/>
        <v>1</v>
      </c>
      <c r="AM29" s="5" t="str">
        <f t="shared" si="10"/>
        <v>B</v>
      </c>
      <c r="AN29" s="4" t="str">
        <f t="shared" si="11"/>
        <v>Scenario-level Threat=3; Step1=A Step2=B Step3=B Step4=A ; Overall Threat fixed=3, Max Mitigation=3 =&gt; Overall=B</v>
      </c>
    </row>
    <row r="30" spans="1:40" x14ac:dyDescent="0.55000000000000004">
      <c r="A30" s="2" t="s">
        <v>90</v>
      </c>
      <c r="B30" t="s">
        <v>13</v>
      </c>
      <c r="C30">
        <v>3</v>
      </c>
      <c r="D30" s="4">
        <v>3</v>
      </c>
      <c r="E30" s="2">
        <v>2</v>
      </c>
      <c r="F30" s="4">
        <f t="shared" si="0"/>
        <v>2</v>
      </c>
      <c r="G30" s="5" t="str">
        <f t="shared" si="1"/>
        <v>A</v>
      </c>
      <c r="H30" t="s">
        <v>23</v>
      </c>
      <c r="I30" s="2" t="s">
        <v>42</v>
      </c>
      <c r="J30" t="s">
        <v>43</v>
      </c>
      <c r="K30">
        <v>3</v>
      </c>
      <c r="L30" s="4">
        <v>3</v>
      </c>
      <c r="M30" s="2">
        <v>3</v>
      </c>
      <c r="N30" s="4">
        <f t="shared" si="2"/>
        <v>1</v>
      </c>
      <c r="O30" s="5" t="str">
        <f t="shared" si="3"/>
        <v>B</v>
      </c>
      <c r="P30">
        <v>1</v>
      </c>
      <c r="Q30" s="2" t="s">
        <v>39</v>
      </c>
      <c r="R30" t="s">
        <v>40</v>
      </c>
      <c r="S30">
        <v>3</v>
      </c>
      <c r="T30" s="4">
        <v>3</v>
      </c>
      <c r="U30" s="2">
        <v>3</v>
      </c>
      <c r="V30" s="4">
        <f t="shared" si="4"/>
        <v>1</v>
      </c>
      <c r="W30" s="5" t="str">
        <f t="shared" si="5"/>
        <v>B</v>
      </c>
      <c r="X30" t="s">
        <v>41</v>
      </c>
      <c r="Y30" s="2" t="s">
        <v>20</v>
      </c>
      <c r="Z30" t="s">
        <v>21</v>
      </c>
      <c r="AA30">
        <v>3</v>
      </c>
      <c r="AB30" s="4">
        <v>3</v>
      </c>
      <c r="AC30" s="2">
        <v>2</v>
      </c>
      <c r="AD30" s="4">
        <f t="shared" si="6"/>
        <v>2</v>
      </c>
      <c r="AE30" s="5" t="str">
        <f t="shared" si="7"/>
        <v>A</v>
      </c>
      <c r="AF30" t="s">
        <v>22</v>
      </c>
      <c r="AI30" s="4">
        <v>3</v>
      </c>
      <c r="AJ30" s="4">
        <v>3</v>
      </c>
      <c r="AK30" s="4">
        <f t="shared" si="8"/>
        <v>3</v>
      </c>
      <c r="AL30" s="4">
        <f t="shared" si="9"/>
        <v>1</v>
      </c>
      <c r="AM30" s="5" t="str">
        <f t="shared" si="10"/>
        <v>B</v>
      </c>
      <c r="AN30" s="4" t="str">
        <f t="shared" si="11"/>
        <v>Scenario-level Threat=3; Step1=A Step2=B Step3=B Step4=A ; Overall Threat fixed=3, Max Mitigation=3 =&gt; Overall=B</v>
      </c>
    </row>
    <row r="31" spans="1:40" x14ac:dyDescent="0.55000000000000004">
      <c r="A31" s="2" t="s">
        <v>90</v>
      </c>
      <c r="B31" t="s">
        <v>13</v>
      </c>
      <c r="C31">
        <v>3</v>
      </c>
      <c r="D31" s="4">
        <v>3</v>
      </c>
      <c r="E31" s="2">
        <v>2</v>
      </c>
      <c r="F31" s="4">
        <f t="shared" si="0"/>
        <v>2</v>
      </c>
      <c r="G31" s="5" t="str">
        <f t="shared" si="1"/>
        <v>A</v>
      </c>
      <c r="H31" t="s">
        <v>23</v>
      </c>
      <c r="I31" s="2" t="s">
        <v>42</v>
      </c>
      <c r="J31" t="s">
        <v>43</v>
      </c>
      <c r="K31">
        <v>3</v>
      </c>
      <c r="L31" s="4">
        <v>3</v>
      </c>
      <c r="M31" s="2">
        <v>3</v>
      </c>
      <c r="N31" s="4">
        <f t="shared" si="2"/>
        <v>1</v>
      </c>
      <c r="O31" s="5" t="str">
        <f t="shared" si="3"/>
        <v>B</v>
      </c>
      <c r="P31">
        <v>1</v>
      </c>
      <c r="Q31" s="2" t="s">
        <v>39</v>
      </c>
      <c r="R31" t="s">
        <v>40</v>
      </c>
      <c r="S31">
        <v>3</v>
      </c>
      <c r="T31" s="4">
        <v>3</v>
      </c>
      <c r="U31" s="2">
        <v>3</v>
      </c>
      <c r="V31" s="4">
        <f t="shared" si="4"/>
        <v>1</v>
      </c>
      <c r="W31" s="5" t="str">
        <f t="shared" si="5"/>
        <v>B</v>
      </c>
      <c r="X31" t="s">
        <v>41</v>
      </c>
      <c r="Y31" s="2" t="s">
        <v>24</v>
      </c>
      <c r="Z31" t="s">
        <v>25</v>
      </c>
      <c r="AA31">
        <v>3</v>
      </c>
      <c r="AB31" s="4">
        <v>3</v>
      </c>
      <c r="AC31" s="2">
        <v>2</v>
      </c>
      <c r="AD31" s="4">
        <f t="shared" si="6"/>
        <v>2</v>
      </c>
      <c r="AE31" s="5" t="str">
        <f t="shared" si="7"/>
        <v>A</v>
      </c>
      <c r="AF31" t="s">
        <v>26</v>
      </c>
      <c r="AI31" s="4">
        <v>3</v>
      </c>
      <c r="AJ31" s="4">
        <v>3</v>
      </c>
      <c r="AK31" s="4">
        <f t="shared" si="8"/>
        <v>3</v>
      </c>
      <c r="AL31" s="4">
        <f t="shared" si="9"/>
        <v>1</v>
      </c>
      <c r="AM31" s="5" t="str">
        <f t="shared" si="10"/>
        <v>B</v>
      </c>
      <c r="AN31" s="4" t="str">
        <f t="shared" si="11"/>
        <v>Scenario-level Threat=3; Step1=A Step2=B Step3=B Step4=A ; Overall Threat fixed=3, Max Mitigation=3 =&gt; Overall=B</v>
      </c>
    </row>
    <row r="32" spans="1:40" x14ac:dyDescent="0.55000000000000004">
      <c r="A32" s="2" t="s">
        <v>90</v>
      </c>
      <c r="B32" t="s">
        <v>13</v>
      </c>
      <c r="C32">
        <v>3</v>
      </c>
      <c r="D32" s="4">
        <v>3</v>
      </c>
      <c r="E32" s="2">
        <v>2</v>
      </c>
      <c r="F32" s="4">
        <f t="shared" si="0"/>
        <v>2</v>
      </c>
      <c r="G32" s="5" t="str">
        <f t="shared" si="1"/>
        <v>A</v>
      </c>
      <c r="H32" t="s">
        <v>23</v>
      </c>
      <c r="I32" s="2" t="s">
        <v>42</v>
      </c>
      <c r="J32" t="s">
        <v>43</v>
      </c>
      <c r="K32">
        <v>3</v>
      </c>
      <c r="L32" s="4">
        <v>3</v>
      </c>
      <c r="M32" s="2">
        <v>3</v>
      </c>
      <c r="N32" s="4">
        <f t="shared" si="2"/>
        <v>1</v>
      </c>
      <c r="O32" s="5" t="str">
        <f t="shared" si="3"/>
        <v>B</v>
      </c>
      <c r="P32">
        <v>1</v>
      </c>
      <c r="Q32" s="2" t="s">
        <v>39</v>
      </c>
      <c r="R32" t="s">
        <v>40</v>
      </c>
      <c r="S32">
        <v>3</v>
      </c>
      <c r="T32" s="4">
        <v>3</v>
      </c>
      <c r="U32" s="2">
        <v>3</v>
      </c>
      <c r="V32" s="4">
        <f t="shared" si="4"/>
        <v>1</v>
      </c>
      <c r="W32" s="5" t="str">
        <f t="shared" si="5"/>
        <v>B</v>
      </c>
      <c r="X32" t="s">
        <v>41</v>
      </c>
      <c r="Y32" s="2" t="s">
        <v>27</v>
      </c>
      <c r="Z32" t="s">
        <v>28</v>
      </c>
      <c r="AA32">
        <v>3</v>
      </c>
      <c r="AB32" s="4">
        <v>3</v>
      </c>
      <c r="AC32" s="2">
        <v>3</v>
      </c>
      <c r="AD32" s="4">
        <f t="shared" si="6"/>
        <v>1</v>
      </c>
      <c r="AE32" s="5" t="str">
        <f t="shared" si="7"/>
        <v>B</v>
      </c>
      <c r="AF32" t="s">
        <v>29</v>
      </c>
      <c r="AI32" s="4">
        <v>3</v>
      </c>
      <c r="AJ32" s="4">
        <v>3</v>
      </c>
      <c r="AK32" s="4">
        <f t="shared" si="8"/>
        <v>3</v>
      </c>
      <c r="AL32" s="4">
        <f t="shared" si="9"/>
        <v>1</v>
      </c>
      <c r="AM32" s="5" t="str">
        <f t="shared" si="10"/>
        <v>B</v>
      </c>
      <c r="AN32" s="4" t="str">
        <f t="shared" si="11"/>
        <v>Scenario-level Threat=3; Step1=A Step2=B Step3=B Step4=B ; Overall Threat fixed=3, Max Mitigation=3 =&gt; Overall=B</v>
      </c>
    </row>
    <row r="33" spans="1:40" x14ac:dyDescent="0.55000000000000004">
      <c r="A33" s="2" t="s">
        <v>90</v>
      </c>
      <c r="B33" t="s">
        <v>13</v>
      </c>
      <c r="C33">
        <v>3</v>
      </c>
      <c r="D33" s="4">
        <v>3</v>
      </c>
      <c r="E33" s="2">
        <v>2</v>
      </c>
      <c r="F33" s="4">
        <f t="shared" si="0"/>
        <v>2</v>
      </c>
      <c r="G33" s="5" t="str">
        <f t="shared" si="1"/>
        <v>A</v>
      </c>
      <c r="H33" t="s">
        <v>23</v>
      </c>
      <c r="I33" s="2" t="s">
        <v>42</v>
      </c>
      <c r="J33" t="s">
        <v>43</v>
      </c>
      <c r="K33">
        <v>3</v>
      </c>
      <c r="L33" s="4">
        <v>3</v>
      </c>
      <c r="M33" s="2">
        <v>3</v>
      </c>
      <c r="N33" s="4">
        <f t="shared" si="2"/>
        <v>1</v>
      </c>
      <c r="O33" s="5" t="str">
        <f t="shared" si="3"/>
        <v>B</v>
      </c>
      <c r="P33">
        <v>1</v>
      </c>
      <c r="Q33" s="2" t="s">
        <v>39</v>
      </c>
      <c r="R33" t="s">
        <v>40</v>
      </c>
      <c r="S33">
        <v>3</v>
      </c>
      <c r="T33" s="4">
        <v>3</v>
      </c>
      <c r="U33" s="2">
        <v>3</v>
      </c>
      <c r="V33" s="4">
        <f t="shared" si="4"/>
        <v>1</v>
      </c>
      <c r="W33" s="5" t="str">
        <f t="shared" si="5"/>
        <v>B</v>
      </c>
      <c r="X33" t="s">
        <v>41</v>
      </c>
      <c r="Y33" s="2" t="s">
        <v>30</v>
      </c>
      <c r="Z33" t="s">
        <v>31</v>
      </c>
      <c r="AA33">
        <v>3</v>
      </c>
      <c r="AB33" s="4">
        <v>3</v>
      </c>
      <c r="AC33" s="2">
        <v>2</v>
      </c>
      <c r="AD33" s="4">
        <f t="shared" si="6"/>
        <v>2</v>
      </c>
      <c r="AE33" s="5" t="str">
        <f t="shared" si="7"/>
        <v>A</v>
      </c>
      <c r="AF33" t="s">
        <v>32</v>
      </c>
      <c r="AI33" s="4">
        <v>3</v>
      </c>
      <c r="AJ33" s="4">
        <v>3</v>
      </c>
      <c r="AK33" s="4">
        <f t="shared" si="8"/>
        <v>3</v>
      </c>
      <c r="AL33" s="4">
        <f t="shared" si="9"/>
        <v>1</v>
      </c>
      <c r="AM33" s="5" t="str">
        <f t="shared" si="10"/>
        <v>B</v>
      </c>
      <c r="AN33" s="4" t="str">
        <f t="shared" si="11"/>
        <v>Scenario-level Threat=3; Step1=A Step2=B Step3=B Step4=A ; Overall Threat fixed=3, Max Mitigation=3 =&gt; Overall=B</v>
      </c>
    </row>
    <row r="34" spans="1:40" x14ac:dyDescent="0.55000000000000004">
      <c r="A34" s="2" t="s">
        <v>90</v>
      </c>
      <c r="B34" t="s">
        <v>13</v>
      </c>
      <c r="C34">
        <v>3</v>
      </c>
      <c r="D34" s="4">
        <v>3</v>
      </c>
      <c r="E34" s="2">
        <v>2</v>
      </c>
      <c r="F34" s="4">
        <f t="shared" ref="F34:F65" si="12">4-E34</f>
        <v>2</v>
      </c>
      <c r="G34" s="5" t="str">
        <f t="shared" ref="G34:G65" si="13">IF(AND(C34=3,D34*F34&gt;=6),"A",IF(AND(C34=3,D34*F34&gt;=3),"B",IF(AND(C34=3,D34*F34&gt;=1),"C","")))</f>
        <v>A</v>
      </c>
      <c r="H34" t="s">
        <v>23</v>
      </c>
      <c r="I34" s="2" t="s">
        <v>44</v>
      </c>
      <c r="J34" t="s">
        <v>45</v>
      </c>
      <c r="K34">
        <v>3</v>
      </c>
      <c r="L34" s="4">
        <v>3</v>
      </c>
      <c r="M34" s="2">
        <v>2</v>
      </c>
      <c r="N34" s="4">
        <f t="shared" ref="N34:N65" si="14">4-M34</f>
        <v>2</v>
      </c>
      <c r="O34" s="5" t="str">
        <f t="shared" ref="O34:O65" si="15">IF(AND(K34=3,L34*N34&gt;=6),"A",IF(AND(K34=3,L34*N34&gt;=3),"B",IF(AND(K34=3,L34*N34&gt;=1),"C","")))</f>
        <v>A</v>
      </c>
      <c r="P34">
        <v>1</v>
      </c>
      <c r="Q34" s="2" t="s">
        <v>17</v>
      </c>
      <c r="R34" t="s">
        <v>18</v>
      </c>
      <c r="S34">
        <v>3</v>
      </c>
      <c r="T34" s="4">
        <v>3</v>
      </c>
      <c r="U34" s="2">
        <v>3</v>
      </c>
      <c r="V34" s="4">
        <f t="shared" ref="V34:V65" si="16">4-U34</f>
        <v>1</v>
      </c>
      <c r="W34" s="5" t="str">
        <f t="shared" ref="W34:W65" si="17">IF(AND(S34=3,T34*V34&gt;=6),"A",IF(AND(S34=3,T34*V34&gt;=3),"B",IF(AND(S34=3,T34*V34&gt;=1),"C","")))</f>
        <v>B</v>
      </c>
      <c r="X34" t="s">
        <v>19</v>
      </c>
      <c r="Y34" s="2" t="s">
        <v>20</v>
      </c>
      <c r="Z34" t="s">
        <v>21</v>
      </c>
      <c r="AA34">
        <v>3</v>
      </c>
      <c r="AB34" s="4">
        <v>3</v>
      </c>
      <c r="AC34" s="2">
        <v>2</v>
      </c>
      <c r="AD34" s="4">
        <f t="shared" ref="AD34:AD65" si="18">4-AC34</f>
        <v>2</v>
      </c>
      <c r="AE34" s="5" t="str">
        <f t="shared" ref="AE34:AE65" si="19">IF(AND(AA34=3,AB34*AD34&gt;=6),"A",IF(AND(AA34=3,AB34*AD34&gt;=3),"B",IF(AND(AA34=3,AB34*AD34&gt;=1),"C","")))</f>
        <v>A</v>
      </c>
      <c r="AF34" t="s">
        <v>22</v>
      </c>
      <c r="AI34" s="4">
        <v>3</v>
      </c>
      <c r="AJ34" s="4">
        <v>3</v>
      </c>
      <c r="AK34" s="4">
        <f t="shared" ref="AK34:AK65" si="20">MAX(E34,M34,U34,AC34)</f>
        <v>3</v>
      </c>
      <c r="AL34" s="4">
        <f t="shared" ref="AL34:AL65" si="21">4-AK34</f>
        <v>1</v>
      </c>
      <c r="AM34" s="5" t="str">
        <f t="shared" ref="AM34:AM65" si="22">IF(AND(AI34=3,AJ34*AL34&gt;=6),"A",IF(AND(AI34=3,AJ34*AL34&gt;=3),"B",IF(AND(AI34=3,AJ34*AL34&gt;=1),"C","")))</f>
        <v>B</v>
      </c>
      <c r="AN34" s="4" t="str">
        <f t="shared" ref="AN34:AN65" si="23">"Scenario-level Threat=3; Step1="&amp;G34&amp;" Step2="&amp;O34&amp;" Step3="&amp;W34&amp;" Step4="&amp;AE34&amp;" ; Overall Threat fixed=3, Max Mitigation="&amp;AK34&amp;" =&gt; Overall="&amp;AM34</f>
        <v>Scenario-level Threat=3; Step1=A Step2=A Step3=B Step4=A ; Overall Threat fixed=3, Max Mitigation=3 =&gt; Overall=B</v>
      </c>
    </row>
    <row r="35" spans="1:40" x14ac:dyDescent="0.55000000000000004">
      <c r="A35" s="2" t="s">
        <v>90</v>
      </c>
      <c r="B35" t="s">
        <v>13</v>
      </c>
      <c r="C35">
        <v>3</v>
      </c>
      <c r="D35" s="4">
        <v>3</v>
      </c>
      <c r="E35" s="2">
        <v>2</v>
      </c>
      <c r="F35" s="4">
        <f t="shared" si="12"/>
        <v>2</v>
      </c>
      <c r="G35" s="5" t="str">
        <f t="shared" si="13"/>
        <v>A</v>
      </c>
      <c r="H35" t="s">
        <v>23</v>
      </c>
      <c r="I35" s="2" t="s">
        <v>44</v>
      </c>
      <c r="J35" t="s">
        <v>45</v>
      </c>
      <c r="K35">
        <v>3</v>
      </c>
      <c r="L35" s="4">
        <v>3</v>
      </c>
      <c r="M35" s="2">
        <v>2</v>
      </c>
      <c r="N35" s="4">
        <f t="shared" si="14"/>
        <v>2</v>
      </c>
      <c r="O35" s="5" t="str">
        <f t="shared" si="15"/>
        <v>A</v>
      </c>
      <c r="P35">
        <v>1</v>
      </c>
      <c r="Q35" s="2" t="s">
        <v>17</v>
      </c>
      <c r="R35" t="s">
        <v>18</v>
      </c>
      <c r="S35">
        <v>3</v>
      </c>
      <c r="T35" s="4">
        <v>3</v>
      </c>
      <c r="U35" s="2">
        <v>3</v>
      </c>
      <c r="V35" s="4">
        <f t="shared" si="16"/>
        <v>1</v>
      </c>
      <c r="W35" s="5" t="str">
        <f t="shared" si="17"/>
        <v>B</v>
      </c>
      <c r="X35" t="s">
        <v>19</v>
      </c>
      <c r="Y35" s="2" t="s">
        <v>24</v>
      </c>
      <c r="Z35" t="s">
        <v>25</v>
      </c>
      <c r="AA35">
        <v>3</v>
      </c>
      <c r="AB35" s="4">
        <v>3</v>
      </c>
      <c r="AC35" s="2">
        <v>2</v>
      </c>
      <c r="AD35" s="4">
        <f t="shared" si="18"/>
        <v>2</v>
      </c>
      <c r="AE35" s="5" t="str">
        <f t="shared" si="19"/>
        <v>A</v>
      </c>
      <c r="AF35" t="s">
        <v>26</v>
      </c>
      <c r="AI35" s="4">
        <v>3</v>
      </c>
      <c r="AJ35" s="4">
        <v>3</v>
      </c>
      <c r="AK35" s="4">
        <f t="shared" si="20"/>
        <v>3</v>
      </c>
      <c r="AL35" s="4">
        <f t="shared" si="21"/>
        <v>1</v>
      </c>
      <c r="AM35" s="5" t="str">
        <f t="shared" si="22"/>
        <v>B</v>
      </c>
      <c r="AN35" s="4" t="str">
        <f t="shared" si="23"/>
        <v>Scenario-level Threat=3; Step1=A Step2=A Step3=B Step4=A ; Overall Threat fixed=3, Max Mitigation=3 =&gt; Overall=B</v>
      </c>
    </row>
    <row r="36" spans="1:40" x14ac:dyDescent="0.55000000000000004">
      <c r="A36" s="2" t="s">
        <v>90</v>
      </c>
      <c r="B36" t="s">
        <v>13</v>
      </c>
      <c r="C36">
        <v>3</v>
      </c>
      <c r="D36" s="4">
        <v>3</v>
      </c>
      <c r="E36" s="2">
        <v>2</v>
      </c>
      <c r="F36" s="4">
        <f t="shared" si="12"/>
        <v>2</v>
      </c>
      <c r="G36" s="5" t="str">
        <f t="shared" si="13"/>
        <v>A</v>
      </c>
      <c r="H36" t="s">
        <v>23</v>
      </c>
      <c r="I36" s="2" t="s">
        <v>44</v>
      </c>
      <c r="J36" t="s">
        <v>45</v>
      </c>
      <c r="K36">
        <v>3</v>
      </c>
      <c r="L36" s="4">
        <v>3</v>
      </c>
      <c r="M36" s="2">
        <v>2</v>
      </c>
      <c r="N36" s="4">
        <f t="shared" si="14"/>
        <v>2</v>
      </c>
      <c r="O36" s="5" t="str">
        <f t="shared" si="15"/>
        <v>A</v>
      </c>
      <c r="P36">
        <v>1</v>
      </c>
      <c r="Q36" s="2" t="s">
        <v>17</v>
      </c>
      <c r="R36" t="s">
        <v>18</v>
      </c>
      <c r="S36">
        <v>3</v>
      </c>
      <c r="T36" s="4">
        <v>3</v>
      </c>
      <c r="U36" s="2">
        <v>3</v>
      </c>
      <c r="V36" s="4">
        <f t="shared" si="16"/>
        <v>1</v>
      </c>
      <c r="W36" s="5" t="str">
        <f t="shared" si="17"/>
        <v>B</v>
      </c>
      <c r="X36" t="s">
        <v>19</v>
      </c>
      <c r="Y36" s="2" t="s">
        <v>27</v>
      </c>
      <c r="Z36" t="s">
        <v>28</v>
      </c>
      <c r="AA36">
        <v>3</v>
      </c>
      <c r="AB36" s="4">
        <v>3</v>
      </c>
      <c r="AC36" s="2">
        <v>3</v>
      </c>
      <c r="AD36" s="4">
        <f t="shared" si="18"/>
        <v>1</v>
      </c>
      <c r="AE36" s="5" t="str">
        <f t="shared" si="19"/>
        <v>B</v>
      </c>
      <c r="AF36" t="s">
        <v>29</v>
      </c>
      <c r="AI36" s="4">
        <v>3</v>
      </c>
      <c r="AJ36" s="4">
        <v>3</v>
      </c>
      <c r="AK36" s="4">
        <f t="shared" si="20"/>
        <v>3</v>
      </c>
      <c r="AL36" s="4">
        <f t="shared" si="21"/>
        <v>1</v>
      </c>
      <c r="AM36" s="5" t="str">
        <f t="shared" si="22"/>
        <v>B</v>
      </c>
      <c r="AN36" s="4" t="str">
        <f t="shared" si="23"/>
        <v>Scenario-level Threat=3; Step1=A Step2=A Step3=B Step4=B ; Overall Threat fixed=3, Max Mitigation=3 =&gt; Overall=B</v>
      </c>
    </row>
    <row r="37" spans="1:40" x14ac:dyDescent="0.55000000000000004">
      <c r="A37" s="2" t="s">
        <v>90</v>
      </c>
      <c r="B37" t="s">
        <v>13</v>
      </c>
      <c r="C37">
        <v>3</v>
      </c>
      <c r="D37" s="4">
        <v>3</v>
      </c>
      <c r="E37" s="2">
        <v>2</v>
      </c>
      <c r="F37" s="4">
        <f t="shared" si="12"/>
        <v>2</v>
      </c>
      <c r="G37" s="5" t="str">
        <f t="shared" si="13"/>
        <v>A</v>
      </c>
      <c r="H37" t="s">
        <v>23</v>
      </c>
      <c r="I37" s="2" t="s">
        <v>44</v>
      </c>
      <c r="J37" t="s">
        <v>45</v>
      </c>
      <c r="K37">
        <v>3</v>
      </c>
      <c r="L37" s="4">
        <v>3</v>
      </c>
      <c r="M37" s="2">
        <v>2</v>
      </c>
      <c r="N37" s="4">
        <f t="shared" si="14"/>
        <v>2</v>
      </c>
      <c r="O37" s="5" t="str">
        <f t="shared" si="15"/>
        <v>A</v>
      </c>
      <c r="P37">
        <v>1</v>
      </c>
      <c r="Q37" s="2" t="s">
        <v>17</v>
      </c>
      <c r="R37" t="s">
        <v>18</v>
      </c>
      <c r="S37">
        <v>3</v>
      </c>
      <c r="T37" s="4">
        <v>3</v>
      </c>
      <c r="U37" s="2">
        <v>3</v>
      </c>
      <c r="V37" s="4">
        <f t="shared" si="16"/>
        <v>1</v>
      </c>
      <c r="W37" s="5" t="str">
        <f t="shared" si="17"/>
        <v>B</v>
      </c>
      <c r="X37" t="s">
        <v>19</v>
      </c>
      <c r="Y37" s="2" t="s">
        <v>30</v>
      </c>
      <c r="Z37" t="s">
        <v>31</v>
      </c>
      <c r="AA37">
        <v>3</v>
      </c>
      <c r="AB37" s="4">
        <v>3</v>
      </c>
      <c r="AC37" s="2">
        <v>2</v>
      </c>
      <c r="AD37" s="4">
        <f t="shared" si="18"/>
        <v>2</v>
      </c>
      <c r="AE37" s="5" t="str">
        <f t="shared" si="19"/>
        <v>A</v>
      </c>
      <c r="AF37" t="s">
        <v>32</v>
      </c>
      <c r="AI37" s="4">
        <v>3</v>
      </c>
      <c r="AJ37" s="4">
        <v>3</v>
      </c>
      <c r="AK37" s="4">
        <f t="shared" si="20"/>
        <v>3</v>
      </c>
      <c r="AL37" s="4">
        <f t="shared" si="21"/>
        <v>1</v>
      </c>
      <c r="AM37" s="5" t="str">
        <f t="shared" si="22"/>
        <v>B</v>
      </c>
      <c r="AN37" s="4" t="str">
        <f t="shared" si="23"/>
        <v>Scenario-level Threat=3; Step1=A Step2=A Step3=B Step4=A ; Overall Threat fixed=3, Max Mitigation=3 =&gt; Overall=B</v>
      </c>
    </row>
    <row r="38" spans="1:40" x14ac:dyDescent="0.55000000000000004">
      <c r="A38" s="2" t="s">
        <v>90</v>
      </c>
      <c r="B38" t="s">
        <v>13</v>
      </c>
      <c r="C38">
        <v>3</v>
      </c>
      <c r="D38" s="4">
        <v>3</v>
      </c>
      <c r="E38" s="2">
        <v>2</v>
      </c>
      <c r="F38" s="4">
        <f t="shared" si="12"/>
        <v>2</v>
      </c>
      <c r="G38" s="5" t="str">
        <f t="shared" si="13"/>
        <v>A</v>
      </c>
      <c r="H38" t="s">
        <v>23</v>
      </c>
      <c r="I38" s="2" t="s">
        <v>44</v>
      </c>
      <c r="J38" t="s">
        <v>45</v>
      </c>
      <c r="K38">
        <v>3</v>
      </c>
      <c r="L38" s="4">
        <v>3</v>
      </c>
      <c r="M38" s="2">
        <v>2</v>
      </c>
      <c r="N38" s="4">
        <f t="shared" si="14"/>
        <v>2</v>
      </c>
      <c r="O38" s="5" t="str">
        <f t="shared" si="15"/>
        <v>A</v>
      </c>
      <c r="P38">
        <v>1</v>
      </c>
      <c r="Q38" s="2" t="s">
        <v>33</v>
      </c>
      <c r="R38" t="s">
        <v>34</v>
      </c>
      <c r="S38">
        <v>3</v>
      </c>
      <c r="T38" s="4">
        <v>3</v>
      </c>
      <c r="U38" s="2">
        <v>3</v>
      </c>
      <c r="V38" s="4">
        <f t="shared" si="16"/>
        <v>1</v>
      </c>
      <c r="W38" s="5" t="str">
        <f t="shared" si="17"/>
        <v>B</v>
      </c>
      <c r="X38" t="s">
        <v>35</v>
      </c>
      <c r="Y38" s="2" t="s">
        <v>20</v>
      </c>
      <c r="Z38" t="s">
        <v>21</v>
      </c>
      <c r="AA38">
        <v>3</v>
      </c>
      <c r="AB38" s="4">
        <v>3</v>
      </c>
      <c r="AC38" s="2">
        <v>2</v>
      </c>
      <c r="AD38" s="4">
        <f t="shared" si="18"/>
        <v>2</v>
      </c>
      <c r="AE38" s="5" t="str">
        <f t="shared" si="19"/>
        <v>A</v>
      </c>
      <c r="AF38" t="s">
        <v>22</v>
      </c>
      <c r="AI38" s="4">
        <v>3</v>
      </c>
      <c r="AJ38" s="4">
        <v>3</v>
      </c>
      <c r="AK38" s="4">
        <f t="shared" si="20"/>
        <v>3</v>
      </c>
      <c r="AL38" s="4">
        <f t="shared" si="21"/>
        <v>1</v>
      </c>
      <c r="AM38" s="5" t="str">
        <f t="shared" si="22"/>
        <v>B</v>
      </c>
      <c r="AN38" s="4" t="str">
        <f t="shared" si="23"/>
        <v>Scenario-level Threat=3; Step1=A Step2=A Step3=B Step4=A ; Overall Threat fixed=3, Max Mitigation=3 =&gt; Overall=B</v>
      </c>
    </row>
    <row r="39" spans="1:40" x14ac:dyDescent="0.55000000000000004">
      <c r="A39" s="2" t="s">
        <v>90</v>
      </c>
      <c r="B39" t="s">
        <v>13</v>
      </c>
      <c r="C39">
        <v>3</v>
      </c>
      <c r="D39" s="4">
        <v>3</v>
      </c>
      <c r="E39" s="2">
        <v>2</v>
      </c>
      <c r="F39" s="4">
        <f t="shared" si="12"/>
        <v>2</v>
      </c>
      <c r="G39" s="5" t="str">
        <f t="shared" si="13"/>
        <v>A</v>
      </c>
      <c r="H39" t="s">
        <v>23</v>
      </c>
      <c r="I39" s="2" t="s">
        <v>44</v>
      </c>
      <c r="J39" t="s">
        <v>45</v>
      </c>
      <c r="K39">
        <v>3</v>
      </c>
      <c r="L39" s="4">
        <v>3</v>
      </c>
      <c r="M39" s="2">
        <v>2</v>
      </c>
      <c r="N39" s="4">
        <f t="shared" si="14"/>
        <v>2</v>
      </c>
      <c r="O39" s="5" t="str">
        <f t="shared" si="15"/>
        <v>A</v>
      </c>
      <c r="P39">
        <v>1</v>
      </c>
      <c r="Q39" s="2" t="s">
        <v>33</v>
      </c>
      <c r="R39" t="s">
        <v>34</v>
      </c>
      <c r="S39">
        <v>3</v>
      </c>
      <c r="T39" s="4">
        <v>3</v>
      </c>
      <c r="U39" s="2">
        <v>3</v>
      </c>
      <c r="V39" s="4">
        <f t="shared" si="16"/>
        <v>1</v>
      </c>
      <c r="W39" s="5" t="str">
        <f t="shared" si="17"/>
        <v>B</v>
      </c>
      <c r="X39" t="s">
        <v>35</v>
      </c>
      <c r="Y39" s="2" t="s">
        <v>24</v>
      </c>
      <c r="Z39" t="s">
        <v>25</v>
      </c>
      <c r="AA39">
        <v>3</v>
      </c>
      <c r="AB39" s="4">
        <v>3</v>
      </c>
      <c r="AC39" s="2">
        <v>2</v>
      </c>
      <c r="AD39" s="4">
        <f t="shared" si="18"/>
        <v>2</v>
      </c>
      <c r="AE39" s="5" t="str">
        <f t="shared" si="19"/>
        <v>A</v>
      </c>
      <c r="AF39" t="s">
        <v>26</v>
      </c>
      <c r="AI39" s="4">
        <v>3</v>
      </c>
      <c r="AJ39" s="4">
        <v>3</v>
      </c>
      <c r="AK39" s="4">
        <f t="shared" si="20"/>
        <v>3</v>
      </c>
      <c r="AL39" s="4">
        <f t="shared" si="21"/>
        <v>1</v>
      </c>
      <c r="AM39" s="5" t="str">
        <f t="shared" si="22"/>
        <v>B</v>
      </c>
      <c r="AN39" s="4" t="str">
        <f t="shared" si="23"/>
        <v>Scenario-level Threat=3; Step1=A Step2=A Step3=B Step4=A ; Overall Threat fixed=3, Max Mitigation=3 =&gt; Overall=B</v>
      </c>
    </row>
    <row r="40" spans="1:40" x14ac:dyDescent="0.55000000000000004">
      <c r="A40" s="2" t="s">
        <v>90</v>
      </c>
      <c r="B40" t="s">
        <v>13</v>
      </c>
      <c r="C40">
        <v>3</v>
      </c>
      <c r="D40" s="4">
        <v>3</v>
      </c>
      <c r="E40" s="2">
        <v>2</v>
      </c>
      <c r="F40" s="4">
        <f t="shared" si="12"/>
        <v>2</v>
      </c>
      <c r="G40" s="5" t="str">
        <f t="shared" si="13"/>
        <v>A</v>
      </c>
      <c r="H40" t="s">
        <v>23</v>
      </c>
      <c r="I40" s="2" t="s">
        <v>44</v>
      </c>
      <c r="J40" t="s">
        <v>45</v>
      </c>
      <c r="K40">
        <v>3</v>
      </c>
      <c r="L40" s="4">
        <v>3</v>
      </c>
      <c r="M40" s="2">
        <v>2</v>
      </c>
      <c r="N40" s="4">
        <f t="shared" si="14"/>
        <v>2</v>
      </c>
      <c r="O40" s="5" t="str">
        <f t="shared" si="15"/>
        <v>A</v>
      </c>
      <c r="P40">
        <v>1</v>
      </c>
      <c r="Q40" s="2" t="s">
        <v>33</v>
      </c>
      <c r="R40" t="s">
        <v>34</v>
      </c>
      <c r="S40">
        <v>3</v>
      </c>
      <c r="T40" s="4">
        <v>3</v>
      </c>
      <c r="U40" s="2">
        <v>3</v>
      </c>
      <c r="V40" s="4">
        <f t="shared" si="16"/>
        <v>1</v>
      </c>
      <c r="W40" s="5" t="str">
        <f t="shared" si="17"/>
        <v>B</v>
      </c>
      <c r="X40" t="s">
        <v>35</v>
      </c>
      <c r="Y40" s="2" t="s">
        <v>27</v>
      </c>
      <c r="Z40" t="s">
        <v>28</v>
      </c>
      <c r="AA40">
        <v>3</v>
      </c>
      <c r="AB40" s="4">
        <v>3</v>
      </c>
      <c r="AC40" s="2">
        <v>3</v>
      </c>
      <c r="AD40" s="4">
        <f t="shared" si="18"/>
        <v>1</v>
      </c>
      <c r="AE40" s="5" t="str">
        <f t="shared" si="19"/>
        <v>B</v>
      </c>
      <c r="AF40" t="s">
        <v>29</v>
      </c>
      <c r="AI40" s="4">
        <v>3</v>
      </c>
      <c r="AJ40" s="4">
        <v>3</v>
      </c>
      <c r="AK40" s="4">
        <f t="shared" si="20"/>
        <v>3</v>
      </c>
      <c r="AL40" s="4">
        <f t="shared" si="21"/>
        <v>1</v>
      </c>
      <c r="AM40" s="5" t="str">
        <f t="shared" si="22"/>
        <v>B</v>
      </c>
      <c r="AN40" s="4" t="str">
        <f t="shared" si="23"/>
        <v>Scenario-level Threat=3; Step1=A Step2=A Step3=B Step4=B ; Overall Threat fixed=3, Max Mitigation=3 =&gt; Overall=B</v>
      </c>
    </row>
    <row r="41" spans="1:40" x14ac:dyDescent="0.55000000000000004">
      <c r="A41" s="2" t="s">
        <v>90</v>
      </c>
      <c r="B41" t="s">
        <v>13</v>
      </c>
      <c r="C41">
        <v>3</v>
      </c>
      <c r="D41" s="4">
        <v>3</v>
      </c>
      <c r="E41" s="2">
        <v>2</v>
      </c>
      <c r="F41" s="4">
        <f t="shared" si="12"/>
        <v>2</v>
      </c>
      <c r="G41" s="5" t="str">
        <f t="shared" si="13"/>
        <v>A</v>
      </c>
      <c r="H41" t="s">
        <v>23</v>
      </c>
      <c r="I41" s="2" t="s">
        <v>44</v>
      </c>
      <c r="J41" t="s">
        <v>45</v>
      </c>
      <c r="K41">
        <v>3</v>
      </c>
      <c r="L41" s="4">
        <v>3</v>
      </c>
      <c r="M41" s="2">
        <v>2</v>
      </c>
      <c r="N41" s="4">
        <f t="shared" si="14"/>
        <v>2</v>
      </c>
      <c r="O41" s="5" t="str">
        <f t="shared" si="15"/>
        <v>A</v>
      </c>
      <c r="P41">
        <v>1</v>
      </c>
      <c r="Q41" s="2" t="s">
        <v>33</v>
      </c>
      <c r="R41" t="s">
        <v>34</v>
      </c>
      <c r="S41">
        <v>3</v>
      </c>
      <c r="T41" s="4">
        <v>3</v>
      </c>
      <c r="U41" s="2">
        <v>3</v>
      </c>
      <c r="V41" s="4">
        <f t="shared" si="16"/>
        <v>1</v>
      </c>
      <c r="W41" s="5" t="str">
        <f t="shared" si="17"/>
        <v>B</v>
      </c>
      <c r="X41" t="s">
        <v>35</v>
      </c>
      <c r="Y41" s="2" t="s">
        <v>30</v>
      </c>
      <c r="Z41" t="s">
        <v>31</v>
      </c>
      <c r="AA41">
        <v>3</v>
      </c>
      <c r="AB41" s="4">
        <v>3</v>
      </c>
      <c r="AC41" s="2">
        <v>2</v>
      </c>
      <c r="AD41" s="4">
        <f t="shared" si="18"/>
        <v>2</v>
      </c>
      <c r="AE41" s="5" t="str">
        <f t="shared" si="19"/>
        <v>A</v>
      </c>
      <c r="AF41" t="s">
        <v>32</v>
      </c>
      <c r="AI41" s="4">
        <v>3</v>
      </c>
      <c r="AJ41" s="4">
        <v>3</v>
      </c>
      <c r="AK41" s="4">
        <f t="shared" si="20"/>
        <v>3</v>
      </c>
      <c r="AL41" s="4">
        <f t="shared" si="21"/>
        <v>1</v>
      </c>
      <c r="AM41" s="5" t="str">
        <f t="shared" si="22"/>
        <v>B</v>
      </c>
      <c r="AN41" s="4" t="str">
        <f t="shared" si="23"/>
        <v>Scenario-level Threat=3; Step1=A Step2=A Step3=B Step4=A ; Overall Threat fixed=3, Max Mitigation=3 =&gt; Overall=B</v>
      </c>
    </row>
    <row r="42" spans="1:40" x14ac:dyDescent="0.55000000000000004">
      <c r="A42" s="2" t="s">
        <v>90</v>
      </c>
      <c r="B42" t="s">
        <v>13</v>
      </c>
      <c r="C42">
        <v>3</v>
      </c>
      <c r="D42" s="4">
        <v>3</v>
      </c>
      <c r="E42" s="2">
        <v>2</v>
      </c>
      <c r="F42" s="4">
        <f t="shared" si="12"/>
        <v>2</v>
      </c>
      <c r="G42" s="5" t="str">
        <f t="shared" si="13"/>
        <v>A</v>
      </c>
      <c r="H42" t="s">
        <v>23</v>
      </c>
      <c r="I42" s="2" t="s">
        <v>44</v>
      </c>
      <c r="J42" t="s">
        <v>45</v>
      </c>
      <c r="K42">
        <v>3</v>
      </c>
      <c r="L42" s="4">
        <v>3</v>
      </c>
      <c r="M42" s="2">
        <v>2</v>
      </c>
      <c r="N42" s="4">
        <f t="shared" si="14"/>
        <v>2</v>
      </c>
      <c r="O42" s="5" t="str">
        <f t="shared" si="15"/>
        <v>A</v>
      </c>
      <c r="P42">
        <v>1</v>
      </c>
      <c r="Q42" s="2" t="s">
        <v>36</v>
      </c>
      <c r="R42" t="s">
        <v>37</v>
      </c>
      <c r="S42">
        <v>3</v>
      </c>
      <c r="T42" s="4">
        <v>3</v>
      </c>
      <c r="U42" s="2">
        <v>3</v>
      </c>
      <c r="V42" s="4">
        <f t="shared" si="16"/>
        <v>1</v>
      </c>
      <c r="W42" s="5" t="str">
        <f t="shared" si="17"/>
        <v>B</v>
      </c>
      <c r="X42" t="s">
        <v>38</v>
      </c>
      <c r="Y42" s="2" t="s">
        <v>20</v>
      </c>
      <c r="Z42" t="s">
        <v>21</v>
      </c>
      <c r="AA42">
        <v>3</v>
      </c>
      <c r="AB42" s="4">
        <v>3</v>
      </c>
      <c r="AC42" s="2">
        <v>2</v>
      </c>
      <c r="AD42" s="4">
        <f t="shared" si="18"/>
        <v>2</v>
      </c>
      <c r="AE42" s="5" t="str">
        <f t="shared" si="19"/>
        <v>A</v>
      </c>
      <c r="AF42" t="s">
        <v>22</v>
      </c>
      <c r="AI42" s="4">
        <v>3</v>
      </c>
      <c r="AJ42" s="4">
        <v>3</v>
      </c>
      <c r="AK42" s="4">
        <f t="shared" si="20"/>
        <v>3</v>
      </c>
      <c r="AL42" s="4">
        <f t="shared" si="21"/>
        <v>1</v>
      </c>
      <c r="AM42" s="5" t="str">
        <f t="shared" si="22"/>
        <v>B</v>
      </c>
      <c r="AN42" s="4" t="str">
        <f t="shared" si="23"/>
        <v>Scenario-level Threat=3; Step1=A Step2=A Step3=B Step4=A ; Overall Threat fixed=3, Max Mitigation=3 =&gt; Overall=B</v>
      </c>
    </row>
    <row r="43" spans="1:40" x14ac:dyDescent="0.55000000000000004">
      <c r="A43" s="2" t="s">
        <v>90</v>
      </c>
      <c r="B43" t="s">
        <v>13</v>
      </c>
      <c r="C43">
        <v>3</v>
      </c>
      <c r="D43" s="4">
        <v>3</v>
      </c>
      <c r="E43" s="2">
        <v>2</v>
      </c>
      <c r="F43" s="4">
        <f t="shared" si="12"/>
        <v>2</v>
      </c>
      <c r="G43" s="5" t="str">
        <f t="shared" si="13"/>
        <v>A</v>
      </c>
      <c r="H43" t="s">
        <v>23</v>
      </c>
      <c r="I43" s="2" t="s">
        <v>44</v>
      </c>
      <c r="J43" t="s">
        <v>45</v>
      </c>
      <c r="K43">
        <v>3</v>
      </c>
      <c r="L43" s="4">
        <v>3</v>
      </c>
      <c r="M43" s="2">
        <v>2</v>
      </c>
      <c r="N43" s="4">
        <f t="shared" si="14"/>
        <v>2</v>
      </c>
      <c r="O43" s="5" t="str">
        <f t="shared" si="15"/>
        <v>A</v>
      </c>
      <c r="P43">
        <v>1</v>
      </c>
      <c r="Q43" s="2" t="s">
        <v>36</v>
      </c>
      <c r="R43" t="s">
        <v>37</v>
      </c>
      <c r="S43">
        <v>3</v>
      </c>
      <c r="T43" s="4">
        <v>3</v>
      </c>
      <c r="U43" s="2">
        <v>3</v>
      </c>
      <c r="V43" s="4">
        <f t="shared" si="16"/>
        <v>1</v>
      </c>
      <c r="W43" s="5" t="str">
        <f t="shared" si="17"/>
        <v>B</v>
      </c>
      <c r="X43" t="s">
        <v>38</v>
      </c>
      <c r="Y43" s="2" t="s">
        <v>24</v>
      </c>
      <c r="Z43" t="s">
        <v>25</v>
      </c>
      <c r="AA43">
        <v>3</v>
      </c>
      <c r="AB43" s="4">
        <v>3</v>
      </c>
      <c r="AC43" s="2">
        <v>2</v>
      </c>
      <c r="AD43" s="4">
        <f t="shared" si="18"/>
        <v>2</v>
      </c>
      <c r="AE43" s="5" t="str">
        <f t="shared" si="19"/>
        <v>A</v>
      </c>
      <c r="AF43" t="s">
        <v>26</v>
      </c>
      <c r="AI43" s="4">
        <v>3</v>
      </c>
      <c r="AJ43" s="4">
        <v>3</v>
      </c>
      <c r="AK43" s="4">
        <f t="shared" si="20"/>
        <v>3</v>
      </c>
      <c r="AL43" s="4">
        <f t="shared" si="21"/>
        <v>1</v>
      </c>
      <c r="AM43" s="5" t="str">
        <f t="shared" si="22"/>
        <v>B</v>
      </c>
      <c r="AN43" s="4" t="str">
        <f t="shared" si="23"/>
        <v>Scenario-level Threat=3; Step1=A Step2=A Step3=B Step4=A ; Overall Threat fixed=3, Max Mitigation=3 =&gt; Overall=B</v>
      </c>
    </row>
    <row r="44" spans="1:40" x14ac:dyDescent="0.55000000000000004">
      <c r="A44" s="2" t="s">
        <v>90</v>
      </c>
      <c r="B44" t="s">
        <v>13</v>
      </c>
      <c r="C44">
        <v>3</v>
      </c>
      <c r="D44" s="4">
        <v>3</v>
      </c>
      <c r="E44" s="2">
        <v>2</v>
      </c>
      <c r="F44" s="4">
        <f t="shared" si="12"/>
        <v>2</v>
      </c>
      <c r="G44" s="5" t="str">
        <f t="shared" si="13"/>
        <v>A</v>
      </c>
      <c r="H44" t="s">
        <v>23</v>
      </c>
      <c r="I44" s="2" t="s">
        <v>44</v>
      </c>
      <c r="J44" t="s">
        <v>45</v>
      </c>
      <c r="K44">
        <v>3</v>
      </c>
      <c r="L44" s="4">
        <v>3</v>
      </c>
      <c r="M44" s="2">
        <v>2</v>
      </c>
      <c r="N44" s="4">
        <f t="shared" si="14"/>
        <v>2</v>
      </c>
      <c r="O44" s="5" t="str">
        <f t="shared" si="15"/>
        <v>A</v>
      </c>
      <c r="P44">
        <v>1</v>
      </c>
      <c r="Q44" s="2" t="s">
        <v>36</v>
      </c>
      <c r="R44" t="s">
        <v>37</v>
      </c>
      <c r="S44">
        <v>3</v>
      </c>
      <c r="T44" s="4">
        <v>3</v>
      </c>
      <c r="U44" s="2">
        <v>3</v>
      </c>
      <c r="V44" s="4">
        <f t="shared" si="16"/>
        <v>1</v>
      </c>
      <c r="W44" s="5" t="str">
        <f t="shared" si="17"/>
        <v>B</v>
      </c>
      <c r="X44" t="s">
        <v>38</v>
      </c>
      <c r="Y44" s="2" t="s">
        <v>27</v>
      </c>
      <c r="Z44" t="s">
        <v>28</v>
      </c>
      <c r="AA44">
        <v>3</v>
      </c>
      <c r="AB44" s="4">
        <v>3</v>
      </c>
      <c r="AC44" s="2">
        <v>3</v>
      </c>
      <c r="AD44" s="4">
        <f t="shared" si="18"/>
        <v>1</v>
      </c>
      <c r="AE44" s="5" t="str">
        <f t="shared" si="19"/>
        <v>B</v>
      </c>
      <c r="AF44" t="s">
        <v>29</v>
      </c>
      <c r="AI44" s="4">
        <v>3</v>
      </c>
      <c r="AJ44" s="4">
        <v>3</v>
      </c>
      <c r="AK44" s="4">
        <f t="shared" si="20"/>
        <v>3</v>
      </c>
      <c r="AL44" s="4">
        <f t="shared" si="21"/>
        <v>1</v>
      </c>
      <c r="AM44" s="5" t="str">
        <f t="shared" si="22"/>
        <v>B</v>
      </c>
      <c r="AN44" s="4" t="str">
        <f t="shared" si="23"/>
        <v>Scenario-level Threat=3; Step1=A Step2=A Step3=B Step4=B ; Overall Threat fixed=3, Max Mitigation=3 =&gt; Overall=B</v>
      </c>
    </row>
    <row r="45" spans="1:40" x14ac:dyDescent="0.55000000000000004">
      <c r="A45" s="2" t="s">
        <v>90</v>
      </c>
      <c r="B45" t="s">
        <v>13</v>
      </c>
      <c r="C45">
        <v>3</v>
      </c>
      <c r="D45" s="4">
        <v>3</v>
      </c>
      <c r="E45" s="2">
        <v>2</v>
      </c>
      <c r="F45" s="4">
        <f t="shared" si="12"/>
        <v>2</v>
      </c>
      <c r="G45" s="5" t="str">
        <f t="shared" si="13"/>
        <v>A</v>
      </c>
      <c r="H45" t="s">
        <v>23</v>
      </c>
      <c r="I45" s="2" t="s">
        <v>44</v>
      </c>
      <c r="J45" t="s">
        <v>45</v>
      </c>
      <c r="K45">
        <v>3</v>
      </c>
      <c r="L45" s="4">
        <v>3</v>
      </c>
      <c r="M45" s="2">
        <v>2</v>
      </c>
      <c r="N45" s="4">
        <f t="shared" si="14"/>
        <v>2</v>
      </c>
      <c r="O45" s="5" t="str">
        <f t="shared" si="15"/>
        <v>A</v>
      </c>
      <c r="P45">
        <v>1</v>
      </c>
      <c r="Q45" s="2" t="s">
        <v>36</v>
      </c>
      <c r="R45" t="s">
        <v>37</v>
      </c>
      <c r="S45">
        <v>3</v>
      </c>
      <c r="T45" s="4">
        <v>3</v>
      </c>
      <c r="U45" s="2">
        <v>3</v>
      </c>
      <c r="V45" s="4">
        <f t="shared" si="16"/>
        <v>1</v>
      </c>
      <c r="W45" s="5" t="str">
        <f t="shared" si="17"/>
        <v>B</v>
      </c>
      <c r="X45" t="s">
        <v>38</v>
      </c>
      <c r="Y45" s="2" t="s">
        <v>30</v>
      </c>
      <c r="Z45" t="s">
        <v>31</v>
      </c>
      <c r="AA45">
        <v>3</v>
      </c>
      <c r="AB45" s="4">
        <v>3</v>
      </c>
      <c r="AC45" s="2">
        <v>2</v>
      </c>
      <c r="AD45" s="4">
        <f t="shared" si="18"/>
        <v>2</v>
      </c>
      <c r="AE45" s="5" t="str">
        <f t="shared" si="19"/>
        <v>A</v>
      </c>
      <c r="AF45" t="s">
        <v>32</v>
      </c>
      <c r="AI45" s="4">
        <v>3</v>
      </c>
      <c r="AJ45" s="4">
        <v>3</v>
      </c>
      <c r="AK45" s="4">
        <f t="shared" si="20"/>
        <v>3</v>
      </c>
      <c r="AL45" s="4">
        <f t="shared" si="21"/>
        <v>1</v>
      </c>
      <c r="AM45" s="5" t="str">
        <f t="shared" si="22"/>
        <v>B</v>
      </c>
      <c r="AN45" s="4" t="str">
        <f t="shared" si="23"/>
        <v>Scenario-level Threat=3; Step1=A Step2=A Step3=B Step4=A ; Overall Threat fixed=3, Max Mitigation=3 =&gt; Overall=B</v>
      </c>
    </row>
    <row r="46" spans="1:40" x14ac:dyDescent="0.55000000000000004">
      <c r="A46" s="2" t="s">
        <v>90</v>
      </c>
      <c r="B46" t="s">
        <v>13</v>
      </c>
      <c r="C46">
        <v>3</v>
      </c>
      <c r="D46" s="4">
        <v>3</v>
      </c>
      <c r="E46" s="2">
        <v>2</v>
      </c>
      <c r="F46" s="4">
        <f t="shared" si="12"/>
        <v>2</v>
      </c>
      <c r="G46" s="5" t="str">
        <f t="shared" si="13"/>
        <v>A</v>
      </c>
      <c r="H46" t="s">
        <v>23</v>
      </c>
      <c r="I46" s="2" t="s">
        <v>44</v>
      </c>
      <c r="J46" t="s">
        <v>45</v>
      </c>
      <c r="K46">
        <v>3</v>
      </c>
      <c r="L46" s="4">
        <v>3</v>
      </c>
      <c r="M46" s="2">
        <v>2</v>
      </c>
      <c r="N46" s="4">
        <f t="shared" si="14"/>
        <v>2</v>
      </c>
      <c r="O46" s="5" t="str">
        <f t="shared" si="15"/>
        <v>A</v>
      </c>
      <c r="P46">
        <v>1</v>
      </c>
      <c r="Q46" s="2" t="s">
        <v>39</v>
      </c>
      <c r="R46" t="s">
        <v>40</v>
      </c>
      <c r="S46">
        <v>3</v>
      </c>
      <c r="T46" s="4">
        <v>3</v>
      </c>
      <c r="U46" s="2">
        <v>3</v>
      </c>
      <c r="V46" s="4">
        <f t="shared" si="16"/>
        <v>1</v>
      </c>
      <c r="W46" s="5" t="str">
        <f t="shared" si="17"/>
        <v>B</v>
      </c>
      <c r="X46" t="s">
        <v>41</v>
      </c>
      <c r="Y46" s="2" t="s">
        <v>20</v>
      </c>
      <c r="Z46" t="s">
        <v>21</v>
      </c>
      <c r="AA46">
        <v>3</v>
      </c>
      <c r="AB46" s="4">
        <v>3</v>
      </c>
      <c r="AC46" s="2">
        <v>2</v>
      </c>
      <c r="AD46" s="4">
        <f t="shared" si="18"/>
        <v>2</v>
      </c>
      <c r="AE46" s="5" t="str">
        <f t="shared" si="19"/>
        <v>A</v>
      </c>
      <c r="AF46" t="s">
        <v>22</v>
      </c>
      <c r="AI46" s="4">
        <v>3</v>
      </c>
      <c r="AJ46" s="4">
        <v>3</v>
      </c>
      <c r="AK46" s="4">
        <f t="shared" si="20"/>
        <v>3</v>
      </c>
      <c r="AL46" s="4">
        <f t="shared" si="21"/>
        <v>1</v>
      </c>
      <c r="AM46" s="5" t="str">
        <f t="shared" si="22"/>
        <v>B</v>
      </c>
      <c r="AN46" s="4" t="str">
        <f t="shared" si="23"/>
        <v>Scenario-level Threat=3; Step1=A Step2=A Step3=B Step4=A ; Overall Threat fixed=3, Max Mitigation=3 =&gt; Overall=B</v>
      </c>
    </row>
    <row r="47" spans="1:40" x14ac:dyDescent="0.55000000000000004">
      <c r="A47" s="2" t="s">
        <v>90</v>
      </c>
      <c r="B47" t="s">
        <v>13</v>
      </c>
      <c r="C47">
        <v>3</v>
      </c>
      <c r="D47" s="4">
        <v>3</v>
      </c>
      <c r="E47" s="2">
        <v>2</v>
      </c>
      <c r="F47" s="4">
        <f t="shared" si="12"/>
        <v>2</v>
      </c>
      <c r="G47" s="5" t="str">
        <f t="shared" si="13"/>
        <v>A</v>
      </c>
      <c r="H47" t="s">
        <v>23</v>
      </c>
      <c r="I47" s="2" t="s">
        <v>44</v>
      </c>
      <c r="J47" t="s">
        <v>45</v>
      </c>
      <c r="K47">
        <v>3</v>
      </c>
      <c r="L47" s="4">
        <v>3</v>
      </c>
      <c r="M47" s="2">
        <v>2</v>
      </c>
      <c r="N47" s="4">
        <f t="shared" si="14"/>
        <v>2</v>
      </c>
      <c r="O47" s="5" t="str">
        <f t="shared" si="15"/>
        <v>A</v>
      </c>
      <c r="P47">
        <v>1</v>
      </c>
      <c r="Q47" s="2" t="s">
        <v>39</v>
      </c>
      <c r="R47" t="s">
        <v>40</v>
      </c>
      <c r="S47">
        <v>3</v>
      </c>
      <c r="T47" s="4">
        <v>3</v>
      </c>
      <c r="U47" s="2">
        <v>3</v>
      </c>
      <c r="V47" s="4">
        <f t="shared" si="16"/>
        <v>1</v>
      </c>
      <c r="W47" s="5" t="str">
        <f t="shared" si="17"/>
        <v>B</v>
      </c>
      <c r="X47" t="s">
        <v>41</v>
      </c>
      <c r="Y47" s="2" t="s">
        <v>24</v>
      </c>
      <c r="Z47" t="s">
        <v>25</v>
      </c>
      <c r="AA47">
        <v>3</v>
      </c>
      <c r="AB47" s="4">
        <v>3</v>
      </c>
      <c r="AC47" s="2">
        <v>2</v>
      </c>
      <c r="AD47" s="4">
        <f t="shared" si="18"/>
        <v>2</v>
      </c>
      <c r="AE47" s="5" t="str">
        <f t="shared" si="19"/>
        <v>A</v>
      </c>
      <c r="AF47" t="s">
        <v>26</v>
      </c>
      <c r="AI47" s="4">
        <v>3</v>
      </c>
      <c r="AJ47" s="4">
        <v>3</v>
      </c>
      <c r="AK47" s="4">
        <f t="shared" si="20"/>
        <v>3</v>
      </c>
      <c r="AL47" s="4">
        <f t="shared" si="21"/>
        <v>1</v>
      </c>
      <c r="AM47" s="5" t="str">
        <f t="shared" si="22"/>
        <v>B</v>
      </c>
      <c r="AN47" s="4" t="str">
        <f t="shared" si="23"/>
        <v>Scenario-level Threat=3; Step1=A Step2=A Step3=B Step4=A ; Overall Threat fixed=3, Max Mitigation=3 =&gt; Overall=B</v>
      </c>
    </row>
    <row r="48" spans="1:40" x14ac:dyDescent="0.55000000000000004">
      <c r="A48" s="2" t="s">
        <v>90</v>
      </c>
      <c r="B48" t="s">
        <v>13</v>
      </c>
      <c r="C48">
        <v>3</v>
      </c>
      <c r="D48" s="4">
        <v>3</v>
      </c>
      <c r="E48" s="2">
        <v>2</v>
      </c>
      <c r="F48" s="4">
        <f t="shared" si="12"/>
        <v>2</v>
      </c>
      <c r="G48" s="5" t="str">
        <f t="shared" si="13"/>
        <v>A</v>
      </c>
      <c r="H48" t="s">
        <v>23</v>
      </c>
      <c r="I48" s="2" t="s">
        <v>44</v>
      </c>
      <c r="J48" t="s">
        <v>45</v>
      </c>
      <c r="K48">
        <v>3</v>
      </c>
      <c r="L48" s="4">
        <v>3</v>
      </c>
      <c r="M48" s="2">
        <v>2</v>
      </c>
      <c r="N48" s="4">
        <f t="shared" si="14"/>
        <v>2</v>
      </c>
      <c r="O48" s="5" t="str">
        <f t="shared" si="15"/>
        <v>A</v>
      </c>
      <c r="P48">
        <v>1</v>
      </c>
      <c r="Q48" s="2" t="s">
        <v>39</v>
      </c>
      <c r="R48" t="s">
        <v>40</v>
      </c>
      <c r="S48">
        <v>3</v>
      </c>
      <c r="T48" s="4">
        <v>3</v>
      </c>
      <c r="U48" s="2">
        <v>3</v>
      </c>
      <c r="V48" s="4">
        <f t="shared" si="16"/>
        <v>1</v>
      </c>
      <c r="W48" s="5" t="str">
        <f t="shared" si="17"/>
        <v>B</v>
      </c>
      <c r="X48" t="s">
        <v>41</v>
      </c>
      <c r="Y48" s="2" t="s">
        <v>27</v>
      </c>
      <c r="Z48" t="s">
        <v>28</v>
      </c>
      <c r="AA48">
        <v>3</v>
      </c>
      <c r="AB48" s="4">
        <v>3</v>
      </c>
      <c r="AC48" s="2">
        <v>3</v>
      </c>
      <c r="AD48" s="4">
        <f t="shared" si="18"/>
        <v>1</v>
      </c>
      <c r="AE48" s="5" t="str">
        <f t="shared" si="19"/>
        <v>B</v>
      </c>
      <c r="AF48" t="s">
        <v>29</v>
      </c>
      <c r="AI48" s="4">
        <v>3</v>
      </c>
      <c r="AJ48" s="4">
        <v>3</v>
      </c>
      <c r="AK48" s="4">
        <f t="shared" si="20"/>
        <v>3</v>
      </c>
      <c r="AL48" s="4">
        <f t="shared" si="21"/>
        <v>1</v>
      </c>
      <c r="AM48" s="5" t="str">
        <f t="shared" si="22"/>
        <v>B</v>
      </c>
      <c r="AN48" s="4" t="str">
        <f t="shared" si="23"/>
        <v>Scenario-level Threat=3; Step1=A Step2=A Step3=B Step4=B ; Overall Threat fixed=3, Max Mitigation=3 =&gt; Overall=B</v>
      </c>
    </row>
    <row r="49" spans="1:40" x14ac:dyDescent="0.55000000000000004">
      <c r="A49" s="2" t="s">
        <v>90</v>
      </c>
      <c r="B49" t="s">
        <v>13</v>
      </c>
      <c r="C49">
        <v>3</v>
      </c>
      <c r="D49" s="4">
        <v>3</v>
      </c>
      <c r="E49" s="2">
        <v>2</v>
      </c>
      <c r="F49" s="4">
        <f t="shared" si="12"/>
        <v>2</v>
      </c>
      <c r="G49" s="5" t="str">
        <f t="shared" si="13"/>
        <v>A</v>
      </c>
      <c r="H49" t="s">
        <v>23</v>
      </c>
      <c r="I49" s="2" t="s">
        <v>44</v>
      </c>
      <c r="J49" t="s">
        <v>45</v>
      </c>
      <c r="K49">
        <v>3</v>
      </c>
      <c r="L49" s="4">
        <v>3</v>
      </c>
      <c r="M49" s="2">
        <v>2</v>
      </c>
      <c r="N49" s="4">
        <f t="shared" si="14"/>
        <v>2</v>
      </c>
      <c r="O49" s="5" t="str">
        <f t="shared" si="15"/>
        <v>A</v>
      </c>
      <c r="P49">
        <v>1</v>
      </c>
      <c r="Q49" s="2" t="s">
        <v>39</v>
      </c>
      <c r="R49" t="s">
        <v>40</v>
      </c>
      <c r="S49">
        <v>3</v>
      </c>
      <c r="T49" s="4">
        <v>3</v>
      </c>
      <c r="U49" s="2">
        <v>3</v>
      </c>
      <c r="V49" s="4">
        <f t="shared" si="16"/>
        <v>1</v>
      </c>
      <c r="W49" s="5" t="str">
        <f t="shared" si="17"/>
        <v>B</v>
      </c>
      <c r="X49" t="s">
        <v>41</v>
      </c>
      <c r="Y49" s="2" t="s">
        <v>30</v>
      </c>
      <c r="Z49" t="s">
        <v>31</v>
      </c>
      <c r="AA49">
        <v>3</v>
      </c>
      <c r="AB49" s="4">
        <v>3</v>
      </c>
      <c r="AC49" s="2">
        <v>2</v>
      </c>
      <c r="AD49" s="4">
        <f t="shared" si="18"/>
        <v>2</v>
      </c>
      <c r="AE49" s="5" t="str">
        <f t="shared" si="19"/>
        <v>A</v>
      </c>
      <c r="AF49" t="s">
        <v>32</v>
      </c>
      <c r="AI49" s="4">
        <v>3</v>
      </c>
      <c r="AJ49" s="4">
        <v>3</v>
      </c>
      <c r="AK49" s="4">
        <f t="shared" si="20"/>
        <v>3</v>
      </c>
      <c r="AL49" s="4">
        <f t="shared" si="21"/>
        <v>1</v>
      </c>
      <c r="AM49" s="5" t="str">
        <f t="shared" si="22"/>
        <v>B</v>
      </c>
      <c r="AN49" s="4" t="str">
        <f t="shared" si="23"/>
        <v>Scenario-level Threat=3; Step1=A Step2=A Step3=B Step4=A ; Overall Threat fixed=3, Max Mitigation=3 =&gt; Overall=B</v>
      </c>
    </row>
    <row r="50" spans="1:40" x14ac:dyDescent="0.55000000000000004">
      <c r="A50" s="2" t="s">
        <v>90</v>
      </c>
      <c r="B50" t="s">
        <v>13</v>
      </c>
      <c r="C50">
        <v>3</v>
      </c>
      <c r="D50" s="4">
        <v>3</v>
      </c>
      <c r="E50" s="2">
        <v>2</v>
      </c>
      <c r="F50" s="4">
        <f t="shared" si="12"/>
        <v>2</v>
      </c>
      <c r="G50" s="5" t="str">
        <f t="shared" si="13"/>
        <v>A</v>
      </c>
      <c r="H50" t="s">
        <v>23</v>
      </c>
      <c r="I50" s="2" t="s">
        <v>46</v>
      </c>
      <c r="J50" t="s">
        <v>47</v>
      </c>
      <c r="K50">
        <v>3</v>
      </c>
      <c r="L50" s="4">
        <v>3</v>
      </c>
      <c r="M50" s="2">
        <v>3</v>
      </c>
      <c r="N50" s="4">
        <f t="shared" si="14"/>
        <v>1</v>
      </c>
      <c r="O50" s="5" t="str">
        <f t="shared" si="15"/>
        <v>B</v>
      </c>
      <c r="P50">
        <v>1</v>
      </c>
      <c r="Q50" s="2" t="s">
        <v>17</v>
      </c>
      <c r="R50" t="s">
        <v>18</v>
      </c>
      <c r="S50">
        <v>3</v>
      </c>
      <c r="T50" s="4">
        <v>3</v>
      </c>
      <c r="U50" s="2">
        <v>3</v>
      </c>
      <c r="V50" s="4">
        <f t="shared" si="16"/>
        <v>1</v>
      </c>
      <c r="W50" s="5" t="str">
        <f t="shared" si="17"/>
        <v>B</v>
      </c>
      <c r="X50" t="s">
        <v>19</v>
      </c>
      <c r="Y50" s="2" t="s">
        <v>20</v>
      </c>
      <c r="Z50" t="s">
        <v>21</v>
      </c>
      <c r="AA50">
        <v>3</v>
      </c>
      <c r="AB50" s="4">
        <v>3</v>
      </c>
      <c r="AC50" s="2">
        <v>2</v>
      </c>
      <c r="AD50" s="4">
        <f t="shared" si="18"/>
        <v>2</v>
      </c>
      <c r="AE50" s="5" t="str">
        <f t="shared" si="19"/>
        <v>A</v>
      </c>
      <c r="AF50" t="s">
        <v>22</v>
      </c>
      <c r="AI50" s="4">
        <v>3</v>
      </c>
      <c r="AJ50" s="4">
        <v>3</v>
      </c>
      <c r="AK50" s="4">
        <f t="shared" si="20"/>
        <v>3</v>
      </c>
      <c r="AL50" s="4">
        <f t="shared" si="21"/>
        <v>1</v>
      </c>
      <c r="AM50" s="5" t="str">
        <f t="shared" si="22"/>
        <v>B</v>
      </c>
      <c r="AN50" s="4" t="str">
        <f t="shared" si="23"/>
        <v>Scenario-level Threat=3; Step1=A Step2=B Step3=B Step4=A ; Overall Threat fixed=3, Max Mitigation=3 =&gt; Overall=B</v>
      </c>
    </row>
    <row r="51" spans="1:40" x14ac:dyDescent="0.55000000000000004">
      <c r="A51" s="2" t="s">
        <v>90</v>
      </c>
      <c r="B51" t="s">
        <v>13</v>
      </c>
      <c r="C51">
        <v>3</v>
      </c>
      <c r="D51" s="4">
        <v>3</v>
      </c>
      <c r="E51" s="2">
        <v>2</v>
      </c>
      <c r="F51" s="4">
        <f t="shared" si="12"/>
        <v>2</v>
      </c>
      <c r="G51" s="5" t="str">
        <f t="shared" si="13"/>
        <v>A</v>
      </c>
      <c r="H51" t="s">
        <v>23</v>
      </c>
      <c r="I51" s="2" t="s">
        <v>46</v>
      </c>
      <c r="J51" t="s">
        <v>47</v>
      </c>
      <c r="K51">
        <v>3</v>
      </c>
      <c r="L51" s="4">
        <v>3</v>
      </c>
      <c r="M51" s="2">
        <v>3</v>
      </c>
      <c r="N51" s="4">
        <f t="shared" si="14"/>
        <v>1</v>
      </c>
      <c r="O51" s="5" t="str">
        <f t="shared" si="15"/>
        <v>B</v>
      </c>
      <c r="P51">
        <v>1</v>
      </c>
      <c r="Q51" s="2" t="s">
        <v>17</v>
      </c>
      <c r="R51" t="s">
        <v>18</v>
      </c>
      <c r="S51">
        <v>3</v>
      </c>
      <c r="T51" s="4">
        <v>3</v>
      </c>
      <c r="U51" s="2">
        <v>3</v>
      </c>
      <c r="V51" s="4">
        <f t="shared" si="16"/>
        <v>1</v>
      </c>
      <c r="W51" s="5" t="str">
        <f t="shared" si="17"/>
        <v>B</v>
      </c>
      <c r="X51" t="s">
        <v>19</v>
      </c>
      <c r="Y51" s="2" t="s">
        <v>24</v>
      </c>
      <c r="Z51" t="s">
        <v>25</v>
      </c>
      <c r="AA51">
        <v>3</v>
      </c>
      <c r="AB51" s="4">
        <v>3</v>
      </c>
      <c r="AC51" s="2">
        <v>2</v>
      </c>
      <c r="AD51" s="4">
        <f t="shared" si="18"/>
        <v>2</v>
      </c>
      <c r="AE51" s="5" t="str">
        <f t="shared" si="19"/>
        <v>A</v>
      </c>
      <c r="AF51" t="s">
        <v>26</v>
      </c>
      <c r="AI51" s="4">
        <v>3</v>
      </c>
      <c r="AJ51" s="4">
        <v>3</v>
      </c>
      <c r="AK51" s="4">
        <f t="shared" si="20"/>
        <v>3</v>
      </c>
      <c r="AL51" s="4">
        <f t="shared" si="21"/>
        <v>1</v>
      </c>
      <c r="AM51" s="5" t="str">
        <f t="shared" si="22"/>
        <v>B</v>
      </c>
      <c r="AN51" s="4" t="str">
        <f t="shared" si="23"/>
        <v>Scenario-level Threat=3; Step1=A Step2=B Step3=B Step4=A ; Overall Threat fixed=3, Max Mitigation=3 =&gt; Overall=B</v>
      </c>
    </row>
    <row r="52" spans="1:40" x14ac:dyDescent="0.55000000000000004">
      <c r="A52" s="2" t="s">
        <v>90</v>
      </c>
      <c r="B52" t="s">
        <v>13</v>
      </c>
      <c r="C52">
        <v>3</v>
      </c>
      <c r="D52" s="4">
        <v>3</v>
      </c>
      <c r="E52" s="2">
        <v>2</v>
      </c>
      <c r="F52" s="4">
        <f t="shared" si="12"/>
        <v>2</v>
      </c>
      <c r="G52" s="5" t="str">
        <f t="shared" si="13"/>
        <v>A</v>
      </c>
      <c r="H52" t="s">
        <v>23</v>
      </c>
      <c r="I52" s="2" t="s">
        <v>46</v>
      </c>
      <c r="J52" t="s">
        <v>47</v>
      </c>
      <c r="K52">
        <v>3</v>
      </c>
      <c r="L52" s="4">
        <v>3</v>
      </c>
      <c r="M52" s="2">
        <v>3</v>
      </c>
      <c r="N52" s="4">
        <f t="shared" si="14"/>
        <v>1</v>
      </c>
      <c r="O52" s="5" t="str">
        <f t="shared" si="15"/>
        <v>B</v>
      </c>
      <c r="P52">
        <v>1</v>
      </c>
      <c r="Q52" s="2" t="s">
        <v>17</v>
      </c>
      <c r="R52" t="s">
        <v>18</v>
      </c>
      <c r="S52">
        <v>3</v>
      </c>
      <c r="T52" s="4">
        <v>3</v>
      </c>
      <c r="U52" s="2">
        <v>3</v>
      </c>
      <c r="V52" s="4">
        <f t="shared" si="16"/>
        <v>1</v>
      </c>
      <c r="W52" s="5" t="str">
        <f t="shared" si="17"/>
        <v>B</v>
      </c>
      <c r="X52" t="s">
        <v>19</v>
      </c>
      <c r="Y52" s="2" t="s">
        <v>27</v>
      </c>
      <c r="Z52" t="s">
        <v>28</v>
      </c>
      <c r="AA52">
        <v>3</v>
      </c>
      <c r="AB52" s="4">
        <v>3</v>
      </c>
      <c r="AC52" s="2">
        <v>3</v>
      </c>
      <c r="AD52" s="4">
        <f t="shared" si="18"/>
        <v>1</v>
      </c>
      <c r="AE52" s="5" t="str">
        <f t="shared" si="19"/>
        <v>B</v>
      </c>
      <c r="AF52" t="s">
        <v>29</v>
      </c>
      <c r="AI52" s="4">
        <v>3</v>
      </c>
      <c r="AJ52" s="4">
        <v>3</v>
      </c>
      <c r="AK52" s="4">
        <f t="shared" si="20"/>
        <v>3</v>
      </c>
      <c r="AL52" s="4">
        <f t="shared" si="21"/>
        <v>1</v>
      </c>
      <c r="AM52" s="5" t="str">
        <f t="shared" si="22"/>
        <v>B</v>
      </c>
      <c r="AN52" s="4" t="str">
        <f t="shared" si="23"/>
        <v>Scenario-level Threat=3; Step1=A Step2=B Step3=B Step4=B ; Overall Threat fixed=3, Max Mitigation=3 =&gt; Overall=B</v>
      </c>
    </row>
    <row r="53" spans="1:40" x14ac:dyDescent="0.55000000000000004">
      <c r="A53" s="2" t="s">
        <v>90</v>
      </c>
      <c r="B53" t="s">
        <v>13</v>
      </c>
      <c r="C53">
        <v>3</v>
      </c>
      <c r="D53" s="4">
        <v>3</v>
      </c>
      <c r="E53" s="2">
        <v>2</v>
      </c>
      <c r="F53" s="4">
        <f t="shared" si="12"/>
        <v>2</v>
      </c>
      <c r="G53" s="5" t="str">
        <f t="shared" si="13"/>
        <v>A</v>
      </c>
      <c r="H53" t="s">
        <v>23</v>
      </c>
      <c r="I53" s="2" t="s">
        <v>46</v>
      </c>
      <c r="J53" t="s">
        <v>47</v>
      </c>
      <c r="K53">
        <v>3</v>
      </c>
      <c r="L53" s="4">
        <v>3</v>
      </c>
      <c r="M53" s="2">
        <v>3</v>
      </c>
      <c r="N53" s="4">
        <f t="shared" si="14"/>
        <v>1</v>
      </c>
      <c r="O53" s="5" t="str">
        <f t="shared" si="15"/>
        <v>B</v>
      </c>
      <c r="P53">
        <v>1</v>
      </c>
      <c r="Q53" s="2" t="s">
        <v>17</v>
      </c>
      <c r="R53" t="s">
        <v>18</v>
      </c>
      <c r="S53">
        <v>3</v>
      </c>
      <c r="T53" s="4">
        <v>3</v>
      </c>
      <c r="U53" s="2">
        <v>3</v>
      </c>
      <c r="V53" s="4">
        <f t="shared" si="16"/>
        <v>1</v>
      </c>
      <c r="W53" s="5" t="str">
        <f t="shared" si="17"/>
        <v>B</v>
      </c>
      <c r="X53" t="s">
        <v>19</v>
      </c>
      <c r="Y53" s="2" t="s">
        <v>30</v>
      </c>
      <c r="Z53" t="s">
        <v>31</v>
      </c>
      <c r="AA53">
        <v>3</v>
      </c>
      <c r="AB53" s="4">
        <v>3</v>
      </c>
      <c r="AC53" s="2">
        <v>2</v>
      </c>
      <c r="AD53" s="4">
        <f t="shared" si="18"/>
        <v>2</v>
      </c>
      <c r="AE53" s="5" t="str">
        <f t="shared" si="19"/>
        <v>A</v>
      </c>
      <c r="AF53" t="s">
        <v>32</v>
      </c>
      <c r="AI53" s="4">
        <v>3</v>
      </c>
      <c r="AJ53" s="4">
        <v>3</v>
      </c>
      <c r="AK53" s="4">
        <f t="shared" si="20"/>
        <v>3</v>
      </c>
      <c r="AL53" s="4">
        <f t="shared" si="21"/>
        <v>1</v>
      </c>
      <c r="AM53" s="5" t="str">
        <f t="shared" si="22"/>
        <v>B</v>
      </c>
      <c r="AN53" s="4" t="str">
        <f t="shared" si="23"/>
        <v>Scenario-level Threat=3; Step1=A Step2=B Step3=B Step4=A ; Overall Threat fixed=3, Max Mitigation=3 =&gt; Overall=B</v>
      </c>
    </row>
    <row r="54" spans="1:40" x14ac:dyDescent="0.55000000000000004">
      <c r="A54" s="2" t="s">
        <v>90</v>
      </c>
      <c r="B54" t="s">
        <v>13</v>
      </c>
      <c r="C54">
        <v>3</v>
      </c>
      <c r="D54" s="4">
        <v>3</v>
      </c>
      <c r="E54" s="2">
        <v>2</v>
      </c>
      <c r="F54" s="4">
        <f t="shared" si="12"/>
        <v>2</v>
      </c>
      <c r="G54" s="5" t="str">
        <f t="shared" si="13"/>
        <v>A</v>
      </c>
      <c r="H54" t="s">
        <v>23</v>
      </c>
      <c r="I54" s="2" t="s">
        <v>46</v>
      </c>
      <c r="J54" t="s">
        <v>47</v>
      </c>
      <c r="K54">
        <v>3</v>
      </c>
      <c r="L54" s="4">
        <v>3</v>
      </c>
      <c r="M54" s="2">
        <v>3</v>
      </c>
      <c r="N54" s="4">
        <f t="shared" si="14"/>
        <v>1</v>
      </c>
      <c r="O54" s="5" t="str">
        <f t="shared" si="15"/>
        <v>B</v>
      </c>
      <c r="P54">
        <v>1</v>
      </c>
      <c r="Q54" s="2" t="s">
        <v>33</v>
      </c>
      <c r="R54" t="s">
        <v>34</v>
      </c>
      <c r="S54">
        <v>3</v>
      </c>
      <c r="T54" s="4">
        <v>3</v>
      </c>
      <c r="U54" s="2">
        <v>3</v>
      </c>
      <c r="V54" s="4">
        <f t="shared" si="16"/>
        <v>1</v>
      </c>
      <c r="W54" s="5" t="str">
        <f t="shared" si="17"/>
        <v>B</v>
      </c>
      <c r="X54" t="s">
        <v>35</v>
      </c>
      <c r="Y54" s="2" t="s">
        <v>20</v>
      </c>
      <c r="Z54" t="s">
        <v>21</v>
      </c>
      <c r="AA54">
        <v>3</v>
      </c>
      <c r="AB54" s="4">
        <v>3</v>
      </c>
      <c r="AC54" s="2">
        <v>2</v>
      </c>
      <c r="AD54" s="4">
        <f t="shared" si="18"/>
        <v>2</v>
      </c>
      <c r="AE54" s="5" t="str">
        <f t="shared" si="19"/>
        <v>A</v>
      </c>
      <c r="AF54" t="s">
        <v>22</v>
      </c>
      <c r="AI54" s="4">
        <v>3</v>
      </c>
      <c r="AJ54" s="4">
        <v>3</v>
      </c>
      <c r="AK54" s="4">
        <f t="shared" si="20"/>
        <v>3</v>
      </c>
      <c r="AL54" s="4">
        <f t="shared" si="21"/>
        <v>1</v>
      </c>
      <c r="AM54" s="5" t="str">
        <f t="shared" si="22"/>
        <v>B</v>
      </c>
      <c r="AN54" s="4" t="str">
        <f t="shared" si="23"/>
        <v>Scenario-level Threat=3; Step1=A Step2=B Step3=B Step4=A ; Overall Threat fixed=3, Max Mitigation=3 =&gt; Overall=B</v>
      </c>
    </row>
    <row r="55" spans="1:40" x14ac:dyDescent="0.55000000000000004">
      <c r="A55" s="2" t="s">
        <v>90</v>
      </c>
      <c r="B55" t="s">
        <v>13</v>
      </c>
      <c r="C55">
        <v>3</v>
      </c>
      <c r="D55" s="4">
        <v>3</v>
      </c>
      <c r="E55" s="2">
        <v>2</v>
      </c>
      <c r="F55" s="4">
        <f t="shared" si="12"/>
        <v>2</v>
      </c>
      <c r="G55" s="5" t="str">
        <f t="shared" si="13"/>
        <v>A</v>
      </c>
      <c r="H55" t="s">
        <v>23</v>
      </c>
      <c r="I55" s="2" t="s">
        <v>46</v>
      </c>
      <c r="J55" t="s">
        <v>47</v>
      </c>
      <c r="K55">
        <v>3</v>
      </c>
      <c r="L55" s="4">
        <v>3</v>
      </c>
      <c r="M55" s="2">
        <v>3</v>
      </c>
      <c r="N55" s="4">
        <f t="shared" si="14"/>
        <v>1</v>
      </c>
      <c r="O55" s="5" t="str">
        <f t="shared" si="15"/>
        <v>B</v>
      </c>
      <c r="P55">
        <v>1</v>
      </c>
      <c r="Q55" s="2" t="s">
        <v>33</v>
      </c>
      <c r="R55" t="s">
        <v>34</v>
      </c>
      <c r="S55">
        <v>3</v>
      </c>
      <c r="T55" s="4">
        <v>3</v>
      </c>
      <c r="U55" s="2">
        <v>3</v>
      </c>
      <c r="V55" s="4">
        <f t="shared" si="16"/>
        <v>1</v>
      </c>
      <c r="W55" s="5" t="str">
        <f t="shared" si="17"/>
        <v>B</v>
      </c>
      <c r="X55" t="s">
        <v>35</v>
      </c>
      <c r="Y55" s="2" t="s">
        <v>24</v>
      </c>
      <c r="Z55" t="s">
        <v>25</v>
      </c>
      <c r="AA55">
        <v>3</v>
      </c>
      <c r="AB55" s="4">
        <v>3</v>
      </c>
      <c r="AC55" s="2">
        <v>2</v>
      </c>
      <c r="AD55" s="4">
        <f t="shared" si="18"/>
        <v>2</v>
      </c>
      <c r="AE55" s="5" t="str">
        <f t="shared" si="19"/>
        <v>A</v>
      </c>
      <c r="AF55" t="s">
        <v>26</v>
      </c>
      <c r="AI55" s="4">
        <v>3</v>
      </c>
      <c r="AJ55" s="4">
        <v>3</v>
      </c>
      <c r="AK55" s="4">
        <f t="shared" si="20"/>
        <v>3</v>
      </c>
      <c r="AL55" s="4">
        <f t="shared" si="21"/>
        <v>1</v>
      </c>
      <c r="AM55" s="5" t="str">
        <f t="shared" si="22"/>
        <v>B</v>
      </c>
      <c r="AN55" s="4" t="str">
        <f t="shared" si="23"/>
        <v>Scenario-level Threat=3; Step1=A Step2=B Step3=B Step4=A ; Overall Threat fixed=3, Max Mitigation=3 =&gt; Overall=B</v>
      </c>
    </row>
    <row r="56" spans="1:40" x14ac:dyDescent="0.55000000000000004">
      <c r="A56" s="2" t="s">
        <v>90</v>
      </c>
      <c r="B56" t="s">
        <v>13</v>
      </c>
      <c r="C56">
        <v>3</v>
      </c>
      <c r="D56" s="4">
        <v>3</v>
      </c>
      <c r="E56" s="2">
        <v>2</v>
      </c>
      <c r="F56" s="4">
        <f t="shared" si="12"/>
        <v>2</v>
      </c>
      <c r="G56" s="5" t="str">
        <f t="shared" si="13"/>
        <v>A</v>
      </c>
      <c r="H56" t="s">
        <v>23</v>
      </c>
      <c r="I56" s="2" t="s">
        <v>46</v>
      </c>
      <c r="J56" t="s">
        <v>47</v>
      </c>
      <c r="K56">
        <v>3</v>
      </c>
      <c r="L56" s="4">
        <v>3</v>
      </c>
      <c r="M56" s="2">
        <v>3</v>
      </c>
      <c r="N56" s="4">
        <f t="shared" si="14"/>
        <v>1</v>
      </c>
      <c r="O56" s="5" t="str">
        <f t="shared" si="15"/>
        <v>B</v>
      </c>
      <c r="P56">
        <v>1</v>
      </c>
      <c r="Q56" s="2" t="s">
        <v>33</v>
      </c>
      <c r="R56" t="s">
        <v>34</v>
      </c>
      <c r="S56">
        <v>3</v>
      </c>
      <c r="T56" s="4">
        <v>3</v>
      </c>
      <c r="U56" s="2">
        <v>3</v>
      </c>
      <c r="V56" s="4">
        <f t="shared" si="16"/>
        <v>1</v>
      </c>
      <c r="W56" s="5" t="str">
        <f t="shared" si="17"/>
        <v>B</v>
      </c>
      <c r="X56" t="s">
        <v>35</v>
      </c>
      <c r="Y56" s="2" t="s">
        <v>27</v>
      </c>
      <c r="Z56" t="s">
        <v>28</v>
      </c>
      <c r="AA56">
        <v>3</v>
      </c>
      <c r="AB56" s="4">
        <v>3</v>
      </c>
      <c r="AC56" s="2">
        <v>3</v>
      </c>
      <c r="AD56" s="4">
        <f t="shared" si="18"/>
        <v>1</v>
      </c>
      <c r="AE56" s="5" t="str">
        <f t="shared" si="19"/>
        <v>B</v>
      </c>
      <c r="AF56" t="s">
        <v>29</v>
      </c>
      <c r="AI56" s="4">
        <v>3</v>
      </c>
      <c r="AJ56" s="4">
        <v>3</v>
      </c>
      <c r="AK56" s="4">
        <f t="shared" si="20"/>
        <v>3</v>
      </c>
      <c r="AL56" s="4">
        <f t="shared" si="21"/>
        <v>1</v>
      </c>
      <c r="AM56" s="5" t="str">
        <f t="shared" si="22"/>
        <v>B</v>
      </c>
      <c r="AN56" s="4" t="str">
        <f t="shared" si="23"/>
        <v>Scenario-level Threat=3; Step1=A Step2=B Step3=B Step4=B ; Overall Threat fixed=3, Max Mitigation=3 =&gt; Overall=B</v>
      </c>
    </row>
    <row r="57" spans="1:40" x14ac:dyDescent="0.55000000000000004">
      <c r="A57" s="2" t="s">
        <v>90</v>
      </c>
      <c r="B57" t="s">
        <v>13</v>
      </c>
      <c r="C57">
        <v>3</v>
      </c>
      <c r="D57" s="4">
        <v>3</v>
      </c>
      <c r="E57" s="2">
        <v>2</v>
      </c>
      <c r="F57" s="4">
        <f t="shared" si="12"/>
        <v>2</v>
      </c>
      <c r="G57" s="5" t="str">
        <f t="shared" si="13"/>
        <v>A</v>
      </c>
      <c r="H57" t="s">
        <v>23</v>
      </c>
      <c r="I57" s="2" t="s">
        <v>46</v>
      </c>
      <c r="J57" t="s">
        <v>47</v>
      </c>
      <c r="K57">
        <v>3</v>
      </c>
      <c r="L57" s="4">
        <v>3</v>
      </c>
      <c r="M57" s="2">
        <v>3</v>
      </c>
      <c r="N57" s="4">
        <f t="shared" si="14"/>
        <v>1</v>
      </c>
      <c r="O57" s="5" t="str">
        <f t="shared" si="15"/>
        <v>B</v>
      </c>
      <c r="P57">
        <v>1</v>
      </c>
      <c r="Q57" s="2" t="s">
        <v>33</v>
      </c>
      <c r="R57" t="s">
        <v>34</v>
      </c>
      <c r="S57">
        <v>3</v>
      </c>
      <c r="T57" s="4">
        <v>3</v>
      </c>
      <c r="U57" s="2">
        <v>3</v>
      </c>
      <c r="V57" s="4">
        <f t="shared" si="16"/>
        <v>1</v>
      </c>
      <c r="W57" s="5" t="str">
        <f t="shared" si="17"/>
        <v>B</v>
      </c>
      <c r="X57" t="s">
        <v>35</v>
      </c>
      <c r="Y57" s="2" t="s">
        <v>30</v>
      </c>
      <c r="Z57" t="s">
        <v>31</v>
      </c>
      <c r="AA57">
        <v>3</v>
      </c>
      <c r="AB57" s="4">
        <v>3</v>
      </c>
      <c r="AC57" s="2">
        <v>2</v>
      </c>
      <c r="AD57" s="4">
        <f t="shared" si="18"/>
        <v>2</v>
      </c>
      <c r="AE57" s="5" t="str">
        <f t="shared" si="19"/>
        <v>A</v>
      </c>
      <c r="AF57" t="s">
        <v>32</v>
      </c>
      <c r="AI57" s="4">
        <v>3</v>
      </c>
      <c r="AJ57" s="4">
        <v>3</v>
      </c>
      <c r="AK57" s="4">
        <f t="shared" si="20"/>
        <v>3</v>
      </c>
      <c r="AL57" s="4">
        <f t="shared" si="21"/>
        <v>1</v>
      </c>
      <c r="AM57" s="5" t="str">
        <f t="shared" si="22"/>
        <v>B</v>
      </c>
      <c r="AN57" s="4" t="str">
        <f t="shared" si="23"/>
        <v>Scenario-level Threat=3; Step1=A Step2=B Step3=B Step4=A ; Overall Threat fixed=3, Max Mitigation=3 =&gt; Overall=B</v>
      </c>
    </row>
    <row r="58" spans="1:40" x14ac:dyDescent="0.55000000000000004">
      <c r="A58" s="2" t="s">
        <v>90</v>
      </c>
      <c r="B58" t="s">
        <v>13</v>
      </c>
      <c r="C58">
        <v>3</v>
      </c>
      <c r="D58" s="4">
        <v>3</v>
      </c>
      <c r="E58" s="2">
        <v>2</v>
      </c>
      <c r="F58" s="4">
        <f t="shared" si="12"/>
        <v>2</v>
      </c>
      <c r="G58" s="5" t="str">
        <f t="shared" si="13"/>
        <v>A</v>
      </c>
      <c r="H58" t="s">
        <v>23</v>
      </c>
      <c r="I58" s="2" t="s">
        <v>46</v>
      </c>
      <c r="J58" t="s">
        <v>47</v>
      </c>
      <c r="K58">
        <v>3</v>
      </c>
      <c r="L58" s="4">
        <v>3</v>
      </c>
      <c r="M58" s="2">
        <v>3</v>
      </c>
      <c r="N58" s="4">
        <f t="shared" si="14"/>
        <v>1</v>
      </c>
      <c r="O58" s="5" t="str">
        <f t="shared" si="15"/>
        <v>B</v>
      </c>
      <c r="P58">
        <v>1</v>
      </c>
      <c r="Q58" s="2" t="s">
        <v>36</v>
      </c>
      <c r="R58" t="s">
        <v>37</v>
      </c>
      <c r="S58">
        <v>3</v>
      </c>
      <c r="T58" s="4">
        <v>3</v>
      </c>
      <c r="U58" s="2">
        <v>3</v>
      </c>
      <c r="V58" s="4">
        <f t="shared" si="16"/>
        <v>1</v>
      </c>
      <c r="W58" s="5" t="str">
        <f t="shared" si="17"/>
        <v>B</v>
      </c>
      <c r="X58" t="s">
        <v>38</v>
      </c>
      <c r="Y58" s="2" t="s">
        <v>20</v>
      </c>
      <c r="Z58" t="s">
        <v>21</v>
      </c>
      <c r="AA58">
        <v>3</v>
      </c>
      <c r="AB58" s="4">
        <v>3</v>
      </c>
      <c r="AC58" s="2">
        <v>2</v>
      </c>
      <c r="AD58" s="4">
        <f t="shared" si="18"/>
        <v>2</v>
      </c>
      <c r="AE58" s="5" t="str">
        <f t="shared" si="19"/>
        <v>A</v>
      </c>
      <c r="AF58" t="s">
        <v>22</v>
      </c>
      <c r="AI58" s="4">
        <v>3</v>
      </c>
      <c r="AJ58" s="4">
        <v>3</v>
      </c>
      <c r="AK58" s="4">
        <f t="shared" si="20"/>
        <v>3</v>
      </c>
      <c r="AL58" s="4">
        <f t="shared" si="21"/>
        <v>1</v>
      </c>
      <c r="AM58" s="5" t="str">
        <f t="shared" si="22"/>
        <v>B</v>
      </c>
      <c r="AN58" s="4" t="str">
        <f t="shared" si="23"/>
        <v>Scenario-level Threat=3; Step1=A Step2=B Step3=B Step4=A ; Overall Threat fixed=3, Max Mitigation=3 =&gt; Overall=B</v>
      </c>
    </row>
    <row r="59" spans="1:40" x14ac:dyDescent="0.55000000000000004">
      <c r="A59" s="2" t="s">
        <v>90</v>
      </c>
      <c r="B59" t="s">
        <v>13</v>
      </c>
      <c r="C59">
        <v>3</v>
      </c>
      <c r="D59" s="4">
        <v>3</v>
      </c>
      <c r="E59" s="2">
        <v>2</v>
      </c>
      <c r="F59" s="4">
        <f t="shared" si="12"/>
        <v>2</v>
      </c>
      <c r="G59" s="5" t="str">
        <f t="shared" si="13"/>
        <v>A</v>
      </c>
      <c r="H59" t="s">
        <v>23</v>
      </c>
      <c r="I59" s="2" t="s">
        <v>46</v>
      </c>
      <c r="J59" t="s">
        <v>47</v>
      </c>
      <c r="K59">
        <v>3</v>
      </c>
      <c r="L59" s="4">
        <v>3</v>
      </c>
      <c r="M59" s="2">
        <v>3</v>
      </c>
      <c r="N59" s="4">
        <f t="shared" si="14"/>
        <v>1</v>
      </c>
      <c r="O59" s="5" t="str">
        <f t="shared" si="15"/>
        <v>B</v>
      </c>
      <c r="P59">
        <v>1</v>
      </c>
      <c r="Q59" s="2" t="s">
        <v>36</v>
      </c>
      <c r="R59" t="s">
        <v>37</v>
      </c>
      <c r="S59">
        <v>3</v>
      </c>
      <c r="T59" s="4">
        <v>3</v>
      </c>
      <c r="U59" s="2">
        <v>3</v>
      </c>
      <c r="V59" s="4">
        <f t="shared" si="16"/>
        <v>1</v>
      </c>
      <c r="W59" s="5" t="str">
        <f t="shared" si="17"/>
        <v>B</v>
      </c>
      <c r="X59" t="s">
        <v>38</v>
      </c>
      <c r="Y59" s="2" t="s">
        <v>24</v>
      </c>
      <c r="Z59" t="s">
        <v>25</v>
      </c>
      <c r="AA59">
        <v>3</v>
      </c>
      <c r="AB59" s="4">
        <v>3</v>
      </c>
      <c r="AC59" s="2">
        <v>2</v>
      </c>
      <c r="AD59" s="4">
        <f t="shared" si="18"/>
        <v>2</v>
      </c>
      <c r="AE59" s="5" t="str">
        <f t="shared" si="19"/>
        <v>A</v>
      </c>
      <c r="AF59" t="s">
        <v>26</v>
      </c>
      <c r="AI59" s="4">
        <v>3</v>
      </c>
      <c r="AJ59" s="4">
        <v>3</v>
      </c>
      <c r="AK59" s="4">
        <f t="shared" si="20"/>
        <v>3</v>
      </c>
      <c r="AL59" s="4">
        <f t="shared" si="21"/>
        <v>1</v>
      </c>
      <c r="AM59" s="5" t="str">
        <f t="shared" si="22"/>
        <v>B</v>
      </c>
      <c r="AN59" s="4" t="str">
        <f t="shared" si="23"/>
        <v>Scenario-level Threat=3; Step1=A Step2=B Step3=B Step4=A ; Overall Threat fixed=3, Max Mitigation=3 =&gt; Overall=B</v>
      </c>
    </row>
    <row r="60" spans="1:40" x14ac:dyDescent="0.55000000000000004">
      <c r="A60" s="2" t="s">
        <v>90</v>
      </c>
      <c r="B60" t="s">
        <v>13</v>
      </c>
      <c r="C60">
        <v>3</v>
      </c>
      <c r="D60" s="4">
        <v>3</v>
      </c>
      <c r="E60" s="2">
        <v>2</v>
      </c>
      <c r="F60" s="4">
        <f t="shared" si="12"/>
        <v>2</v>
      </c>
      <c r="G60" s="5" t="str">
        <f t="shared" si="13"/>
        <v>A</v>
      </c>
      <c r="H60" t="s">
        <v>23</v>
      </c>
      <c r="I60" s="2" t="s">
        <v>46</v>
      </c>
      <c r="J60" t="s">
        <v>47</v>
      </c>
      <c r="K60">
        <v>3</v>
      </c>
      <c r="L60" s="4">
        <v>3</v>
      </c>
      <c r="M60" s="2">
        <v>3</v>
      </c>
      <c r="N60" s="4">
        <f t="shared" si="14"/>
        <v>1</v>
      </c>
      <c r="O60" s="5" t="str">
        <f t="shared" si="15"/>
        <v>B</v>
      </c>
      <c r="P60">
        <v>1</v>
      </c>
      <c r="Q60" s="2" t="s">
        <v>36</v>
      </c>
      <c r="R60" t="s">
        <v>37</v>
      </c>
      <c r="S60">
        <v>3</v>
      </c>
      <c r="T60" s="4">
        <v>3</v>
      </c>
      <c r="U60" s="2">
        <v>3</v>
      </c>
      <c r="V60" s="4">
        <f t="shared" si="16"/>
        <v>1</v>
      </c>
      <c r="W60" s="5" t="str">
        <f t="shared" si="17"/>
        <v>B</v>
      </c>
      <c r="X60" t="s">
        <v>38</v>
      </c>
      <c r="Y60" s="2" t="s">
        <v>27</v>
      </c>
      <c r="Z60" t="s">
        <v>28</v>
      </c>
      <c r="AA60">
        <v>3</v>
      </c>
      <c r="AB60" s="4">
        <v>3</v>
      </c>
      <c r="AC60" s="2">
        <v>3</v>
      </c>
      <c r="AD60" s="4">
        <f t="shared" si="18"/>
        <v>1</v>
      </c>
      <c r="AE60" s="5" t="str">
        <f t="shared" si="19"/>
        <v>B</v>
      </c>
      <c r="AF60" t="s">
        <v>29</v>
      </c>
      <c r="AI60" s="4">
        <v>3</v>
      </c>
      <c r="AJ60" s="4">
        <v>3</v>
      </c>
      <c r="AK60" s="4">
        <f t="shared" si="20"/>
        <v>3</v>
      </c>
      <c r="AL60" s="4">
        <f t="shared" si="21"/>
        <v>1</v>
      </c>
      <c r="AM60" s="5" t="str">
        <f t="shared" si="22"/>
        <v>B</v>
      </c>
      <c r="AN60" s="4" t="str">
        <f t="shared" si="23"/>
        <v>Scenario-level Threat=3; Step1=A Step2=B Step3=B Step4=B ; Overall Threat fixed=3, Max Mitigation=3 =&gt; Overall=B</v>
      </c>
    </row>
    <row r="61" spans="1:40" x14ac:dyDescent="0.55000000000000004">
      <c r="A61" s="2" t="s">
        <v>90</v>
      </c>
      <c r="B61" t="s">
        <v>13</v>
      </c>
      <c r="C61">
        <v>3</v>
      </c>
      <c r="D61" s="4">
        <v>3</v>
      </c>
      <c r="E61" s="2">
        <v>2</v>
      </c>
      <c r="F61" s="4">
        <f t="shared" si="12"/>
        <v>2</v>
      </c>
      <c r="G61" s="5" t="str">
        <f t="shared" si="13"/>
        <v>A</v>
      </c>
      <c r="H61" t="s">
        <v>23</v>
      </c>
      <c r="I61" s="2" t="s">
        <v>46</v>
      </c>
      <c r="J61" t="s">
        <v>47</v>
      </c>
      <c r="K61">
        <v>3</v>
      </c>
      <c r="L61" s="4">
        <v>3</v>
      </c>
      <c r="M61" s="2">
        <v>3</v>
      </c>
      <c r="N61" s="4">
        <f t="shared" si="14"/>
        <v>1</v>
      </c>
      <c r="O61" s="5" t="str">
        <f t="shared" si="15"/>
        <v>B</v>
      </c>
      <c r="P61">
        <v>1</v>
      </c>
      <c r="Q61" s="2" t="s">
        <v>36</v>
      </c>
      <c r="R61" t="s">
        <v>37</v>
      </c>
      <c r="S61">
        <v>3</v>
      </c>
      <c r="T61" s="4">
        <v>3</v>
      </c>
      <c r="U61" s="2">
        <v>3</v>
      </c>
      <c r="V61" s="4">
        <f t="shared" si="16"/>
        <v>1</v>
      </c>
      <c r="W61" s="5" t="str">
        <f t="shared" si="17"/>
        <v>B</v>
      </c>
      <c r="X61" t="s">
        <v>38</v>
      </c>
      <c r="Y61" s="2" t="s">
        <v>30</v>
      </c>
      <c r="Z61" t="s">
        <v>31</v>
      </c>
      <c r="AA61">
        <v>3</v>
      </c>
      <c r="AB61" s="4">
        <v>3</v>
      </c>
      <c r="AC61" s="2">
        <v>2</v>
      </c>
      <c r="AD61" s="4">
        <f t="shared" si="18"/>
        <v>2</v>
      </c>
      <c r="AE61" s="5" t="str">
        <f t="shared" si="19"/>
        <v>A</v>
      </c>
      <c r="AF61" t="s">
        <v>32</v>
      </c>
      <c r="AI61" s="4">
        <v>3</v>
      </c>
      <c r="AJ61" s="4">
        <v>3</v>
      </c>
      <c r="AK61" s="4">
        <f t="shared" si="20"/>
        <v>3</v>
      </c>
      <c r="AL61" s="4">
        <f t="shared" si="21"/>
        <v>1</v>
      </c>
      <c r="AM61" s="5" t="str">
        <f t="shared" si="22"/>
        <v>B</v>
      </c>
      <c r="AN61" s="4" t="str">
        <f t="shared" si="23"/>
        <v>Scenario-level Threat=3; Step1=A Step2=B Step3=B Step4=A ; Overall Threat fixed=3, Max Mitigation=3 =&gt; Overall=B</v>
      </c>
    </row>
    <row r="62" spans="1:40" x14ac:dyDescent="0.55000000000000004">
      <c r="A62" s="2" t="s">
        <v>90</v>
      </c>
      <c r="B62" t="s">
        <v>13</v>
      </c>
      <c r="C62">
        <v>3</v>
      </c>
      <c r="D62" s="4">
        <v>3</v>
      </c>
      <c r="E62" s="2">
        <v>2</v>
      </c>
      <c r="F62" s="4">
        <f t="shared" si="12"/>
        <v>2</v>
      </c>
      <c r="G62" s="5" t="str">
        <f t="shared" si="13"/>
        <v>A</v>
      </c>
      <c r="H62" t="s">
        <v>23</v>
      </c>
      <c r="I62" s="2" t="s">
        <v>46</v>
      </c>
      <c r="J62" t="s">
        <v>47</v>
      </c>
      <c r="K62">
        <v>3</v>
      </c>
      <c r="L62" s="4">
        <v>3</v>
      </c>
      <c r="M62" s="2">
        <v>3</v>
      </c>
      <c r="N62" s="4">
        <f t="shared" si="14"/>
        <v>1</v>
      </c>
      <c r="O62" s="5" t="str">
        <f t="shared" si="15"/>
        <v>B</v>
      </c>
      <c r="P62">
        <v>1</v>
      </c>
      <c r="Q62" s="2" t="s">
        <v>39</v>
      </c>
      <c r="R62" t="s">
        <v>40</v>
      </c>
      <c r="S62">
        <v>3</v>
      </c>
      <c r="T62" s="4">
        <v>3</v>
      </c>
      <c r="U62" s="2">
        <v>3</v>
      </c>
      <c r="V62" s="4">
        <f t="shared" si="16"/>
        <v>1</v>
      </c>
      <c r="W62" s="5" t="str">
        <f t="shared" si="17"/>
        <v>B</v>
      </c>
      <c r="X62" t="s">
        <v>41</v>
      </c>
      <c r="Y62" s="2" t="s">
        <v>20</v>
      </c>
      <c r="Z62" t="s">
        <v>21</v>
      </c>
      <c r="AA62">
        <v>3</v>
      </c>
      <c r="AB62" s="4">
        <v>3</v>
      </c>
      <c r="AC62" s="2">
        <v>2</v>
      </c>
      <c r="AD62" s="4">
        <f t="shared" si="18"/>
        <v>2</v>
      </c>
      <c r="AE62" s="5" t="str">
        <f t="shared" si="19"/>
        <v>A</v>
      </c>
      <c r="AF62" t="s">
        <v>22</v>
      </c>
      <c r="AI62" s="4">
        <v>3</v>
      </c>
      <c r="AJ62" s="4">
        <v>3</v>
      </c>
      <c r="AK62" s="4">
        <f t="shared" si="20"/>
        <v>3</v>
      </c>
      <c r="AL62" s="4">
        <f t="shared" si="21"/>
        <v>1</v>
      </c>
      <c r="AM62" s="5" t="str">
        <f t="shared" si="22"/>
        <v>B</v>
      </c>
      <c r="AN62" s="4" t="str">
        <f t="shared" si="23"/>
        <v>Scenario-level Threat=3; Step1=A Step2=B Step3=B Step4=A ; Overall Threat fixed=3, Max Mitigation=3 =&gt; Overall=B</v>
      </c>
    </row>
    <row r="63" spans="1:40" x14ac:dyDescent="0.55000000000000004">
      <c r="A63" s="2" t="s">
        <v>90</v>
      </c>
      <c r="B63" t="s">
        <v>13</v>
      </c>
      <c r="C63">
        <v>3</v>
      </c>
      <c r="D63" s="4">
        <v>3</v>
      </c>
      <c r="E63" s="2">
        <v>2</v>
      </c>
      <c r="F63" s="4">
        <f t="shared" si="12"/>
        <v>2</v>
      </c>
      <c r="G63" s="5" t="str">
        <f t="shared" si="13"/>
        <v>A</v>
      </c>
      <c r="H63" t="s">
        <v>23</v>
      </c>
      <c r="I63" s="2" t="s">
        <v>46</v>
      </c>
      <c r="J63" t="s">
        <v>47</v>
      </c>
      <c r="K63">
        <v>3</v>
      </c>
      <c r="L63" s="4">
        <v>3</v>
      </c>
      <c r="M63" s="2">
        <v>3</v>
      </c>
      <c r="N63" s="4">
        <f t="shared" si="14"/>
        <v>1</v>
      </c>
      <c r="O63" s="5" t="str">
        <f t="shared" si="15"/>
        <v>B</v>
      </c>
      <c r="P63">
        <v>1</v>
      </c>
      <c r="Q63" s="2" t="s">
        <v>39</v>
      </c>
      <c r="R63" t="s">
        <v>40</v>
      </c>
      <c r="S63">
        <v>3</v>
      </c>
      <c r="T63" s="4">
        <v>3</v>
      </c>
      <c r="U63" s="2">
        <v>3</v>
      </c>
      <c r="V63" s="4">
        <f t="shared" si="16"/>
        <v>1</v>
      </c>
      <c r="W63" s="5" t="str">
        <f t="shared" si="17"/>
        <v>B</v>
      </c>
      <c r="X63" t="s">
        <v>41</v>
      </c>
      <c r="Y63" s="2" t="s">
        <v>24</v>
      </c>
      <c r="Z63" t="s">
        <v>25</v>
      </c>
      <c r="AA63">
        <v>3</v>
      </c>
      <c r="AB63" s="4">
        <v>3</v>
      </c>
      <c r="AC63" s="2">
        <v>2</v>
      </c>
      <c r="AD63" s="4">
        <f t="shared" si="18"/>
        <v>2</v>
      </c>
      <c r="AE63" s="5" t="str">
        <f t="shared" si="19"/>
        <v>A</v>
      </c>
      <c r="AF63" t="s">
        <v>26</v>
      </c>
      <c r="AI63" s="4">
        <v>3</v>
      </c>
      <c r="AJ63" s="4">
        <v>3</v>
      </c>
      <c r="AK63" s="4">
        <f t="shared" si="20"/>
        <v>3</v>
      </c>
      <c r="AL63" s="4">
        <f t="shared" si="21"/>
        <v>1</v>
      </c>
      <c r="AM63" s="5" t="str">
        <f t="shared" si="22"/>
        <v>B</v>
      </c>
      <c r="AN63" s="4" t="str">
        <f t="shared" si="23"/>
        <v>Scenario-level Threat=3; Step1=A Step2=B Step3=B Step4=A ; Overall Threat fixed=3, Max Mitigation=3 =&gt; Overall=B</v>
      </c>
    </row>
    <row r="64" spans="1:40" x14ac:dyDescent="0.55000000000000004">
      <c r="A64" s="2" t="s">
        <v>90</v>
      </c>
      <c r="B64" t="s">
        <v>13</v>
      </c>
      <c r="C64">
        <v>3</v>
      </c>
      <c r="D64" s="4">
        <v>3</v>
      </c>
      <c r="E64" s="2">
        <v>2</v>
      </c>
      <c r="F64" s="4">
        <f t="shared" si="12"/>
        <v>2</v>
      </c>
      <c r="G64" s="5" t="str">
        <f t="shared" si="13"/>
        <v>A</v>
      </c>
      <c r="H64" t="s">
        <v>23</v>
      </c>
      <c r="I64" s="2" t="s">
        <v>46</v>
      </c>
      <c r="J64" t="s">
        <v>47</v>
      </c>
      <c r="K64">
        <v>3</v>
      </c>
      <c r="L64" s="4">
        <v>3</v>
      </c>
      <c r="M64" s="2">
        <v>3</v>
      </c>
      <c r="N64" s="4">
        <f t="shared" si="14"/>
        <v>1</v>
      </c>
      <c r="O64" s="5" t="str">
        <f t="shared" si="15"/>
        <v>B</v>
      </c>
      <c r="P64">
        <v>1</v>
      </c>
      <c r="Q64" s="2" t="s">
        <v>39</v>
      </c>
      <c r="R64" t="s">
        <v>40</v>
      </c>
      <c r="S64">
        <v>3</v>
      </c>
      <c r="T64" s="4">
        <v>3</v>
      </c>
      <c r="U64" s="2">
        <v>3</v>
      </c>
      <c r="V64" s="4">
        <f t="shared" si="16"/>
        <v>1</v>
      </c>
      <c r="W64" s="5" t="str">
        <f t="shared" si="17"/>
        <v>B</v>
      </c>
      <c r="X64" t="s">
        <v>41</v>
      </c>
      <c r="Y64" s="2" t="s">
        <v>27</v>
      </c>
      <c r="Z64" t="s">
        <v>28</v>
      </c>
      <c r="AA64">
        <v>3</v>
      </c>
      <c r="AB64" s="4">
        <v>3</v>
      </c>
      <c r="AC64" s="2">
        <v>3</v>
      </c>
      <c r="AD64" s="4">
        <f t="shared" si="18"/>
        <v>1</v>
      </c>
      <c r="AE64" s="5" t="str">
        <f t="shared" si="19"/>
        <v>B</v>
      </c>
      <c r="AF64" t="s">
        <v>29</v>
      </c>
      <c r="AI64" s="4">
        <v>3</v>
      </c>
      <c r="AJ64" s="4">
        <v>3</v>
      </c>
      <c r="AK64" s="4">
        <f t="shared" si="20"/>
        <v>3</v>
      </c>
      <c r="AL64" s="4">
        <f t="shared" si="21"/>
        <v>1</v>
      </c>
      <c r="AM64" s="5" t="str">
        <f t="shared" si="22"/>
        <v>B</v>
      </c>
      <c r="AN64" s="4" t="str">
        <f t="shared" si="23"/>
        <v>Scenario-level Threat=3; Step1=A Step2=B Step3=B Step4=B ; Overall Threat fixed=3, Max Mitigation=3 =&gt; Overall=B</v>
      </c>
    </row>
    <row r="65" spans="1:40" x14ac:dyDescent="0.55000000000000004">
      <c r="A65" s="2" t="s">
        <v>90</v>
      </c>
      <c r="B65" t="s">
        <v>13</v>
      </c>
      <c r="C65">
        <v>3</v>
      </c>
      <c r="D65" s="4">
        <v>3</v>
      </c>
      <c r="E65" s="2">
        <v>2</v>
      </c>
      <c r="F65" s="4">
        <f t="shared" si="12"/>
        <v>2</v>
      </c>
      <c r="G65" s="5" t="str">
        <f t="shared" si="13"/>
        <v>A</v>
      </c>
      <c r="H65" t="s">
        <v>23</v>
      </c>
      <c r="I65" s="2" t="s">
        <v>46</v>
      </c>
      <c r="J65" t="s">
        <v>47</v>
      </c>
      <c r="K65">
        <v>3</v>
      </c>
      <c r="L65" s="4">
        <v>3</v>
      </c>
      <c r="M65" s="2">
        <v>3</v>
      </c>
      <c r="N65" s="4">
        <f t="shared" si="14"/>
        <v>1</v>
      </c>
      <c r="O65" s="5" t="str">
        <f t="shared" si="15"/>
        <v>B</v>
      </c>
      <c r="P65">
        <v>1</v>
      </c>
      <c r="Q65" s="2" t="s">
        <v>39</v>
      </c>
      <c r="R65" t="s">
        <v>40</v>
      </c>
      <c r="S65">
        <v>3</v>
      </c>
      <c r="T65" s="4">
        <v>3</v>
      </c>
      <c r="U65" s="2">
        <v>3</v>
      </c>
      <c r="V65" s="4">
        <f t="shared" si="16"/>
        <v>1</v>
      </c>
      <c r="W65" s="5" t="str">
        <f t="shared" si="17"/>
        <v>B</v>
      </c>
      <c r="X65" t="s">
        <v>41</v>
      </c>
      <c r="Y65" s="2" t="s">
        <v>30</v>
      </c>
      <c r="Z65" t="s">
        <v>31</v>
      </c>
      <c r="AA65">
        <v>3</v>
      </c>
      <c r="AB65" s="4">
        <v>3</v>
      </c>
      <c r="AC65" s="2">
        <v>2</v>
      </c>
      <c r="AD65" s="4">
        <f t="shared" si="18"/>
        <v>2</v>
      </c>
      <c r="AE65" s="5" t="str">
        <f t="shared" si="19"/>
        <v>A</v>
      </c>
      <c r="AF65" t="s">
        <v>32</v>
      </c>
      <c r="AI65" s="4">
        <v>3</v>
      </c>
      <c r="AJ65" s="4">
        <v>3</v>
      </c>
      <c r="AK65" s="4">
        <f t="shared" si="20"/>
        <v>3</v>
      </c>
      <c r="AL65" s="4">
        <f t="shared" si="21"/>
        <v>1</v>
      </c>
      <c r="AM65" s="5" t="str">
        <f t="shared" si="22"/>
        <v>B</v>
      </c>
      <c r="AN65" s="4" t="str">
        <f t="shared" si="23"/>
        <v>Scenario-level Threat=3; Step1=A Step2=B Step3=B Step4=A ; Overall Threat fixed=3, Max Mitigation=3 =&gt; Overall=B</v>
      </c>
    </row>
  </sheetData>
  <phoneticPr fontId="1"/>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2"/>
  <sheetViews>
    <sheetView workbookViewId="0"/>
  </sheetViews>
  <sheetFormatPr defaultRowHeight="18" x14ac:dyDescent="0.55000000000000004"/>
  <sheetData>
    <row r="1" spans="1:8" x14ac:dyDescent="0.55000000000000004">
      <c r="A1" s="3" t="s">
        <v>48</v>
      </c>
      <c r="B1" s="3" t="s">
        <v>49</v>
      </c>
      <c r="C1" s="3"/>
      <c r="D1" s="3"/>
      <c r="E1" s="3"/>
      <c r="F1" s="3"/>
      <c r="G1" s="3"/>
      <c r="H1" s="3"/>
    </row>
    <row r="2" spans="1:8" x14ac:dyDescent="0.55000000000000004">
      <c r="A2" t="s">
        <v>50</v>
      </c>
      <c r="B2" t="s">
        <v>51</v>
      </c>
    </row>
    <row r="3" spans="1:8" x14ac:dyDescent="0.55000000000000004">
      <c r="A3" t="s">
        <v>52</v>
      </c>
      <c r="B3" t="s">
        <v>53</v>
      </c>
    </row>
    <row r="4" spans="1:8" x14ac:dyDescent="0.55000000000000004">
      <c r="A4" t="s">
        <v>54</v>
      </c>
      <c r="B4" t="s">
        <v>55</v>
      </c>
    </row>
    <row r="6" spans="1:8" x14ac:dyDescent="0.55000000000000004">
      <c r="A6" t="s">
        <v>56</v>
      </c>
      <c r="B6" t="s">
        <v>57</v>
      </c>
      <c r="C6" t="s">
        <v>58</v>
      </c>
      <c r="D6" t="s">
        <v>59</v>
      </c>
      <c r="E6" t="s">
        <v>60</v>
      </c>
      <c r="F6" t="s">
        <v>61</v>
      </c>
      <c r="G6" t="s">
        <v>62</v>
      </c>
      <c r="H6" t="s">
        <v>63</v>
      </c>
    </row>
    <row r="7" spans="1:8" x14ac:dyDescent="0.55000000000000004">
      <c r="A7">
        <v>2</v>
      </c>
      <c r="B7">
        <v>1</v>
      </c>
      <c r="C7" t="s">
        <v>12</v>
      </c>
      <c r="D7" t="s">
        <v>64</v>
      </c>
      <c r="E7">
        <v>0.9</v>
      </c>
      <c r="F7">
        <v>3</v>
      </c>
      <c r="G7">
        <v>0.46</v>
      </c>
      <c r="H7">
        <v>2</v>
      </c>
    </row>
    <row r="8" spans="1:8" x14ac:dyDescent="0.55000000000000004">
      <c r="A8">
        <v>2</v>
      </c>
      <c r="B8">
        <v>2</v>
      </c>
      <c r="C8" t="s">
        <v>15</v>
      </c>
      <c r="D8" t="s">
        <v>65</v>
      </c>
      <c r="E8">
        <v>0.36</v>
      </c>
      <c r="F8">
        <v>2</v>
      </c>
      <c r="G8">
        <v>0.46</v>
      </c>
      <c r="H8">
        <v>2</v>
      </c>
    </row>
    <row r="9" spans="1:8" x14ac:dyDescent="0.55000000000000004">
      <c r="A9">
        <v>2</v>
      </c>
      <c r="B9">
        <v>3</v>
      </c>
      <c r="C9" t="s">
        <v>17</v>
      </c>
      <c r="D9" t="s">
        <v>66</v>
      </c>
      <c r="E9">
        <v>0.36</v>
      </c>
      <c r="F9">
        <v>2</v>
      </c>
      <c r="G9">
        <v>0.1</v>
      </c>
      <c r="H9">
        <v>3</v>
      </c>
    </row>
    <row r="10" spans="1:8" x14ac:dyDescent="0.55000000000000004">
      <c r="A10">
        <v>2</v>
      </c>
      <c r="B10">
        <v>4</v>
      </c>
      <c r="C10">
        <v>1</v>
      </c>
      <c r="D10" t="s">
        <v>20</v>
      </c>
      <c r="E10">
        <v>0.18</v>
      </c>
      <c r="F10">
        <v>1</v>
      </c>
      <c r="G10">
        <v>0.46</v>
      </c>
      <c r="H10">
        <v>2</v>
      </c>
    </row>
    <row r="11" spans="1:8" x14ac:dyDescent="0.55000000000000004">
      <c r="A11">
        <v>3</v>
      </c>
      <c r="B11">
        <v>1</v>
      </c>
      <c r="C11" t="s">
        <v>12</v>
      </c>
      <c r="D11" t="s">
        <v>64</v>
      </c>
      <c r="E11">
        <v>0.9</v>
      </c>
      <c r="F11">
        <v>3</v>
      </c>
      <c r="G11">
        <v>0.46</v>
      </c>
      <c r="H11">
        <v>2</v>
      </c>
    </row>
    <row r="12" spans="1:8" x14ac:dyDescent="0.55000000000000004">
      <c r="A12">
        <v>3</v>
      </c>
      <c r="B12">
        <v>2</v>
      </c>
      <c r="C12" t="s">
        <v>15</v>
      </c>
      <c r="D12" t="s">
        <v>65</v>
      </c>
      <c r="E12">
        <v>0.36</v>
      </c>
      <c r="F12">
        <v>2</v>
      </c>
      <c r="G12">
        <v>0.46</v>
      </c>
      <c r="H12">
        <v>2</v>
      </c>
    </row>
    <row r="13" spans="1:8" x14ac:dyDescent="0.55000000000000004">
      <c r="A13">
        <v>3</v>
      </c>
      <c r="B13">
        <v>3</v>
      </c>
      <c r="C13" t="s">
        <v>17</v>
      </c>
      <c r="D13" t="s">
        <v>66</v>
      </c>
      <c r="E13">
        <v>0.36</v>
      </c>
      <c r="F13">
        <v>2</v>
      </c>
      <c r="G13">
        <v>0.1</v>
      </c>
      <c r="H13">
        <v>3</v>
      </c>
    </row>
    <row r="14" spans="1:8" x14ac:dyDescent="0.55000000000000004">
      <c r="A14">
        <v>3</v>
      </c>
      <c r="B14">
        <v>4</v>
      </c>
      <c r="C14">
        <v>1</v>
      </c>
      <c r="D14" t="s">
        <v>24</v>
      </c>
      <c r="E14">
        <v>0.72000000000000008</v>
      </c>
      <c r="F14">
        <v>3</v>
      </c>
      <c r="G14">
        <v>0.46</v>
      </c>
      <c r="H14">
        <v>2</v>
      </c>
    </row>
    <row r="15" spans="1:8" x14ac:dyDescent="0.55000000000000004">
      <c r="A15">
        <v>4</v>
      </c>
      <c r="B15">
        <v>1</v>
      </c>
      <c r="C15" t="s">
        <v>12</v>
      </c>
      <c r="D15" t="s">
        <v>64</v>
      </c>
      <c r="E15">
        <v>0.9</v>
      </c>
      <c r="F15">
        <v>3</v>
      </c>
      <c r="G15">
        <v>0.46</v>
      </c>
      <c r="H15">
        <v>2</v>
      </c>
    </row>
    <row r="16" spans="1:8" x14ac:dyDescent="0.55000000000000004">
      <c r="A16">
        <v>4</v>
      </c>
      <c r="B16">
        <v>2</v>
      </c>
      <c r="C16" t="s">
        <v>15</v>
      </c>
      <c r="D16" t="s">
        <v>65</v>
      </c>
      <c r="E16">
        <v>0.36</v>
      </c>
      <c r="F16">
        <v>2</v>
      </c>
      <c r="G16">
        <v>0.46</v>
      </c>
      <c r="H16">
        <v>2</v>
      </c>
    </row>
    <row r="17" spans="1:8" x14ac:dyDescent="0.55000000000000004">
      <c r="A17">
        <v>4</v>
      </c>
      <c r="B17">
        <v>3</v>
      </c>
      <c r="C17" t="s">
        <v>17</v>
      </c>
      <c r="D17" t="s">
        <v>66</v>
      </c>
      <c r="E17">
        <v>0.36</v>
      </c>
      <c r="F17">
        <v>2</v>
      </c>
      <c r="G17">
        <v>0.1</v>
      </c>
      <c r="H17">
        <v>3</v>
      </c>
    </row>
    <row r="18" spans="1:8" x14ac:dyDescent="0.55000000000000004">
      <c r="A18">
        <v>4</v>
      </c>
      <c r="B18">
        <v>4</v>
      </c>
      <c r="C18">
        <v>1</v>
      </c>
      <c r="D18" t="s">
        <v>27</v>
      </c>
      <c r="E18">
        <v>0.9</v>
      </c>
      <c r="F18">
        <v>3</v>
      </c>
      <c r="G18">
        <v>0.1</v>
      </c>
      <c r="H18">
        <v>3</v>
      </c>
    </row>
    <row r="19" spans="1:8" x14ac:dyDescent="0.55000000000000004">
      <c r="A19">
        <v>5</v>
      </c>
      <c r="B19">
        <v>1</v>
      </c>
      <c r="C19" t="s">
        <v>12</v>
      </c>
      <c r="D19" t="s">
        <v>64</v>
      </c>
      <c r="E19">
        <v>0.9</v>
      </c>
      <c r="F19">
        <v>3</v>
      </c>
      <c r="G19">
        <v>0.46</v>
      </c>
      <c r="H19">
        <v>2</v>
      </c>
    </row>
    <row r="20" spans="1:8" x14ac:dyDescent="0.55000000000000004">
      <c r="A20">
        <v>5</v>
      </c>
      <c r="B20">
        <v>2</v>
      </c>
      <c r="C20" t="s">
        <v>15</v>
      </c>
      <c r="D20" t="s">
        <v>65</v>
      </c>
      <c r="E20">
        <v>0.36</v>
      </c>
      <c r="F20">
        <v>2</v>
      </c>
      <c r="G20">
        <v>0.46</v>
      </c>
      <c r="H20">
        <v>2</v>
      </c>
    </row>
    <row r="21" spans="1:8" x14ac:dyDescent="0.55000000000000004">
      <c r="A21">
        <v>5</v>
      </c>
      <c r="B21">
        <v>3</v>
      </c>
      <c r="C21" t="s">
        <v>17</v>
      </c>
      <c r="D21" t="s">
        <v>66</v>
      </c>
      <c r="E21">
        <v>0.36</v>
      </c>
      <c r="F21">
        <v>2</v>
      </c>
      <c r="G21">
        <v>0.1</v>
      </c>
      <c r="H21">
        <v>3</v>
      </c>
    </row>
    <row r="22" spans="1:8" x14ac:dyDescent="0.55000000000000004">
      <c r="A22">
        <v>5</v>
      </c>
      <c r="B22">
        <v>4</v>
      </c>
      <c r="C22">
        <v>1</v>
      </c>
      <c r="D22" t="s">
        <v>30</v>
      </c>
      <c r="E22">
        <v>0.18</v>
      </c>
      <c r="F22">
        <v>1</v>
      </c>
      <c r="G22">
        <v>0.46</v>
      </c>
      <c r="H22">
        <v>2</v>
      </c>
    </row>
    <row r="23" spans="1:8" x14ac:dyDescent="0.55000000000000004">
      <c r="A23">
        <v>6</v>
      </c>
      <c r="B23">
        <v>1</v>
      </c>
      <c r="C23" t="s">
        <v>12</v>
      </c>
      <c r="D23" t="s">
        <v>64</v>
      </c>
      <c r="E23">
        <v>0.9</v>
      </c>
      <c r="F23">
        <v>3</v>
      </c>
      <c r="G23">
        <v>0.46</v>
      </c>
      <c r="H23">
        <v>2</v>
      </c>
    </row>
    <row r="24" spans="1:8" x14ac:dyDescent="0.55000000000000004">
      <c r="A24">
        <v>6</v>
      </c>
      <c r="B24">
        <v>2</v>
      </c>
      <c r="C24" t="s">
        <v>15</v>
      </c>
      <c r="D24" t="s">
        <v>65</v>
      </c>
      <c r="E24">
        <v>0.36</v>
      </c>
      <c r="F24">
        <v>2</v>
      </c>
      <c r="G24">
        <v>0.46</v>
      </c>
      <c r="H24">
        <v>2</v>
      </c>
    </row>
    <row r="25" spans="1:8" x14ac:dyDescent="0.55000000000000004">
      <c r="A25">
        <v>6</v>
      </c>
      <c r="B25">
        <v>3</v>
      </c>
      <c r="C25" t="s">
        <v>33</v>
      </c>
      <c r="D25" t="s">
        <v>67</v>
      </c>
      <c r="E25">
        <v>0.36</v>
      </c>
      <c r="F25">
        <v>2</v>
      </c>
      <c r="G25">
        <v>0.1</v>
      </c>
      <c r="H25">
        <v>3</v>
      </c>
    </row>
    <row r="26" spans="1:8" x14ac:dyDescent="0.55000000000000004">
      <c r="A26">
        <v>6</v>
      </c>
      <c r="B26">
        <v>4</v>
      </c>
      <c r="C26">
        <v>1</v>
      </c>
      <c r="D26" t="s">
        <v>20</v>
      </c>
      <c r="E26">
        <v>0.18</v>
      </c>
      <c r="F26">
        <v>1</v>
      </c>
      <c r="G26">
        <v>0.46</v>
      </c>
      <c r="H26">
        <v>2</v>
      </c>
    </row>
    <row r="27" spans="1:8" x14ac:dyDescent="0.55000000000000004">
      <c r="A27">
        <v>7</v>
      </c>
      <c r="B27">
        <v>1</v>
      </c>
      <c r="C27" t="s">
        <v>12</v>
      </c>
      <c r="D27" t="s">
        <v>64</v>
      </c>
      <c r="E27">
        <v>0.9</v>
      </c>
      <c r="F27">
        <v>3</v>
      </c>
      <c r="G27">
        <v>0.46</v>
      </c>
      <c r="H27">
        <v>2</v>
      </c>
    </row>
    <row r="28" spans="1:8" x14ac:dyDescent="0.55000000000000004">
      <c r="A28">
        <v>7</v>
      </c>
      <c r="B28">
        <v>2</v>
      </c>
      <c r="C28" t="s">
        <v>15</v>
      </c>
      <c r="D28" t="s">
        <v>65</v>
      </c>
      <c r="E28">
        <v>0.36</v>
      </c>
      <c r="F28">
        <v>2</v>
      </c>
      <c r="G28">
        <v>0.46</v>
      </c>
      <c r="H28">
        <v>2</v>
      </c>
    </row>
    <row r="29" spans="1:8" x14ac:dyDescent="0.55000000000000004">
      <c r="A29">
        <v>7</v>
      </c>
      <c r="B29">
        <v>3</v>
      </c>
      <c r="C29" t="s">
        <v>33</v>
      </c>
      <c r="D29" t="s">
        <v>67</v>
      </c>
      <c r="E29">
        <v>0.36</v>
      </c>
      <c r="F29">
        <v>2</v>
      </c>
      <c r="G29">
        <v>0.1</v>
      </c>
      <c r="H29">
        <v>3</v>
      </c>
    </row>
    <row r="30" spans="1:8" x14ac:dyDescent="0.55000000000000004">
      <c r="A30">
        <v>7</v>
      </c>
      <c r="B30">
        <v>4</v>
      </c>
      <c r="C30">
        <v>1</v>
      </c>
      <c r="D30" t="s">
        <v>24</v>
      </c>
      <c r="E30">
        <v>0.72000000000000008</v>
      </c>
      <c r="F30">
        <v>3</v>
      </c>
      <c r="G30">
        <v>0.46</v>
      </c>
      <c r="H30">
        <v>2</v>
      </c>
    </row>
    <row r="31" spans="1:8" x14ac:dyDescent="0.55000000000000004">
      <c r="A31">
        <v>8</v>
      </c>
      <c r="B31">
        <v>1</v>
      </c>
      <c r="C31" t="s">
        <v>12</v>
      </c>
      <c r="D31" t="s">
        <v>64</v>
      </c>
      <c r="E31">
        <v>0.9</v>
      </c>
      <c r="F31">
        <v>3</v>
      </c>
      <c r="G31">
        <v>0.46</v>
      </c>
      <c r="H31">
        <v>2</v>
      </c>
    </row>
    <row r="32" spans="1:8" x14ac:dyDescent="0.55000000000000004">
      <c r="A32">
        <v>8</v>
      </c>
      <c r="B32">
        <v>2</v>
      </c>
      <c r="C32" t="s">
        <v>15</v>
      </c>
      <c r="D32" t="s">
        <v>65</v>
      </c>
      <c r="E32">
        <v>0.36</v>
      </c>
      <c r="F32">
        <v>2</v>
      </c>
      <c r="G32">
        <v>0.46</v>
      </c>
      <c r="H32">
        <v>2</v>
      </c>
    </row>
    <row r="33" spans="1:8" x14ac:dyDescent="0.55000000000000004">
      <c r="A33">
        <v>8</v>
      </c>
      <c r="B33">
        <v>3</v>
      </c>
      <c r="C33" t="s">
        <v>33</v>
      </c>
      <c r="D33" t="s">
        <v>67</v>
      </c>
      <c r="E33">
        <v>0.36</v>
      </c>
      <c r="F33">
        <v>2</v>
      </c>
      <c r="G33">
        <v>0.1</v>
      </c>
      <c r="H33">
        <v>3</v>
      </c>
    </row>
    <row r="34" spans="1:8" x14ac:dyDescent="0.55000000000000004">
      <c r="A34">
        <v>8</v>
      </c>
      <c r="B34">
        <v>4</v>
      </c>
      <c r="C34">
        <v>1</v>
      </c>
      <c r="D34" t="s">
        <v>27</v>
      </c>
      <c r="E34">
        <v>0.9</v>
      </c>
      <c r="F34">
        <v>3</v>
      </c>
      <c r="G34">
        <v>0.1</v>
      </c>
      <c r="H34">
        <v>3</v>
      </c>
    </row>
    <row r="35" spans="1:8" x14ac:dyDescent="0.55000000000000004">
      <c r="A35">
        <v>9</v>
      </c>
      <c r="B35">
        <v>1</v>
      </c>
      <c r="C35" t="s">
        <v>12</v>
      </c>
      <c r="D35" t="s">
        <v>64</v>
      </c>
      <c r="E35">
        <v>0.9</v>
      </c>
      <c r="F35">
        <v>3</v>
      </c>
      <c r="G35">
        <v>0.46</v>
      </c>
      <c r="H35">
        <v>2</v>
      </c>
    </row>
    <row r="36" spans="1:8" x14ac:dyDescent="0.55000000000000004">
      <c r="A36">
        <v>9</v>
      </c>
      <c r="B36">
        <v>2</v>
      </c>
      <c r="C36" t="s">
        <v>15</v>
      </c>
      <c r="D36" t="s">
        <v>65</v>
      </c>
      <c r="E36">
        <v>0.36</v>
      </c>
      <c r="F36">
        <v>2</v>
      </c>
      <c r="G36">
        <v>0.46</v>
      </c>
      <c r="H36">
        <v>2</v>
      </c>
    </row>
    <row r="37" spans="1:8" x14ac:dyDescent="0.55000000000000004">
      <c r="A37">
        <v>9</v>
      </c>
      <c r="B37">
        <v>3</v>
      </c>
      <c r="C37" t="s">
        <v>33</v>
      </c>
      <c r="D37" t="s">
        <v>67</v>
      </c>
      <c r="E37">
        <v>0.36</v>
      </c>
      <c r="F37">
        <v>2</v>
      </c>
      <c r="G37">
        <v>0.1</v>
      </c>
      <c r="H37">
        <v>3</v>
      </c>
    </row>
    <row r="38" spans="1:8" x14ac:dyDescent="0.55000000000000004">
      <c r="A38">
        <v>9</v>
      </c>
      <c r="B38">
        <v>4</v>
      </c>
      <c r="C38">
        <v>1</v>
      </c>
      <c r="D38" t="s">
        <v>30</v>
      </c>
      <c r="E38">
        <v>0.18</v>
      </c>
      <c r="F38">
        <v>1</v>
      </c>
      <c r="G38">
        <v>0.46</v>
      </c>
      <c r="H38">
        <v>2</v>
      </c>
    </row>
    <row r="39" spans="1:8" x14ac:dyDescent="0.55000000000000004">
      <c r="A39">
        <v>10</v>
      </c>
      <c r="B39">
        <v>1</v>
      </c>
      <c r="C39" t="s">
        <v>12</v>
      </c>
      <c r="D39" t="s">
        <v>64</v>
      </c>
      <c r="E39">
        <v>0.9</v>
      </c>
      <c r="F39">
        <v>3</v>
      </c>
      <c r="G39">
        <v>0.46</v>
      </c>
      <c r="H39">
        <v>2</v>
      </c>
    </row>
    <row r="40" spans="1:8" x14ac:dyDescent="0.55000000000000004">
      <c r="A40">
        <v>10</v>
      </c>
      <c r="B40">
        <v>2</v>
      </c>
      <c r="C40" t="s">
        <v>15</v>
      </c>
      <c r="D40" t="s">
        <v>65</v>
      </c>
      <c r="E40">
        <v>0.36</v>
      </c>
      <c r="F40">
        <v>2</v>
      </c>
      <c r="G40">
        <v>0.46</v>
      </c>
      <c r="H40">
        <v>2</v>
      </c>
    </row>
    <row r="41" spans="1:8" x14ac:dyDescent="0.55000000000000004">
      <c r="A41">
        <v>10</v>
      </c>
      <c r="B41">
        <v>3</v>
      </c>
      <c r="C41" t="s">
        <v>36</v>
      </c>
      <c r="D41" t="s">
        <v>68</v>
      </c>
      <c r="E41">
        <v>0.36</v>
      </c>
      <c r="F41">
        <v>2</v>
      </c>
      <c r="G41">
        <v>0.1</v>
      </c>
      <c r="H41">
        <v>3</v>
      </c>
    </row>
    <row r="42" spans="1:8" x14ac:dyDescent="0.55000000000000004">
      <c r="A42">
        <v>10</v>
      </c>
      <c r="B42">
        <v>4</v>
      </c>
      <c r="C42">
        <v>1</v>
      </c>
      <c r="D42" t="s">
        <v>20</v>
      </c>
      <c r="E42">
        <v>0.18</v>
      </c>
      <c r="F42">
        <v>1</v>
      </c>
      <c r="G42">
        <v>0.46</v>
      </c>
      <c r="H42">
        <v>2</v>
      </c>
    </row>
    <row r="43" spans="1:8" x14ac:dyDescent="0.55000000000000004">
      <c r="A43">
        <v>11</v>
      </c>
      <c r="B43">
        <v>1</v>
      </c>
      <c r="C43" t="s">
        <v>12</v>
      </c>
      <c r="D43" t="s">
        <v>64</v>
      </c>
      <c r="E43">
        <v>0.9</v>
      </c>
      <c r="F43">
        <v>3</v>
      </c>
      <c r="G43">
        <v>0.46</v>
      </c>
      <c r="H43">
        <v>2</v>
      </c>
    </row>
    <row r="44" spans="1:8" x14ac:dyDescent="0.55000000000000004">
      <c r="A44">
        <v>11</v>
      </c>
      <c r="B44">
        <v>2</v>
      </c>
      <c r="C44" t="s">
        <v>15</v>
      </c>
      <c r="D44" t="s">
        <v>65</v>
      </c>
      <c r="E44">
        <v>0.36</v>
      </c>
      <c r="F44">
        <v>2</v>
      </c>
      <c r="G44">
        <v>0.46</v>
      </c>
      <c r="H44">
        <v>2</v>
      </c>
    </row>
    <row r="45" spans="1:8" x14ac:dyDescent="0.55000000000000004">
      <c r="A45">
        <v>11</v>
      </c>
      <c r="B45">
        <v>3</v>
      </c>
      <c r="C45" t="s">
        <v>36</v>
      </c>
      <c r="D45" t="s">
        <v>68</v>
      </c>
      <c r="E45">
        <v>0.36</v>
      </c>
      <c r="F45">
        <v>2</v>
      </c>
      <c r="G45">
        <v>0.1</v>
      </c>
      <c r="H45">
        <v>3</v>
      </c>
    </row>
    <row r="46" spans="1:8" x14ac:dyDescent="0.55000000000000004">
      <c r="A46">
        <v>11</v>
      </c>
      <c r="B46">
        <v>4</v>
      </c>
      <c r="C46">
        <v>1</v>
      </c>
      <c r="D46" t="s">
        <v>24</v>
      </c>
      <c r="E46">
        <v>0.72000000000000008</v>
      </c>
      <c r="F46">
        <v>3</v>
      </c>
      <c r="G46">
        <v>0.46</v>
      </c>
      <c r="H46">
        <v>2</v>
      </c>
    </row>
    <row r="47" spans="1:8" x14ac:dyDescent="0.55000000000000004">
      <c r="A47">
        <v>12</v>
      </c>
      <c r="B47">
        <v>1</v>
      </c>
      <c r="C47" t="s">
        <v>12</v>
      </c>
      <c r="D47" t="s">
        <v>64</v>
      </c>
      <c r="E47">
        <v>0.9</v>
      </c>
      <c r="F47">
        <v>3</v>
      </c>
      <c r="G47">
        <v>0.46</v>
      </c>
      <c r="H47">
        <v>2</v>
      </c>
    </row>
    <row r="48" spans="1:8" x14ac:dyDescent="0.55000000000000004">
      <c r="A48">
        <v>12</v>
      </c>
      <c r="B48">
        <v>2</v>
      </c>
      <c r="C48" t="s">
        <v>15</v>
      </c>
      <c r="D48" t="s">
        <v>65</v>
      </c>
      <c r="E48">
        <v>0.36</v>
      </c>
      <c r="F48">
        <v>2</v>
      </c>
      <c r="G48">
        <v>0.46</v>
      </c>
      <c r="H48">
        <v>2</v>
      </c>
    </row>
    <row r="49" spans="1:8" x14ac:dyDescent="0.55000000000000004">
      <c r="A49">
        <v>12</v>
      </c>
      <c r="B49">
        <v>3</v>
      </c>
      <c r="C49" t="s">
        <v>36</v>
      </c>
      <c r="D49" t="s">
        <v>68</v>
      </c>
      <c r="E49">
        <v>0.36</v>
      </c>
      <c r="F49">
        <v>2</v>
      </c>
      <c r="G49">
        <v>0.1</v>
      </c>
      <c r="H49">
        <v>3</v>
      </c>
    </row>
    <row r="50" spans="1:8" x14ac:dyDescent="0.55000000000000004">
      <c r="A50">
        <v>12</v>
      </c>
      <c r="B50">
        <v>4</v>
      </c>
      <c r="C50">
        <v>1</v>
      </c>
      <c r="D50" t="s">
        <v>27</v>
      </c>
      <c r="E50">
        <v>0.9</v>
      </c>
      <c r="F50">
        <v>3</v>
      </c>
      <c r="G50">
        <v>0.1</v>
      </c>
      <c r="H50">
        <v>3</v>
      </c>
    </row>
    <row r="51" spans="1:8" x14ac:dyDescent="0.55000000000000004">
      <c r="A51">
        <v>13</v>
      </c>
      <c r="B51">
        <v>1</v>
      </c>
      <c r="C51" t="s">
        <v>12</v>
      </c>
      <c r="D51" t="s">
        <v>64</v>
      </c>
      <c r="E51">
        <v>0.9</v>
      </c>
      <c r="F51">
        <v>3</v>
      </c>
      <c r="G51">
        <v>0.46</v>
      </c>
      <c r="H51">
        <v>2</v>
      </c>
    </row>
    <row r="52" spans="1:8" x14ac:dyDescent="0.55000000000000004">
      <c r="A52">
        <v>13</v>
      </c>
      <c r="B52">
        <v>2</v>
      </c>
      <c r="C52" t="s">
        <v>15</v>
      </c>
      <c r="D52" t="s">
        <v>65</v>
      </c>
      <c r="E52">
        <v>0.36</v>
      </c>
      <c r="F52">
        <v>2</v>
      </c>
      <c r="G52">
        <v>0.46</v>
      </c>
      <c r="H52">
        <v>2</v>
      </c>
    </row>
    <row r="53" spans="1:8" x14ac:dyDescent="0.55000000000000004">
      <c r="A53">
        <v>13</v>
      </c>
      <c r="B53">
        <v>3</v>
      </c>
      <c r="C53" t="s">
        <v>36</v>
      </c>
      <c r="D53" t="s">
        <v>68</v>
      </c>
      <c r="E53">
        <v>0.36</v>
      </c>
      <c r="F53">
        <v>2</v>
      </c>
      <c r="G53">
        <v>0.1</v>
      </c>
      <c r="H53">
        <v>3</v>
      </c>
    </row>
    <row r="54" spans="1:8" x14ac:dyDescent="0.55000000000000004">
      <c r="A54">
        <v>13</v>
      </c>
      <c r="B54">
        <v>4</v>
      </c>
      <c r="C54">
        <v>1</v>
      </c>
      <c r="D54" t="s">
        <v>30</v>
      </c>
      <c r="E54">
        <v>0.18</v>
      </c>
      <c r="F54">
        <v>1</v>
      </c>
      <c r="G54">
        <v>0.46</v>
      </c>
      <c r="H54">
        <v>2</v>
      </c>
    </row>
    <row r="55" spans="1:8" x14ac:dyDescent="0.55000000000000004">
      <c r="A55">
        <v>14</v>
      </c>
      <c r="B55">
        <v>1</v>
      </c>
      <c r="C55" t="s">
        <v>12</v>
      </c>
      <c r="D55" t="s">
        <v>64</v>
      </c>
      <c r="E55">
        <v>0.9</v>
      </c>
      <c r="F55">
        <v>3</v>
      </c>
      <c r="G55">
        <v>0.46</v>
      </c>
      <c r="H55">
        <v>2</v>
      </c>
    </row>
    <row r="56" spans="1:8" x14ac:dyDescent="0.55000000000000004">
      <c r="A56">
        <v>14</v>
      </c>
      <c r="B56">
        <v>2</v>
      </c>
      <c r="C56" t="s">
        <v>15</v>
      </c>
      <c r="D56" t="s">
        <v>65</v>
      </c>
      <c r="E56">
        <v>0.36</v>
      </c>
      <c r="F56">
        <v>2</v>
      </c>
      <c r="G56">
        <v>0.46</v>
      </c>
      <c r="H56">
        <v>2</v>
      </c>
    </row>
    <row r="57" spans="1:8" x14ac:dyDescent="0.55000000000000004">
      <c r="A57">
        <v>14</v>
      </c>
      <c r="B57">
        <v>3</v>
      </c>
      <c r="C57" t="s">
        <v>39</v>
      </c>
      <c r="D57" t="s">
        <v>69</v>
      </c>
      <c r="E57">
        <v>0.36</v>
      </c>
      <c r="F57">
        <v>2</v>
      </c>
      <c r="G57">
        <v>0.1</v>
      </c>
      <c r="H57">
        <v>3</v>
      </c>
    </row>
    <row r="58" spans="1:8" x14ac:dyDescent="0.55000000000000004">
      <c r="A58">
        <v>14</v>
      </c>
      <c r="B58">
        <v>4</v>
      </c>
      <c r="C58">
        <v>1</v>
      </c>
      <c r="D58" t="s">
        <v>20</v>
      </c>
      <c r="E58">
        <v>0.18</v>
      </c>
      <c r="F58">
        <v>1</v>
      </c>
      <c r="G58">
        <v>0.46</v>
      </c>
      <c r="H58">
        <v>2</v>
      </c>
    </row>
    <row r="59" spans="1:8" x14ac:dyDescent="0.55000000000000004">
      <c r="A59">
        <v>15</v>
      </c>
      <c r="B59">
        <v>1</v>
      </c>
      <c r="C59" t="s">
        <v>12</v>
      </c>
      <c r="D59" t="s">
        <v>64</v>
      </c>
      <c r="E59">
        <v>0.9</v>
      </c>
      <c r="F59">
        <v>3</v>
      </c>
      <c r="G59">
        <v>0.46</v>
      </c>
      <c r="H59">
        <v>2</v>
      </c>
    </row>
    <row r="60" spans="1:8" x14ac:dyDescent="0.55000000000000004">
      <c r="A60">
        <v>15</v>
      </c>
      <c r="B60">
        <v>2</v>
      </c>
      <c r="C60" t="s">
        <v>15</v>
      </c>
      <c r="D60" t="s">
        <v>65</v>
      </c>
      <c r="E60">
        <v>0.36</v>
      </c>
      <c r="F60">
        <v>2</v>
      </c>
      <c r="G60">
        <v>0.46</v>
      </c>
      <c r="H60">
        <v>2</v>
      </c>
    </row>
    <row r="61" spans="1:8" x14ac:dyDescent="0.55000000000000004">
      <c r="A61">
        <v>15</v>
      </c>
      <c r="B61">
        <v>3</v>
      </c>
      <c r="C61" t="s">
        <v>39</v>
      </c>
      <c r="D61" t="s">
        <v>69</v>
      </c>
      <c r="E61">
        <v>0.36</v>
      </c>
      <c r="F61">
        <v>2</v>
      </c>
      <c r="G61">
        <v>0.1</v>
      </c>
      <c r="H61">
        <v>3</v>
      </c>
    </row>
    <row r="62" spans="1:8" x14ac:dyDescent="0.55000000000000004">
      <c r="A62">
        <v>15</v>
      </c>
      <c r="B62">
        <v>4</v>
      </c>
      <c r="C62">
        <v>1</v>
      </c>
      <c r="D62" t="s">
        <v>24</v>
      </c>
      <c r="E62">
        <v>0.72000000000000008</v>
      </c>
      <c r="F62">
        <v>3</v>
      </c>
      <c r="G62">
        <v>0.46</v>
      </c>
      <c r="H62">
        <v>2</v>
      </c>
    </row>
    <row r="63" spans="1:8" x14ac:dyDescent="0.55000000000000004">
      <c r="A63">
        <v>16</v>
      </c>
      <c r="B63">
        <v>1</v>
      </c>
      <c r="C63" t="s">
        <v>12</v>
      </c>
      <c r="D63" t="s">
        <v>64</v>
      </c>
      <c r="E63">
        <v>0.9</v>
      </c>
      <c r="F63">
        <v>3</v>
      </c>
      <c r="G63">
        <v>0.46</v>
      </c>
      <c r="H63">
        <v>2</v>
      </c>
    </row>
    <row r="64" spans="1:8" x14ac:dyDescent="0.55000000000000004">
      <c r="A64">
        <v>16</v>
      </c>
      <c r="B64">
        <v>2</v>
      </c>
      <c r="C64" t="s">
        <v>15</v>
      </c>
      <c r="D64" t="s">
        <v>65</v>
      </c>
      <c r="E64">
        <v>0.36</v>
      </c>
      <c r="F64">
        <v>2</v>
      </c>
      <c r="G64">
        <v>0.46</v>
      </c>
      <c r="H64">
        <v>2</v>
      </c>
    </row>
    <row r="65" spans="1:8" x14ac:dyDescent="0.55000000000000004">
      <c r="A65">
        <v>16</v>
      </c>
      <c r="B65">
        <v>3</v>
      </c>
      <c r="C65" t="s">
        <v>39</v>
      </c>
      <c r="D65" t="s">
        <v>69</v>
      </c>
      <c r="E65">
        <v>0.36</v>
      </c>
      <c r="F65">
        <v>2</v>
      </c>
      <c r="G65">
        <v>0.1</v>
      </c>
      <c r="H65">
        <v>3</v>
      </c>
    </row>
    <row r="66" spans="1:8" x14ac:dyDescent="0.55000000000000004">
      <c r="A66">
        <v>16</v>
      </c>
      <c r="B66">
        <v>4</v>
      </c>
      <c r="C66">
        <v>1</v>
      </c>
      <c r="D66" t="s">
        <v>27</v>
      </c>
      <c r="E66">
        <v>0.9</v>
      </c>
      <c r="F66">
        <v>3</v>
      </c>
      <c r="G66">
        <v>0.1</v>
      </c>
      <c r="H66">
        <v>3</v>
      </c>
    </row>
    <row r="67" spans="1:8" x14ac:dyDescent="0.55000000000000004">
      <c r="A67">
        <v>17</v>
      </c>
      <c r="B67">
        <v>1</v>
      </c>
      <c r="C67" t="s">
        <v>12</v>
      </c>
      <c r="D67" t="s">
        <v>64</v>
      </c>
      <c r="E67">
        <v>0.9</v>
      </c>
      <c r="F67">
        <v>3</v>
      </c>
      <c r="G67">
        <v>0.46</v>
      </c>
      <c r="H67">
        <v>2</v>
      </c>
    </row>
    <row r="68" spans="1:8" x14ac:dyDescent="0.55000000000000004">
      <c r="A68">
        <v>17</v>
      </c>
      <c r="B68">
        <v>2</v>
      </c>
      <c r="C68" t="s">
        <v>15</v>
      </c>
      <c r="D68" t="s">
        <v>65</v>
      </c>
      <c r="E68">
        <v>0.36</v>
      </c>
      <c r="F68">
        <v>2</v>
      </c>
      <c r="G68">
        <v>0.46</v>
      </c>
      <c r="H68">
        <v>2</v>
      </c>
    </row>
    <row r="69" spans="1:8" x14ac:dyDescent="0.55000000000000004">
      <c r="A69">
        <v>17</v>
      </c>
      <c r="B69">
        <v>3</v>
      </c>
      <c r="C69" t="s">
        <v>39</v>
      </c>
      <c r="D69" t="s">
        <v>69</v>
      </c>
      <c r="E69">
        <v>0.36</v>
      </c>
      <c r="F69">
        <v>2</v>
      </c>
      <c r="G69">
        <v>0.1</v>
      </c>
      <c r="H69">
        <v>3</v>
      </c>
    </row>
    <row r="70" spans="1:8" x14ac:dyDescent="0.55000000000000004">
      <c r="A70">
        <v>17</v>
      </c>
      <c r="B70">
        <v>4</v>
      </c>
      <c r="C70">
        <v>1</v>
      </c>
      <c r="D70" t="s">
        <v>30</v>
      </c>
      <c r="E70">
        <v>0.18</v>
      </c>
      <c r="F70">
        <v>1</v>
      </c>
      <c r="G70">
        <v>0.46</v>
      </c>
      <c r="H70">
        <v>2</v>
      </c>
    </row>
    <row r="71" spans="1:8" x14ac:dyDescent="0.55000000000000004">
      <c r="A71">
        <v>18</v>
      </c>
      <c r="B71">
        <v>1</v>
      </c>
      <c r="C71" t="s">
        <v>12</v>
      </c>
      <c r="D71" t="s">
        <v>64</v>
      </c>
      <c r="E71">
        <v>0.9</v>
      </c>
      <c r="F71">
        <v>3</v>
      </c>
      <c r="G71">
        <v>0.46</v>
      </c>
      <c r="H71">
        <v>2</v>
      </c>
    </row>
    <row r="72" spans="1:8" x14ac:dyDescent="0.55000000000000004">
      <c r="A72">
        <v>18</v>
      </c>
      <c r="B72">
        <v>2</v>
      </c>
      <c r="C72" t="s">
        <v>42</v>
      </c>
      <c r="D72" t="s">
        <v>70</v>
      </c>
      <c r="E72">
        <v>0.36</v>
      </c>
      <c r="F72">
        <v>2</v>
      </c>
      <c r="G72">
        <v>0.1</v>
      </c>
      <c r="H72">
        <v>3</v>
      </c>
    </row>
    <row r="73" spans="1:8" x14ac:dyDescent="0.55000000000000004">
      <c r="A73">
        <v>18</v>
      </c>
      <c r="B73">
        <v>3</v>
      </c>
      <c r="C73" t="s">
        <v>17</v>
      </c>
      <c r="D73" t="s">
        <v>66</v>
      </c>
      <c r="E73">
        <v>0.36</v>
      </c>
      <c r="F73">
        <v>2</v>
      </c>
      <c r="G73">
        <v>0.1</v>
      </c>
      <c r="H73">
        <v>3</v>
      </c>
    </row>
    <row r="74" spans="1:8" x14ac:dyDescent="0.55000000000000004">
      <c r="A74">
        <v>18</v>
      </c>
      <c r="B74">
        <v>4</v>
      </c>
      <c r="C74">
        <v>1</v>
      </c>
      <c r="D74" t="s">
        <v>20</v>
      </c>
      <c r="E74">
        <v>0.18</v>
      </c>
      <c r="F74">
        <v>1</v>
      </c>
      <c r="G74">
        <v>0.46</v>
      </c>
      <c r="H74">
        <v>2</v>
      </c>
    </row>
    <row r="75" spans="1:8" x14ac:dyDescent="0.55000000000000004">
      <c r="A75">
        <v>19</v>
      </c>
      <c r="B75">
        <v>1</v>
      </c>
      <c r="C75" t="s">
        <v>12</v>
      </c>
      <c r="D75" t="s">
        <v>64</v>
      </c>
      <c r="E75">
        <v>0.9</v>
      </c>
      <c r="F75">
        <v>3</v>
      </c>
      <c r="G75">
        <v>0.46</v>
      </c>
      <c r="H75">
        <v>2</v>
      </c>
    </row>
    <row r="76" spans="1:8" x14ac:dyDescent="0.55000000000000004">
      <c r="A76">
        <v>19</v>
      </c>
      <c r="B76">
        <v>2</v>
      </c>
      <c r="C76" t="s">
        <v>42</v>
      </c>
      <c r="D76" t="s">
        <v>70</v>
      </c>
      <c r="E76">
        <v>0.36</v>
      </c>
      <c r="F76">
        <v>2</v>
      </c>
      <c r="G76">
        <v>0.1</v>
      </c>
      <c r="H76">
        <v>3</v>
      </c>
    </row>
    <row r="77" spans="1:8" x14ac:dyDescent="0.55000000000000004">
      <c r="A77">
        <v>19</v>
      </c>
      <c r="B77">
        <v>3</v>
      </c>
      <c r="C77" t="s">
        <v>17</v>
      </c>
      <c r="D77" t="s">
        <v>66</v>
      </c>
      <c r="E77">
        <v>0.36</v>
      </c>
      <c r="F77">
        <v>2</v>
      </c>
      <c r="G77">
        <v>0.1</v>
      </c>
      <c r="H77">
        <v>3</v>
      </c>
    </row>
    <row r="78" spans="1:8" x14ac:dyDescent="0.55000000000000004">
      <c r="A78">
        <v>19</v>
      </c>
      <c r="B78">
        <v>4</v>
      </c>
      <c r="C78">
        <v>1</v>
      </c>
      <c r="D78" t="s">
        <v>24</v>
      </c>
      <c r="E78">
        <v>0.72000000000000008</v>
      </c>
      <c r="F78">
        <v>3</v>
      </c>
      <c r="G78">
        <v>0.46</v>
      </c>
      <c r="H78">
        <v>2</v>
      </c>
    </row>
    <row r="79" spans="1:8" x14ac:dyDescent="0.55000000000000004">
      <c r="A79">
        <v>20</v>
      </c>
      <c r="B79">
        <v>1</v>
      </c>
      <c r="C79" t="s">
        <v>12</v>
      </c>
      <c r="D79" t="s">
        <v>64</v>
      </c>
      <c r="E79">
        <v>0.9</v>
      </c>
      <c r="F79">
        <v>3</v>
      </c>
      <c r="G79">
        <v>0.46</v>
      </c>
      <c r="H79">
        <v>2</v>
      </c>
    </row>
    <row r="80" spans="1:8" x14ac:dyDescent="0.55000000000000004">
      <c r="A80">
        <v>20</v>
      </c>
      <c r="B80">
        <v>2</v>
      </c>
      <c r="C80" t="s">
        <v>42</v>
      </c>
      <c r="D80" t="s">
        <v>70</v>
      </c>
      <c r="E80">
        <v>0.36</v>
      </c>
      <c r="F80">
        <v>2</v>
      </c>
      <c r="G80">
        <v>0.1</v>
      </c>
      <c r="H80">
        <v>3</v>
      </c>
    </row>
    <row r="81" spans="1:8" x14ac:dyDescent="0.55000000000000004">
      <c r="A81">
        <v>20</v>
      </c>
      <c r="B81">
        <v>3</v>
      </c>
      <c r="C81" t="s">
        <v>17</v>
      </c>
      <c r="D81" t="s">
        <v>66</v>
      </c>
      <c r="E81">
        <v>0.36</v>
      </c>
      <c r="F81">
        <v>2</v>
      </c>
      <c r="G81">
        <v>0.1</v>
      </c>
      <c r="H81">
        <v>3</v>
      </c>
    </row>
    <row r="82" spans="1:8" x14ac:dyDescent="0.55000000000000004">
      <c r="A82">
        <v>20</v>
      </c>
      <c r="B82">
        <v>4</v>
      </c>
      <c r="C82">
        <v>1</v>
      </c>
      <c r="D82" t="s">
        <v>27</v>
      </c>
      <c r="E82">
        <v>0.9</v>
      </c>
      <c r="F82">
        <v>3</v>
      </c>
      <c r="G82">
        <v>0.1</v>
      </c>
      <c r="H82">
        <v>3</v>
      </c>
    </row>
    <row r="83" spans="1:8" x14ac:dyDescent="0.55000000000000004">
      <c r="A83">
        <v>21</v>
      </c>
      <c r="B83">
        <v>1</v>
      </c>
      <c r="C83" t="s">
        <v>12</v>
      </c>
      <c r="D83" t="s">
        <v>64</v>
      </c>
      <c r="E83">
        <v>0.9</v>
      </c>
      <c r="F83">
        <v>3</v>
      </c>
      <c r="G83">
        <v>0.46</v>
      </c>
      <c r="H83">
        <v>2</v>
      </c>
    </row>
    <row r="84" spans="1:8" x14ac:dyDescent="0.55000000000000004">
      <c r="A84">
        <v>21</v>
      </c>
      <c r="B84">
        <v>2</v>
      </c>
      <c r="C84" t="s">
        <v>42</v>
      </c>
      <c r="D84" t="s">
        <v>70</v>
      </c>
      <c r="E84">
        <v>0.36</v>
      </c>
      <c r="F84">
        <v>2</v>
      </c>
      <c r="G84">
        <v>0.1</v>
      </c>
      <c r="H84">
        <v>3</v>
      </c>
    </row>
    <row r="85" spans="1:8" x14ac:dyDescent="0.55000000000000004">
      <c r="A85">
        <v>21</v>
      </c>
      <c r="B85">
        <v>3</v>
      </c>
      <c r="C85" t="s">
        <v>17</v>
      </c>
      <c r="D85" t="s">
        <v>66</v>
      </c>
      <c r="E85">
        <v>0.36</v>
      </c>
      <c r="F85">
        <v>2</v>
      </c>
      <c r="G85">
        <v>0.1</v>
      </c>
      <c r="H85">
        <v>3</v>
      </c>
    </row>
    <row r="86" spans="1:8" x14ac:dyDescent="0.55000000000000004">
      <c r="A86">
        <v>21</v>
      </c>
      <c r="B86">
        <v>4</v>
      </c>
      <c r="C86">
        <v>1</v>
      </c>
      <c r="D86" t="s">
        <v>30</v>
      </c>
      <c r="E86">
        <v>0.18</v>
      </c>
      <c r="F86">
        <v>1</v>
      </c>
      <c r="G86">
        <v>0.46</v>
      </c>
      <c r="H86">
        <v>2</v>
      </c>
    </row>
    <row r="87" spans="1:8" x14ac:dyDescent="0.55000000000000004">
      <c r="A87">
        <v>22</v>
      </c>
      <c r="B87">
        <v>1</v>
      </c>
      <c r="C87" t="s">
        <v>12</v>
      </c>
      <c r="D87" t="s">
        <v>64</v>
      </c>
      <c r="E87">
        <v>0.9</v>
      </c>
      <c r="F87">
        <v>3</v>
      </c>
      <c r="G87">
        <v>0.46</v>
      </c>
      <c r="H87">
        <v>2</v>
      </c>
    </row>
    <row r="88" spans="1:8" x14ac:dyDescent="0.55000000000000004">
      <c r="A88">
        <v>22</v>
      </c>
      <c r="B88">
        <v>2</v>
      </c>
      <c r="C88" t="s">
        <v>42</v>
      </c>
      <c r="D88" t="s">
        <v>70</v>
      </c>
      <c r="E88">
        <v>0.36</v>
      </c>
      <c r="F88">
        <v>2</v>
      </c>
      <c r="G88">
        <v>0.1</v>
      </c>
      <c r="H88">
        <v>3</v>
      </c>
    </row>
    <row r="89" spans="1:8" x14ac:dyDescent="0.55000000000000004">
      <c r="A89">
        <v>22</v>
      </c>
      <c r="B89">
        <v>3</v>
      </c>
      <c r="C89" t="s">
        <v>33</v>
      </c>
      <c r="D89" t="s">
        <v>67</v>
      </c>
      <c r="E89">
        <v>0.36</v>
      </c>
      <c r="F89">
        <v>2</v>
      </c>
      <c r="G89">
        <v>0.1</v>
      </c>
      <c r="H89">
        <v>3</v>
      </c>
    </row>
    <row r="90" spans="1:8" x14ac:dyDescent="0.55000000000000004">
      <c r="A90">
        <v>22</v>
      </c>
      <c r="B90">
        <v>4</v>
      </c>
      <c r="C90">
        <v>1</v>
      </c>
      <c r="D90" t="s">
        <v>20</v>
      </c>
      <c r="E90">
        <v>0.18</v>
      </c>
      <c r="F90">
        <v>1</v>
      </c>
      <c r="G90">
        <v>0.46</v>
      </c>
      <c r="H90">
        <v>2</v>
      </c>
    </row>
    <row r="91" spans="1:8" x14ac:dyDescent="0.55000000000000004">
      <c r="A91">
        <v>23</v>
      </c>
      <c r="B91">
        <v>1</v>
      </c>
      <c r="C91" t="s">
        <v>12</v>
      </c>
      <c r="D91" t="s">
        <v>64</v>
      </c>
      <c r="E91">
        <v>0.9</v>
      </c>
      <c r="F91">
        <v>3</v>
      </c>
      <c r="G91">
        <v>0.46</v>
      </c>
      <c r="H91">
        <v>2</v>
      </c>
    </row>
    <row r="92" spans="1:8" x14ac:dyDescent="0.55000000000000004">
      <c r="A92">
        <v>23</v>
      </c>
      <c r="B92">
        <v>2</v>
      </c>
      <c r="C92" t="s">
        <v>42</v>
      </c>
      <c r="D92" t="s">
        <v>70</v>
      </c>
      <c r="E92">
        <v>0.36</v>
      </c>
      <c r="F92">
        <v>2</v>
      </c>
      <c r="G92">
        <v>0.1</v>
      </c>
      <c r="H92">
        <v>3</v>
      </c>
    </row>
    <row r="93" spans="1:8" x14ac:dyDescent="0.55000000000000004">
      <c r="A93">
        <v>23</v>
      </c>
      <c r="B93">
        <v>3</v>
      </c>
      <c r="C93" t="s">
        <v>33</v>
      </c>
      <c r="D93" t="s">
        <v>67</v>
      </c>
      <c r="E93">
        <v>0.36</v>
      </c>
      <c r="F93">
        <v>2</v>
      </c>
      <c r="G93">
        <v>0.1</v>
      </c>
      <c r="H93">
        <v>3</v>
      </c>
    </row>
    <row r="94" spans="1:8" x14ac:dyDescent="0.55000000000000004">
      <c r="A94">
        <v>23</v>
      </c>
      <c r="B94">
        <v>4</v>
      </c>
      <c r="C94">
        <v>1</v>
      </c>
      <c r="D94" t="s">
        <v>24</v>
      </c>
      <c r="E94">
        <v>0.72000000000000008</v>
      </c>
      <c r="F94">
        <v>3</v>
      </c>
      <c r="G94">
        <v>0.46</v>
      </c>
      <c r="H94">
        <v>2</v>
      </c>
    </row>
    <row r="95" spans="1:8" x14ac:dyDescent="0.55000000000000004">
      <c r="A95">
        <v>24</v>
      </c>
      <c r="B95">
        <v>1</v>
      </c>
      <c r="C95" t="s">
        <v>12</v>
      </c>
      <c r="D95" t="s">
        <v>64</v>
      </c>
      <c r="E95">
        <v>0.9</v>
      </c>
      <c r="F95">
        <v>3</v>
      </c>
      <c r="G95">
        <v>0.46</v>
      </c>
      <c r="H95">
        <v>2</v>
      </c>
    </row>
    <row r="96" spans="1:8" x14ac:dyDescent="0.55000000000000004">
      <c r="A96">
        <v>24</v>
      </c>
      <c r="B96">
        <v>2</v>
      </c>
      <c r="C96" t="s">
        <v>42</v>
      </c>
      <c r="D96" t="s">
        <v>70</v>
      </c>
      <c r="E96">
        <v>0.36</v>
      </c>
      <c r="F96">
        <v>2</v>
      </c>
      <c r="G96">
        <v>0.1</v>
      </c>
      <c r="H96">
        <v>3</v>
      </c>
    </row>
    <row r="97" spans="1:8" x14ac:dyDescent="0.55000000000000004">
      <c r="A97">
        <v>24</v>
      </c>
      <c r="B97">
        <v>3</v>
      </c>
      <c r="C97" t="s">
        <v>33</v>
      </c>
      <c r="D97" t="s">
        <v>67</v>
      </c>
      <c r="E97">
        <v>0.36</v>
      </c>
      <c r="F97">
        <v>2</v>
      </c>
      <c r="G97">
        <v>0.1</v>
      </c>
      <c r="H97">
        <v>3</v>
      </c>
    </row>
    <row r="98" spans="1:8" x14ac:dyDescent="0.55000000000000004">
      <c r="A98">
        <v>24</v>
      </c>
      <c r="B98">
        <v>4</v>
      </c>
      <c r="C98">
        <v>1</v>
      </c>
      <c r="D98" t="s">
        <v>27</v>
      </c>
      <c r="E98">
        <v>0.9</v>
      </c>
      <c r="F98">
        <v>3</v>
      </c>
      <c r="G98">
        <v>0.1</v>
      </c>
      <c r="H98">
        <v>3</v>
      </c>
    </row>
    <row r="99" spans="1:8" x14ac:dyDescent="0.55000000000000004">
      <c r="A99">
        <v>25</v>
      </c>
      <c r="B99">
        <v>1</v>
      </c>
      <c r="C99" t="s">
        <v>12</v>
      </c>
      <c r="D99" t="s">
        <v>64</v>
      </c>
      <c r="E99">
        <v>0.9</v>
      </c>
      <c r="F99">
        <v>3</v>
      </c>
      <c r="G99">
        <v>0.46</v>
      </c>
      <c r="H99">
        <v>2</v>
      </c>
    </row>
    <row r="100" spans="1:8" x14ac:dyDescent="0.55000000000000004">
      <c r="A100">
        <v>25</v>
      </c>
      <c r="B100">
        <v>2</v>
      </c>
      <c r="C100" t="s">
        <v>42</v>
      </c>
      <c r="D100" t="s">
        <v>70</v>
      </c>
      <c r="E100">
        <v>0.36</v>
      </c>
      <c r="F100">
        <v>2</v>
      </c>
      <c r="G100">
        <v>0.1</v>
      </c>
      <c r="H100">
        <v>3</v>
      </c>
    </row>
    <row r="101" spans="1:8" x14ac:dyDescent="0.55000000000000004">
      <c r="A101">
        <v>25</v>
      </c>
      <c r="B101">
        <v>3</v>
      </c>
      <c r="C101" t="s">
        <v>33</v>
      </c>
      <c r="D101" t="s">
        <v>67</v>
      </c>
      <c r="E101">
        <v>0.36</v>
      </c>
      <c r="F101">
        <v>2</v>
      </c>
      <c r="G101">
        <v>0.1</v>
      </c>
      <c r="H101">
        <v>3</v>
      </c>
    </row>
    <row r="102" spans="1:8" x14ac:dyDescent="0.55000000000000004">
      <c r="A102">
        <v>25</v>
      </c>
      <c r="B102">
        <v>4</v>
      </c>
      <c r="C102">
        <v>1</v>
      </c>
      <c r="D102" t="s">
        <v>30</v>
      </c>
      <c r="E102">
        <v>0.18</v>
      </c>
      <c r="F102">
        <v>1</v>
      </c>
      <c r="G102">
        <v>0.46</v>
      </c>
      <c r="H102">
        <v>2</v>
      </c>
    </row>
    <row r="103" spans="1:8" x14ac:dyDescent="0.55000000000000004">
      <c r="A103">
        <v>26</v>
      </c>
      <c r="B103">
        <v>1</v>
      </c>
      <c r="C103" t="s">
        <v>12</v>
      </c>
      <c r="D103" t="s">
        <v>64</v>
      </c>
      <c r="E103">
        <v>0.9</v>
      </c>
      <c r="F103">
        <v>3</v>
      </c>
      <c r="G103">
        <v>0.46</v>
      </c>
      <c r="H103">
        <v>2</v>
      </c>
    </row>
    <row r="104" spans="1:8" x14ac:dyDescent="0.55000000000000004">
      <c r="A104">
        <v>26</v>
      </c>
      <c r="B104">
        <v>2</v>
      </c>
      <c r="C104" t="s">
        <v>42</v>
      </c>
      <c r="D104" t="s">
        <v>70</v>
      </c>
      <c r="E104">
        <v>0.36</v>
      </c>
      <c r="F104">
        <v>2</v>
      </c>
      <c r="G104">
        <v>0.1</v>
      </c>
      <c r="H104">
        <v>3</v>
      </c>
    </row>
    <row r="105" spans="1:8" x14ac:dyDescent="0.55000000000000004">
      <c r="A105">
        <v>26</v>
      </c>
      <c r="B105">
        <v>3</v>
      </c>
      <c r="C105" t="s">
        <v>36</v>
      </c>
      <c r="D105" t="s">
        <v>68</v>
      </c>
      <c r="E105">
        <v>0.36</v>
      </c>
      <c r="F105">
        <v>2</v>
      </c>
      <c r="G105">
        <v>0.1</v>
      </c>
      <c r="H105">
        <v>3</v>
      </c>
    </row>
    <row r="106" spans="1:8" x14ac:dyDescent="0.55000000000000004">
      <c r="A106">
        <v>26</v>
      </c>
      <c r="B106">
        <v>4</v>
      </c>
      <c r="C106">
        <v>1</v>
      </c>
      <c r="D106" t="s">
        <v>20</v>
      </c>
      <c r="E106">
        <v>0.18</v>
      </c>
      <c r="F106">
        <v>1</v>
      </c>
      <c r="G106">
        <v>0.46</v>
      </c>
      <c r="H106">
        <v>2</v>
      </c>
    </row>
    <row r="107" spans="1:8" x14ac:dyDescent="0.55000000000000004">
      <c r="A107">
        <v>27</v>
      </c>
      <c r="B107">
        <v>1</v>
      </c>
      <c r="C107" t="s">
        <v>12</v>
      </c>
      <c r="D107" t="s">
        <v>64</v>
      </c>
      <c r="E107">
        <v>0.9</v>
      </c>
      <c r="F107">
        <v>3</v>
      </c>
      <c r="G107">
        <v>0.46</v>
      </c>
      <c r="H107">
        <v>2</v>
      </c>
    </row>
    <row r="108" spans="1:8" x14ac:dyDescent="0.55000000000000004">
      <c r="A108">
        <v>27</v>
      </c>
      <c r="B108">
        <v>2</v>
      </c>
      <c r="C108" t="s">
        <v>42</v>
      </c>
      <c r="D108" t="s">
        <v>70</v>
      </c>
      <c r="E108">
        <v>0.36</v>
      </c>
      <c r="F108">
        <v>2</v>
      </c>
      <c r="G108">
        <v>0.1</v>
      </c>
      <c r="H108">
        <v>3</v>
      </c>
    </row>
    <row r="109" spans="1:8" x14ac:dyDescent="0.55000000000000004">
      <c r="A109">
        <v>27</v>
      </c>
      <c r="B109">
        <v>3</v>
      </c>
      <c r="C109" t="s">
        <v>36</v>
      </c>
      <c r="D109" t="s">
        <v>68</v>
      </c>
      <c r="E109">
        <v>0.36</v>
      </c>
      <c r="F109">
        <v>2</v>
      </c>
      <c r="G109">
        <v>0.1</v>
      </c>
      <c r="H109">
        <v>3</v>
      </c>
    </row>
    <row r="110" spans="1:8" x14ac:dyDescent="0.55000000000000004">
      <c r="A110">
        <v>27</v>
      </c>
      <c r="B110">
        <v>4</v>
      </c>
      <c r="C110">
        <v>1</v>
      </c>
      <c r="D110" t="s">
        <v>24</v>
      </c>
      <c r="E110">
        <v>0.72000000000000008</v>
      </c>
      <c r="F110">
        <v>3</v>
      </c>
      <c r="G110">
        <v>0.46</v>
      </c>
      <c r="H110">
        <v>2</v>
      </c>
    </row>
    <row r="111" spans="1:8" x14ac:dyDescent="0.55000000000000004">
      <c r="A111">
        <v>28</v>
      </c>
      <c r="B111">
        <v>1</v>
      </c>
      <c r="C111" t="s">
        <v>12</v>
      </c>
      <c r="D111" t="s">
        <v>64</v>
      </c>
      <c r="E111">
        <v>0.9</v>
      </c>
      <c r="F111">
        <v>3</v>
      </c>
      <c r="G111">
        <v>0.46</v>
      </c>
      <c r="H111">
        <v>2</v>
      </c>
    </row>
    <row r="112" spans="1:8" x14ac:dyDescent="0.55000000000000004">
      <c r="A112">
        <v>28</v>
      </c>
      <c r="B112">
        <v>2</v>
      </c>
      <c r="C112" t="s">
        <v>42</v>
      </c>
      <c r="D112" t="s">
        <v>70</v>
      </c>
      <c r="E112">
        <v>0.36</v>
      </c>
      <c r="F112">
        <v>2</v>
      </c>
      <c r="G112">
        <v>0.1</v>
      </c>
      <c r="H112">
        <v>3</v>
      </c>
    </row>
    <row r="113" spans="1:8" x14ac:dyDescent="0.55000000000000004">
      <c r="A113">
        <v>28</v>
      </c>
      <c r="B113">
        <v>3</v>
      </c>
      <c r="C113" t="s">
        <v>36</v>
      </c>
      <c r="D113" t="s">
        <v>68</v>
      </c>
      <c r="E113">
        <v>0.36</v>
      </c>
      <c r="F113">
        <v>2</v>
      </c>
      <c r="G113">
        <v>0.1</v>
      </c>
      <c r="H113">
        <v>3</v>
      </c>
    </row>
    <row r="114" spans="1:8" x14ac:dyDescent="0.55000000000000004">
      <c r="A114">
        <v>28</v>
      </c>
      <c r="B114">
        <v>4</v>
      </c>
      <c r="C114">
        <v>1</v>
      </c>
      <c r="D114" t="s">
        <v>27</v>
      </c>
      <c r="E114">
        <v>0.9</v>
      </c>
      <c r="F114">
        <v>3</v>
      </c>
      <c r="G114">
        <v>0.1</v>
      </c>
      <c r="H114">
        <v>3</v>
      </c>
    </row>
    <row r="115" spans="1:8" x14ac:dyDescent="0.55000000000000004">
      <c r="A115">
        <v>29</v>
      </c>
      <c r="B115">
        <v>1</v>
      </c>
      <c r="C115" t="s">
        <v>12</v>
      </c>
      <c r="D115" t="s">
        <v>64</v>
      </c>
      <c r="E115">
        <v>0.9</v>
      </c>
      <c r="F115">
        <v>3</v>
      </c>
      <c r="G115">
        <v>0.46</v>
      </c>
      <c r="H115">
        <v>2</v>
      </c>
    </row>
    <row r="116" spans="1:8" x14ac:dyDescent="0.55000000000000004">
      <c r="A116">
        <v>29</v>
      </c>
      <c r="B116">
        <v>2</v>
      </c>
      <c r="C116" t="s">
        <v>42</v>
      </c>
      <c r="D116" t="s">
        <v>70</v>
      </c>
      <c r="E116">
        <v>0.36</v>
      </c>
      <c r="F116">
        <v>2</v>
      </c>
      <c r="G116">
        <v>0.1</v>
      </c>
      <c r="H116">
        <v>3</v>
      </c>
    </row>
    <row r="117" spans="1:8" x14ac:dyDescent="0.55000000000000004">
      <c r="A117">
        <v>29</v>
      </c>
      <c r="B117">
        <v>3</v>
      </c>
      <c r="C117" t="s">
        <v>36</v>
      </c>
      <c r="D117" t="s">
        <v>68</v>
      </c>
      <c r="E117">
        <v>0.36</v>
      </c>
      <c r="F117">
        <v>2</v>
      </c>
      <c r="G117">
        <v>0.1</v>
      </c>
      <c r="H117">
        <v>3</v>
      </c>
    </row>
    <row r="118" spans="1:8" x14ac:dyDescent="0.55000000000000004">
      <c r="A118">
        <v>29</v>
      </c>
      <c r="B118">
        <v>4</v>
      </c>
      <c r="C118">
        <v>1</v>
      </c>
      <c r="D118" t="s">
        <v>30</v>
      </c>
      <c r="E118">
        <v>0.18</v>
      </c>
      <c r="F118">
        <v>1</v>
      </c>
      <c r="G118">
        <v>0.46</v>
      </c>
      <c r="H118">
        <v>2</v>
      </c>
    </row>
    <row r="119" spans="1:8" x14ac:dyDescent="0.55000000000000004">
      <c r="A119">
        <v>30</v>
      </c>
      <c r="B119">
        <v>1</v>
      </c>
      <c r="C119" t="s">
        <v>12</v>
      </c>
      <c r="D119" t="s">
        <v>64</v>
      </c>
      <c r="E119">
        <v>0.9</v>
      </c>
      <c r="F119">
        <v>3</v>
      </c>
      <c r="G119">
        <v>0.46</v>
      </c>
      <c r="H119">
        <v>2</v>
      </c>
    </row>
    <row r="120" spans="1:8" x14ac:dyDescent="0.55000000000000004">
      <c r="A120">
        <v>30</v>
      </c>
      <c r="B120">
        <v>2</v>
      </c>
      <c r="C120" t="s">
        <v>42</v>
      </c>
      <c r="D120" t="s">
        <v>70</v>
      </c>
      <c r="E120">
        <v>0.36</v>
      </c>
      <c r="F120">
        <v>2</v>
      </c>
      <c r="G120">
        <v>0.1</v>
      </c>
      <c r="H120">
        <v>3</v>
      </c>
    </row>
    <row r="121" spans="1:8" x14ac:dyDescent="0.55000000000000004">
      <c r="A121">
        <v>30</v>
      </c>
      <c r="B121">
        <v>3</v>
      </c>
      <c r="C121" t="s">
        <v>39</v>
      </c>
      <c r="D121" t="s">
        <v>69</v>
      </c>
      <c r="E121">
        <v>0.36</v>
      </c>
      <c r="F121">
        <v>2</v>
      </c>
      <c r="G121">
        <v>0.1</v>
      </c>
      <c r="H121">
        <v>3</v>
      </c>
    </row>
    <row r="122" spans="1:8" x14ac:dyDescent="0.55000000000000004">
      <c r="A122">
        <v>30</v>
      </c>
      <c r="B122">
        <v>4</v>
      </c>
      <c r="C122">
        <v>1</v>
      </c>
      <c r="D122" t="s">
        <v>20</v>
      </c>
      <c r="E122">
        <v>0.18</v>
      </c>
      <c r="F122">
        <v>1</v>
      </c>
      <c r="G122">
        <v>0.46</v>
      </c>
      <c r="H122">
        <v>2</v>
      </c>
    </row>
    <row r="123" spans="1:8" x14ac:dyDescent="0.55000000000000004">
      <c r="A123">
        <v>31</v>
      </c>
      <c r="B123">
        <v>1</v>
      </c>
      <c r="C123" t="s">
        <v>12</v>
      </c>
      <c r="D123" t="s">
        <v>64</v>
      </c>
      <c r="E123">
        <v>0.9</v>
      </c>
      <c r="F123">
        <v>3</v>
      </c>
      <c r="G123">
        <v>0.46</v>
      </c>
      <c r="H123">
        <v>2</v>
      </c>
    </row>
    <row r="124" spans="1:8" x14ac:dyDescent="0.55000000000000004">
      <c r="A124">
        <v>31</v>
      </c>
      <c r="B124">
        <v>2</v>
      </c>
      <c r="C124" t="s">
        <v>42</v>
      </c>
      <c r="D124" t="s">
        <v>70</v>
      </c>
      <c r="E124">
        <v>0.36</v>
      </c>
      <c r="F124">
        <v>2</v>
      </c>
      <c r="G124">
        <v>0.1</v>
      </c>
      <c r="H124">
        <v>3</v>
      </c>
    </row>
    <row r="125" spans="1:8" x14ac:dyDescent="0.55000000000000004">
      <c r="A125">
        <v>31</v>
      </c>
      <c r="B125">
        <v>3</v>
      </c>
      <c r="C125" t="s">
        <v>39</v>
      </c>
      <c r="D125" t="s">
        <v>69</v>
      </c>
      <c r="E125">
        <v>0.36</v>
      </c>
      <c r="F125">
        <v>2</v>
      </c>
      <c r="G125">
        <v>0.1</v>
      </c>
      <c r="H125">
        <v>3</v>
      </c>
    </row>
    <row r="126" spans="1:8" x14ac:dyDescent="0.55000000000000004">
      <c r="A126">
        <v>31</v>
      </c>
      <c r="B126">
        <v>4</v>
      </c>
      <c r="C126">
        <v>1</v>
      </c>
      <c r="D126" t="s">
        <v>24</v>
      </c>
      <c r="E126">
        <v>0.72000000000000008</v>
      </c>
      <c r="F126">
        <v>3</v>
      </c>
      <c r="G126">
        <v>0.46</v>
      </c>
      <c r="H126">
        <v>2</v>
      </c>
    </row>
    <row r="127" spans="1:8" x14ac:dyDescent="0.55000000000000004">
      <c r="A127">
        <v>32</v>
      </c>
      <c r="B127">
        <v>1</v>
      </c>
      <c r="C127" t="s">
        <v>12</v>
      </c>
      <c r="D127" t="s">
        <v>64</v>
      </c>
      <c r="E127">
        <v>0.9</v>
      </c>
      <c r="F127">
        <v>3</v>
      </c>
      <c r="G127">
        <v>0.46</v>
      </c>
      <c r="H127">
        <v>2</v>
      </c>
    </row>
    <row r="128" spans="1:8" x14ac:dyDescent="0.55000000000000004">
      <c r="A128">
        <v>32</v>
      </c>
      <c r="B128">
        <v>2</v>
      </c>
      <c r="C128" t="s">
        <v>42</v>
      </c>
      <c r="D128" t="s">
        <v>70</v>
      </c>
      <c r="E128">
        <v>0.36</v>
      </c>
      <c r="F128">
        <v>2</v>
      </c>
      <c r="G128">
        <v>0.1</v>
      </c>
      <c r="H128">
        <v>3</v>
      </c>
    </row>
    <row r="129" spans="1:8" x14ac:dyDescent="0.55000000000000004">
      <c r="A129">
        <v>32</v>
      </c>
      <c r="B129">
        <v>3</v>
      </c>
      <c r="C129" t="s">
        <v>39</v>
      </c>
      <c r="D129" t="s">
        <v>69</v>
      </c>
      <c r="E129">
        <v>0.36</v>
      </c>
      <c r="F129">
        <v>2</v>
      </c>
      <c r="G129">
        <v>0.1</v>
      </c>
      <c r="H129">
        <v>3</v>
      </c>
    </row>
    <row r="130" spans="1:8" x14ac:dyDescent="0.55000000000000004">
      <c r="A130">
        <v>32</v>
      </c>
      <c r="B130">
        <v>4</v>
      </c>
      <c r="C130">
        <v>1</v>
      </c>
      <c r="D130" t="s">
        <v>27</v>
      </c>
      <c r="E130">
        <v>0.9</v>
      </c>
      <c r="F130">
        <v>3</v>
      </c>
      <c r="G130">
        <v>0.1</v>
      </c>
      <c r="H130">
        <v>3</v>
      </c>
    </row>
    <row r="131" spans="1:8" x14ac:dyDescent="0.55000000000000004">
      <c r="A131">
        <v>33</v>
      </c>
      <c r="B131">
        <v>1</v>
      </c>
      <c r="C131" t="s">
        <v>12</v>
      </c>
      <c r="D131" t="s">
        <v>64</v>
      </c>
      <c r="E131">
        <v>0.9</v>
      </c>
      <c r="F131">
        <v>3</v>
      </c>
      <c r="G131">
        <v>0.46</v>
      </c>
      <c r="H131">
        <v>2</v>
      </c>
    </row>
    <row r="132" spans="1:8" x14ac:dyDescent="0.55000000000000004">
      <c r="A132">
        <v>33</v>
      </c>
      <c r="B132">
        <v>2</v>
      </c>
      <c r="C132" t="s">
        <v>42</v>
      </c>
      <c r="D132" t="s">
        <v>70</v>
      </c>
      <c r="E132">
        <v>0.36</v>
      </c>
      <c r="F132">
        <v>2</v>
      </c>
      <c r="G132">
        <v>0.1</v>
      </c>
      <c r="H132">
        <v>3</v>
      </c>
    </row>
    <row r="133" spans="1:8" x14ac:dyDescent="0.55000000000000004">
      <c r="A133">
        <v>33</v>
      </c>
      <c r="B133">
        <v>3</v>
      </c>
      <c r="C133" t="s">
        <v>39</v>
      </c>
      <c r="D133" t="s">
        <v>69</v>
      </c>
      <c r="E133">
        <v>0.36</v>
      </c>
      <c r="F133">
        <v>2</v>
      </c>
      <c r="G133">
        <v>0.1</v>
      </c>
      <c r="H133">
        <v>3</v>
      </c>
    </row>
    <row r="134" spans="1:8" x14ac:dyDescent="0.55000000000000004">
      <c r="A134">
        <v>33</v>
      </c>
      <c r="B134">
        <v>4</v>
      </c>
      <c r="C134">
        <v>1</v>
      </c>
      <c r="D134" t="s">
        <v>30</v>
      </c>
      <c r="E134">
        <v>0.18</v>
      </c>
      <c r="F134">
        <v>1</v>
      </c>
      <c r="G134">
        <v>0.46</v>
      </c>
      <c r="H134">
        <v>2</v>
      </c>
    </row>
    <row r="135" spans="1:8" x14ac:dyDescent="0.55000000000000004">
      <c r="A135">
        <v>34</v>
      </c>
      <c r="B135">
        <v>1</v>
      </c>
      <c r="C135" t="s">
        <v>12</v>
      </c>
      <c r="D135" t="s">
        <v>64</v>
      </c>
      <c r="E135">
        <v>0.9</v>
      </c>
      <c r="F135">
        <v>3</v>
      </c>
      <c r="G135">
        <v>0.46</v>
      </c>
      <c r="H135">
        <v>2</v>
      </c>
    </row>
    <row r="136" spans="1:8" x14ac:dyDescent="0.55000000000000004">
      <c r="A136">
        <v>34</v>
      </c>
      <c r="B136">
        <v>2</v>
      </c>
      <c r="C136" t="s">
        <v>44</v>
      </c>
      <c r="D136" t="s">
        <v>71</v>
      </c>
      <c r="E136">
        <v>0.18</v>
      </c>
      <c r="F136">
        <v>1</v>
      </c>
      <c r="G136">
        <v>0.46</v>
      </c>
      <c r="H136">
        <v>2</v>
      </c>
    </row>
    <row r="137" spans="1:8" x14ac:dyDescent="0.55000000000000004">
      <c r="A137">
        <v>34</v>
      </c>
      <c r="B137">
        <v>3</v>
      </c>
      <c r="C137" t="s">
        <v>17</v>
      </c>
      <c r="D137" t="s">
        <v>66</v>
      </c>
      <c r="E137">
        <v>0.36</v>
      </c>
      <c r="F137">
        <v>2</v>
      </c>
      <c r="G137">
        <v>0.1</v>
      </c>
      <c r="H137">
        <v>3</v>
      </c>
    </row>
    <row r="138" spans="1:8" x14ac:dyDescent="0.55000000000000004">
      <c r="A138">
        <v>34</v>
      </c>
      <c r="B138">
        <v>4</v>
      </c>
      <c r="C138">
        <v>1</v>
      </c>
      <c r="D138" t="s">
        <v>20</v>
      </c>
      <c r="E138">
        <v>0.18</v>
      </c>
      <c r="F138">
        <v>1</v>
      </c>
      <c r="G138">
        <v>0.46</v>
      </c>
      <c r="H138">
        <v>2</v>
      </c>
    </row>
    <row r="139" spans="1:8" x14ac:dyDescent="0.55000000000000004">
      <c r="A139">
        <v>35</v>
      </c>
      <c r="B139">
        <v>1</v>
      </c>
      <c r="C139" t="s">
        <v>12</v>
      </c>
      <c r="D139" t="s">
        <v>64</v>
      </c>
      <c r="E139">
        <v>0.9</v>
      </c>
      <c r="F139">
        <v>3</v>
      </c>
      <c r="G139">
        <v>0.46</v>
      </c>
      <c r="H139">
        <v>2</v>
      </c>
    </row>
    <row r="140" spans="1:8" x14ac:dyDescent="0.55000000000000004">
      <c r="A140">
        <v>35</v>
      </c>
      <c r="B140">
        <v>2</v>
      </c>
      <c r="C140" t="s">
        <v>44</v>
      </c>
      <c r="D140" t="s">
        <v>71</v>
      </c>
      <c r="E140">
        <v>0.18</v>
      </c>
      <c r="F140">
        <v>1</v>
      </c>
      <c r="G140">
        <v>0.46</v>
      </c>
      <c r="H140">
        <v>2</v>
      </c>
    </row>
    <row r="141" spans="1:8" x14ac:dyDescent="0.55000000000000004">
      <c r="A141">
        <v>35</v>
      </c>
      <c r="B141">
        <v>3</v>
      </c>
      <c r="C141" t="s">
        <v>17</v>
      </c>
      <c r="D141" t="s">
        <v>66</v>
      </c>
      <c r="E141">
        <v>0.36</v>
      </c>
      <c r="F141">
        <v>2</v>
      </c>
      <c r="G141">
        <v>0.1</v>
      </c>
      <c r="H141">
        <v>3</v>
      </c>
    </row>
    <row r="142" spans="1:8" x14ac:dyDescent="0.55000000000000004">
      <c r="A142">
        <v>35</v>
      </c>
      <c r="B142">
        <v>4</v>
      </c>
      <c r="C142">
        <v>1</v>
      </c>
      <c r="D142" t="s">
        <v>24</v>
      </c>
      <c r="E142">
        <v>0.72000000000000008</v>
      </c>
      <c r="F142">
        <v>3</v>
      </c>
      <c r="G142">
        <v>0.46</v>
      </c>
      <c r="H142">
        <v>2</v>
      </c>
    </row>
    <row r="143" spans="1:8" x14ac:dyDescent="0.55000000000000004">
      <c r="A143">
        <v>36</v>
      </c>
      <c r="B143">
        <v>1</v>
      </c>
      <c r="C143" t="s">
        <v>12</v>
      </c>
      <c r="D143" t="s">
        <v>64</v>
      </c>
      <c r="E143">
        <v>0.9</v>
      </c>
      <c r="F143">
        <v>3</v>
      </c>
      <c r="G143">
        <v>0.46</v>
      </c>
      <c r="H143">
        <v>2</v>
      </c>
    </row>
    <row r="144" spans="1:8" x14ac:dyDescent="0.55000000000000004">
      <c r="A144">
        <v>36</v>
      </c>
      <c r="B144">
        <v>2</v>
      </c>
      <c r="C144" t="s">
        <v>44</v>
      </c>
      <c r="D144" t="s">
        <v>71</v>
      </c>
      <c r="E144">
        <v>0.18</v>
      </c>
      <c r="F144">
        <v>1</v>
      </c>
      <c r="G144">
        <v>0.46</v>
      </c>
      <c r="H144">
        <v>2</v>
      </c>
    </row>
    <row r="145" spans="1:8" x14ac:dyDescent="0.55000000000000004">
      <c r="A145">
        <v>36</v>
      </c>
      <c r="B145">
        <v>3</v>
      </c>
      <c r="C145" t="s">
        <v>17</v>
      </c>
      <c r="D145" t="s">
        <v>66</v>
      </c>
      <c r="E145">
        <v>0.36</v>
      </c>
      <c r="F145">
        <v>2</v>
      </c>
      <c r="G145">
        <v>0.1</v>
      </c>
      <c r="H145">
        <v>3</v>
      </c>
    </row>
    <row r="146" spans="1:8" x14ac:dyDescent="0.55000000000000004">
      <c r="A146">
        <v>36</v>
      </c>
      <c r="B146">
        <v>4</v>
      </c>
      <c r="C146">
        <v>1</v>
      </c>
      <c r="D146" t="s">
        <v>27</v>
      </c>
      <c r="E146">
        <v>0.9</v>
      </c>
      <c r="F146">
        <v>3</v>
      </c>
      <c r="G146">
        <v>0.1</v>
      </c>
      <c r="H146">
        <v>3</v>
      </c>
    </row>
    <row r="147" spans="1:8" x14ac:dyDescent="0.55000000000000004">
      <c r="A147">
        <v>37</v>
      </c>
      <c r="B147">
        <v>1</v>
      </c>
      <c r="C147" t="s">
        <v>12</v>
      </c>
      <c r="D147" t="s">
        <v>64</v>
      </c>
      <c r="E147">
        <v>0.9</v>
      </c>
      <c r="F147">
        <v>3</v>
      </c>
      <c r="G147">
        <v>0.46</v>
      </c>
      <c r="H147">
        <v>2</v>
      </c>
    </row>
    <row r="148" spans="1:8" x14ac:dyDescent="0.55000000000000004">
      <c r="A148">
        <v>37</v>
      </c>
      <c r="B148">
        <v>2</v>
      </c>
      <c r="C148" t="s">
        <v>44</v>
      </c>
      <c r="D148" t="s">
        <v>71</v>
      </c>
      <c r="E148">
        <v>0.18</v>
      </c>
      <c r="F148">
        <v>1</v>
      </c>
      <c r="G148">
        <v>0.46</v>
      </c>
      <c r="H148">
        <v>2</v>
      </c>
    </row>
    <row r="149" spans="1:8" x14ac:dyDescent="0.55000000000000004">
      <c r="A149">
        <v>37</v>
      </c>
      <c r="B149">
        <v>3</v>
      </c>
      <c r="C149" t="s">
        <v>17</v>
      </c>
      <c r="D149" t="s">
        <v>66</v>
      </c>
      <c r="E149">
        <v>0.36</v>
      </c>
      <c r="F149">
        <v>2</v>
      </c>
      <c r="G149">
        <v>0.1</v>
      </c>
      <c r="H149">
        <v>3</v>
      </c>
    </row>
    <row r="150" spans="1:8" x14ac:dyDescent="0.55000000000000004">
      <c r="A150">
        <v>37</v>
      </c>
      <c r="B150">
        <v>4</v>
      </c>
      <c r="C150">
        <v>1</v>
      </c>
      <c r="D150" t="s">
        <v>30</v>
      </c>
      <c r="E150">
        <v>0.18</v>
      </c>
      <c r="F150">
        <v>1</v>
      </c>
      <c r="G150">
        <v>0.46</v>
      </c>
      <c r="H150">
        <v>2</v>
      </c>
    </row>
    <row r="151" spans="1:8" x14ac:dyDescent="0.55000000000000004">
      <c r="A151">
        <v>38</v>
      </c>
      <c r="B151">
        <v>1</v>
      </c>
      <c r="C151" t="s">
        <v>12</v>
      </c>
      <c r="D151" t="s">
        <v>64</v>
      </c>
      <c r="E151">
        <v>0.9</v>
      </c>
      <c r="F151">
        <v>3</v>
      </c>
      <c r="G151">
        <v>0.46</v>
      </c>
      <c r="H151">
        <v>2</v>
      </c>
    </row>
    <row r="152" spans="1:8" x14ac:dyDescent="0.55000000000000004">
      <c r="A152">
        <v>38</v>
      </c>
      <c r="B152">
        <v>2</v>
      </c>
      <c r="C152" t="s">
        <v>44</v>
      </c>
      <c r="D152" t="s">
        <v>71</v>
      </c>
      <c r="E152">
        <v>0.18</v>
      </c>
      <c r="F152">
        <v>1</v>
      </c>
      <c r="G152">
        <v>0.46</v>
      </c>
      <c r="H152">
        <v>2</v>
      </c>
    </row>
    <row r="153" spans="1:8" x14ac:dyDescent="0.55000000000000004">
      <c r="A153">
        <v>38</v>
      </c>
      <c r="B153">
        <v>3</v>
      </c>
      <c r="C153" t="s">
        <v>33</v>
      </c>
      <c r="D153" t="s">
        <v>67</v>
      </c>
      <c r="E153">
        <v>0.36</v>
      </c>
      <c r="F153">
        <v>2</v>
      </c>
      <c r="G153">
        <v>0.1</v>
      </c>
      <c r="H153">
        <v>3</v>
      </c>
    </row>
    <row r="154" spans="1:8" x14ac:dyDescent="0.55000000000000004">
      <c r="A154">
        <v>38</v>
      </c>
      <c r="B154">
        <v>4</v>
      </c>
      <c r="C154">
        <v>1</v>
      </c>
      <c r="D154" t="s">
        <v>20</v>
      </c>
      <c r="E154">
        <v>0.18</v>
      </c>
      <c r="F154">
        <v>1</v>
      </c>
      <c r="G154">
        <v>0.46</v>
      </c>
      <c r="H154">
        <v>2</v>
      </c>
    </row>
    <row r="155" spans="1:8" x14ac:dyDescent="0.55000000000000004">
      <c r="A155">
        <v>39</v>
      </c>
      <c r="B155">
        <v>1</v>
      </c>
      <c r="C155" t="s">
        <v>12</v>
      </c>
      <c r="D155" t="s">
        <v>64</v>
      </c>
      <c r="E155">
        <v>0.9</v>
      </c>
      <c r="F155">
        <v>3</v>
      </c>
      <c r="G155">
        <v>0.46</v>
      </c>
      <c r="H155">
        <v>2</v>
      </c>
    </row>
    <row r="156" spans="1:8" x14ac:dyDescent="0.55000000000000004">
      <c r="A156">
        <v>39</v>
      </c>
      <c r="B156">
        <v>2</v>
      </c>
      <c r="C156" t="s">
        <v>44</v>
      </c>
      <c r="D156" t="s">
        <v>71</v>
      </c>
      <c r="E156">
        <v>0.18</v>
      </c>
      <c r="F156">
        <v>1</v>
      </c>
      <c r="G156">
        <v>0.46</v>
      </c>
      <c r="H156">
        <v>2</v>
      </c>
    </row>
    <row r="157" spans="1:8" x14ac:dyDescent="0.55000000000000004">
      <c r="A157">
        <v>39</v>
      </c>
      <c r="B157">
        <v>3</v>
      </c>
      <c r="C157" t="s">
        <v>33</v>
      </c>
      <c r="D157" t="s">
        <v>67</v>
      </c>
      <c r="E157">
        <v>0.36</v>
      </c>
      <c r="F157">
        <v>2</v>
      </c>
      <c r="G157">
        <v>0.1</v>
      </c>
      <c r="H157">
        <v>3</v>
      </c>
    </row>
    <row r="158" spans="1:8" x14ac:dyDescent="0.55000000000000004">
      <c r="A158">
        <v>39</v>
      </c>
      <c r="B158">
        <v>4</v>
      </c>
      <c r="C158">
        <v>1</v>
      </c>
      <c r="D158" t="s">
        <v>24</v>
      </c>
      <c r="E158">
        <v>0.72000000000000008</v>
      </c>
      <c r="F158">
        <v>3</v>
      </c>
      <c r="G158">
        <v>0.46</v>
      </c>
      <c r="H158">
        <v>2</v>
      </c>
    </row>
    <row r="159" spans="1:8" x14ac:dyDescent="0.55000000000000004">
      <c r="A159">
        <v>40</v>
      </c>
      <c r="B159">
        <v>1</v>
      </c>
      <c r="C159" t="s">
        <v>12</v>
      </c>
      <c r="D159" t="s">
        <v>64</v>
      </c>
      <c r="E159">
        <v>0.9</v>
      </c>
      <c r="F159">
        <v>3</v>
      </c>
      <c r="G159">
        <v>0.46</v>
      </c>
      <c r="H159">
        <v>2</v>
      </c>
    </row>
    <row r="160" spans="1:8" x14ac:dyDescent="0.55000000000000004">
      <c r="A160">
        <v>40</v>
      </c>
      <c r="B160">
        <v>2</v>
      </c>
      <c r="C160" t="s">
        <v>44</v>
      </c>
      <c r="D160" t="s">
        <v>71</v>
      </c>
      <c r="E160">
        <v>0.18</v>
      </c>
      <c r="F160">
        <v>1</v>
      </c>
      <c r="G160">
        <v>0.46</v>
      </c>
      <c r="H160">
        <v>2</v>
      </c>
    </row>
    <row r="161" spans="1:8" x14ac:dyDescent="0.55000000000000004">
      <c r="A161">
        <v>40</v>
      </c>
      <c r="B161">
        <v>3</v>
      </c>
      <c r="C161" t="s">
        <v>33</v>
      </c>
      <c r="D161" t="s">
        <v>67</v>
      </c>
      <c r="E161">
        <v>0.36</v>
      </c>
      <c r="F161">
        <v>2</v>
      </c>
      <c r="G161">
        <v>0.1</v>
      </c>
      <c r="H161">
        <v>3</v>
      </c>
    </row>
    <row r="162" spans="1:8" x14ac:dyDescent="0.55000000000000004">
      <c r="A162">
        <v>40</v>
      </c>
      <c r="B162">
        <v>4</v>
      </c>
      <c r="C162">
        <v>1</v>
      </c>
      <c r="D162" t="s">
        <v>27</v>
      </c>
      <c r="E162">
        <v>0.9</v>
      </c>
      <c r="F162">
        <v>3</v>
      </c>
      <c r="G162">
        <v>0.1</v>
      </c>
      <c r="H162">
        <v>3</v>
      </c>
    </row>
    <row r="163" spans="1:8" x14ac:dyDescent="0.55000000000000004">
      <c r="A163">
        <v>41</v>
      </c>
      <c r="B163">
        <v>1</v>
      </c>
      <c r="C163" t="s">
        <v>12</v>
      </c>
      <c r="D163" t="s">
        <v>64</v>
      </c>
      <c r="E163">
        <v>0.9</v>
      </c>
      <c r="F163">
        <v>3</v>
      </c>
      <c r="G163">
        <v>0.46</v>
      </c>
      <c r="H163">
        <v>2</v>
      </c>
    </row>
    <row r="164" spans="1:8" x14ac:dyDescent="0.55000000000000004">
      <c r="A164">
        <v>41</v>
      </c>
      <c r="B164">
        <v>2</v>
      </c>
      <c r="C164" t="s">
        <v>44</v>
      </c>
      <c r="D164" t="s">
        <v>71</v>
      </c>
      <c r="E164">
        <v>0.18</v>
      </c>
      <c r="F164">
        <v>1</v>
      </c>
      <c r="G164">
        <v>0.46</v>
      </c>
      <c r="H164">
        <v>2</v>
      </c>
    </row>
    <row r="165" spans="1:8" x14ac:dyDescent="0.55000000000000004">
      <c r="A165">
        <v>41</v>
      </c>
      <c r="B165">
        <v>3</v>
      </c>
      <c r="C165" t="s">
        <v>33</v>
      </c>
      <c r="D165" t="s">
        <v>67</v>
      </c>
      <c r="E165">
        <v>0.36</v>
      </c>
      <c r="F165">
        <v>2</v>
      </c>
      <c r="G165">
        <v>0.1</v>
      </c>
      <c r="H165">
        <v>3</v>
      </c>
    </row>
    <row r="166" spans="1:8" x14ac:dyDescent="0.55000000000000004">
      <c r="A166">
        <v>41</v>
      </c>
      <c r="B166">
        <v>4</v>
      </c>
      <c r="C166">
        <v>1</v>
      </c>
      <c r="D166" t="s">
        <v>30</v>
      </c>
      <c r="E166">
        <v>0.18</v>
      </c>
      <c r="F166">
        <v>1</v>
      </c>
      <c r="G166">
        <v>0.46</v>
      </c>
      <c r="H166">
        <v>2</v>
      </c>
    </row>
    <row r="167" spans="1:8" x14ac:dyDescent="0.55000000000000004">
      <c r="A167">
        <v>42</v>
      </c>
      <c r="B167">
        <v>1</v>
      </c>
      <c r="C167" t="s">
        <v>12</v>
      </c>
      <c r="D167" t="s">
        <v>64</v>
      </c>
      <c r="E167">
        <v>0.9</v>
      </c>
      <c r="F167">
        <v>3</v>
      </c>
      <c r="G167">
        <v>0.46</v>
      </c>
      <c r="H167">
        <v>2</v>
      </c>
    </row>
    <row r="168" spans="1:8" x14ac:dyDescent="0.55000000000000004">
      <c r="A168">
        <v>42</v>
      </c>
      <c r="B168">
        <v>2</v>
      </c>
      <c r="C168" t="s">
        <v>44</v>
      </c>
      <c r="D168" t="s">
        <v>71</v>
      </c>
      <c r="E168">
        <v>0.18</v>
      </c>
      <c r="F168">
        <v>1</v>
      </c>
      <c r="G168">
        <v>0.46</v>
      </c>
      <c r="H168">
        <v>2</v>
      </c>
    </row>
    <row r="169" spans="1:8" x14ac:dyDescent="0.55000000000000004">
      <c r="A169">
        <v>42</v>
      </c>
      <c r="B169">
        <v>3</v>
      </c>
      <c r="C169" t="s">
        <v>36</v>
      </c>
      <c r="D169" t="s">
        <v>68</v>
      </c>
      <c r="E169">
        <v>0.36</v>
      </c>
      <c r="F169">
        <v>2</v>
      </c>
      <c r="G169">
        <v>0.1</v>
      </c>
      <c r="H169">
        <v>3</v>
      </c>
    </row>
    <row r="170" spans="1:8" x14ac:dyDescent="0.55000000000000004">
      <c r="A170">
        <v>42</v>
      </c>
      <c r="B170">
        <v>4</v>
      </c>
      <c r="C170">
        <v>1</v>
      </c>
      <c r="D170" t="s">
        <v>20</v>
      </c>
      <c r="E170">
        <v>0.18</v>
      </c>
      <c r="F170">
        <v>1</v>
      </c>
      <c r="G170">
        <v>0.46</v>
      </c>
      <c r="H170">
        <v>2</v>
      </c>
    </row>
    <row r="171" spans="1:8" x14ac:dyDescent="0.55000000000000004">
      <c r="A171">
        <v>43</v>
      </c>
      <c r="B171">
        <v>1</v>
      </c>
      <c r="C171" t="s">
        <v>12</v>
      </c>
      <c r="D171" t="s">
        <v>64</v>
      </c>
      <c r="E171">
        <v>0.9</v>
      </c>
      <c r="F171">
        <v>3</v>
      </c>
      <c r="G171">
        <v>0.46</v>
      </c>
      <c r="H171">
        <v>2</v>
      </c>
    </row>
    <row r="172" spans="1:8" x14ac:dyDescent="0.55000000000000004">
      <c r="A172">
        <v>43</v>
      </c>
      <c r="B172">
        <v>2</v>
      </c>
      <c r="C172" t="s">
        <v>44</v>
      </c>
      <c r="D172" t="s">
        <v>71</v>
      </c>
      <c r="E172">
        <v>0.18</v>
      </c>
      <c r="F172">
        <v>1</v>
      </c>
      <c r="G172">
        <v>0.46</v>
      </c>
      <c r="H172">
        <v>2</v>
      </c>
    </row>
    <row r="173" spans="1:8" x14ac:dyDescent="0.55000000000000004">
      <c r="A173">
        <v>43</v>
      </c>
      <c r="B173">
        <v>3</v>
      </c>
      <c r="C173" t="s">
        <v>36</v>
      </c>
      <c r="D173" t="s">
        <v>68</v>
      </c>
      <c r="E173">
        <v>0.36</v>
      </c>
      <c r="F173">
        <v>2</v>
      </c>
      <c r="G173">
        <v>0.1</v>
      </c>
      <c r="H173">
        <v>3</v>
      </c>
    </row>
    <row r="174" spans="1:8" x14ac:dyDescent="0.55000000000000004">
      <c r="A174">
        <v>43</v>
      </c>
      <c r="B174">
        <v>4</v>
      </c>
      <c r="C174">
        <v>1</v>
      </c>
      <c r="D174" t="s">
        <v>24</v>
      </c>
      <c r="E174">
        <v>0.72000000000000008</v>
      </c>
      <c r="F174">
        <v>3</v>
      </c>
      <c r="G174">
        <v>0.46</v>
      </c>
      <c r="H174">
        <v>2</v>
      </c>
    </row>
    <row r="175" spans="1:8" x14ac:dyDescent="0.55000000000000004">
      <c r="A175">
        <v>44</v>
      </c>
      <c r="B175">
        <v>1</v>
      </c>
      <c r="C175" t="s">
        <v>12</v>
      </c>
      <c r="D175" t="s">
        <v>64</v>
      </c>
      <c r="E175">
        <v>0.9</v>
      </c>
      <c r="F175">
        <v>3</v>
      </c>
      <c r="G175">
        <v>0.46</v>
      </c>
      <c r="H175">
        <v>2</v>
      </c>
    </row>
    <row r="176" spans="1:8" x14ac:dyDescent="0.55000000000000004">
      <c r="A176">
        <v>44</v>
      </c>
      <c r="B176">
        <v>2</v>
      </c>
      <c r="C176" t="s">
        <v>44</v>
      </c>
      <c r="D176" t="s">
        <v>71</v>
      </c>
      <c r="E176">
        <v>0.18</v>
      </c>
      <c r="F176">
        <v>1</v>
      </c>
      <c r="G176">
        <v>0.46</v>
      </c>
      <c r="H176">
        <v>2</v>
      </c>
    </row>
    <row r="177" spans="1:8" x14ac:dyDescent="0.55000000000000004">
      <c r="A177">
        <v>44</v>
      </c>
      <c r="B177">
        <v>3</v>
      </c>
      <c r="C177" t="s">
        <v>36</v>
      </c>
      <c r="D177" t="s">
        <v>68</v>
      </c>
      <c r="E177">
        <v>0.36</v>
      </c>
      <c r="F177">
        <v>2</v>
      </c>
      <c r="G177">
        <v>0.1</v>
      </c>
      <c r="H177">
        <v>3</v>
      </c>
    </row>
    <row r="178" spans="1:8" x14ac:dyDescent="0.55000000000000004">
      <c r="A178">
        <v>44</v>
      </c>
      <c r="B178">
        <v>4</v>
      </c>
      <c r="C178">
        <v>1</v>
      </c>
      <c r="D178" t="s">
        <v>27</v>
      </c>
      <c r="E178">
        <v>0.9</v>
      </c>
      <c r="F178">
        <v>3</v>
      </c>
      <c r="G178">
        <v>0.1</v>
      </c>
      <c r="H178">
        <v>3</v>
      </c>
    </row>
    <row r="179" spans="1:8" x14ac:dyDescent="0.55000000000000004">
      <c r="A179">
        <v>45</v>
      </c>
      <c r="B179">
        <v>1</v>
      </c>
      <c r="C179" t="s">
        <v>12</v>
      </c>
      <c r="D179" t="s">
        <v>64</v>
      </c>
      <c r="E179">
        <v>0.9</v>
      </c>
      <c r="F179">
        <v>3</v>
      </c>
      <c r="G179">
        <v>0.46</v>
      </c>
      <c r="H179">
        <v>2</v>
      </c>
    </row>
    <row r="180" spans="1:8" x14ac:dyDescent="0.55000000000000004">
      <c r="A180">
        <v>45</v>
      </c>
      <c r="B180">
        <v>2</v>
      </c>
      <c r="C180" t="s">
        <v>44</v>
      </c>
      <c r="D180" t="s">
        <v>71</v>
      </c>
      <c r="E180">
        <v>0.18</v>
      </c>
      <c r="F180">
        <v>1</v>
      </c>
      <c r="G180">
        <v>0.46</v>
      </c>
      <c r="H180">
        <v>2</v>
      </c>
    </row>
    <row r="181" spans="1:8" x14ac:dyDescent="0.55000000000000004">
      <c r="A181">
        <v>45</v>
      </c>
      <c r="B181">
        <v>3</v>
      </c>
      <c r="C181" t="s">
        <v>36</v>
      </c>
      <c r="D181" t="s">
        <v>68</v>
      </c>
      <c r="E181">
        <v>0.36</v>
      </c>
      <c r="F181">
        <v>2</v>
      </c>
      <c r="G181">
        <v>0.1</v>
      </c>
      <c r="H181">
        <v>3</v>
      </c>
    </row>
    <row r="182" spans="1:8" x14ac:dyDescent="0.55000000000000004">
      <c r="A182">
        <v>45</v>
      </c>
      <c r="B182">
        <v>4</v>
      </c>
      <c r="C182">
        <v>1</v>
      </c>
      <c r="D182" t="s">
        <v>30</v>
      </c>
      <c r="E182">
        <v>0.18</v>
      </c>
      <c r="F182">
        <v>1</v>
      </c>
      <c r="G182">
        <v>0.46</v>
      </c>
      <c r="H182">
        <v>2</v>
      </c>
    </row>
    <row r="183" spans="1:8" x14ac:dyDescent="0.55000000000000004">
      <c r="A183">
        <v>46</v>
      </c>
      <c r="B183">
        <v>1</v>
      </c>
      <c r="C183" t="s">
        <v>12</v>
      </c>
      <c r="D183" t="s">
        <v>64</v>
      </c>
      <c r="E183">
        <v>0.9</v>
      </c>
      <c r="F183">
        <v>3</v>
      </c>
      <c r="G183">
        <v>0.46</v>
      </c>
      <c r="H183">
        <v>2</v>
      </c>
    </row>
    <row r="184" spans="1:8" x14ac:dyDescent="0.55000000000000004">
      <c r="A184">
        <v>46</v>
      </c>
      <c r="B184">
        <v>2</v>
      </c>
      <c r="C184" t="s">
        <v>44</v>
      </c>
      <c r="D184" t="s">
        <v>71</v>
      </c>
      <c r="E184">
        <v>0.18</v>
      </c>
      <c r="F184">
        <v>1</v>
      </c>
      <c r="G184">
        <v>0.46</v>
      </c>
      <c r="H184">
        <v>2</v>
      </c>
    </row>
    <row r="185" spans="1:8" x14ac:dyDescent="0.55000000000000004">
      <c r="A185">
        <v>46</v>
      </c>
      <c r="B185">
        <v>3</v>
      </c>
      <c r="C185" t="s">
        <v>39</v>
      </c>
      <c r="D185" t="s">
        <v>69</v>
      </c>
      <c r="E185">
        <v>0.36</v>
      </c>
      <c r="F185">
        <v>2</v>
      </c>
      <c r="G185">
        <v>0.1</v>
      </c>
      <c r="H185">
        <v>3</v>
      </c>
    </row>
    <row r="186" spans="1:8" x14ac:dyDescent="0.55000000000000004">
      <c r="A186">
        <v>46</v>
      </c>
      <c r="B186">
        <v>4</v>
      </c>
      <c r="C186">
        <v>1</v>
      </c>
      <c r="D186" t="s">
        <v>20</v>
      </c>
      <c r="E186">
        <v>0.18</v>
      </c>
      <c r="F186">
        <v>1</v>
      </c>
      <c r="G186">
        <v>0.46</v>
      </c>
      <c r="H186">
        <v>2</v>
      </c>
    </row>
    <row r="187" spans="1:8" x14ac:dyDescent="0.55000000000000004">
      <c r="A187">
        <v>47</v>
      </c>
      <c r="B187">
        <v>1</v>
      </c>
      <c r="C187" t="s">
        <v>12</v>
      </c>
      <c r="D187" t="s">
        <v>64</v>
      </c>
      <c r="E187">
        <v>0.9</v>
      </c>
      <c r="F187">
        <v>3</v>
      </c>
      <c r="G187">
        <v>0.46</v>
      </c>
      <c r="H187">
        <v>2</v>
      </c>
    </row>
    <row r="188" spans="1:8" x14ac:dyDescent="0.55000000000000004">
      <c r="A188">
        <v>47</v>
      </c>
      <c r="B188">
        <v>2</v>
      </c>
      <c r="C188" t="s">
        <v>44</v>
      </c>
      <c r="D188" t="s">
        <v>71</v>
      </c>
      <c r="E188">
        <v>0.18</v>
      </c>
      <c r="F188">
        <v>1</v>
      </c>
      <c r="G188">
        <v>0.46</v>
      </c>
      <c r="H188">
        <v>2</v>
      </c>
    </row>
    <row r="189" spans="1:8" x14ac:dyDescent="0.55000000000000004">
      <c r="A189">
        <v>47</v>
      </c>
      <c r="B189">
        <v>3</v>
      </c>
      <c r="C189" t="s">
        <v>39</v>
      </c>
      <c r="D189" t="s">
        <v>69</v>
      </c>
      <c r="E189">
        <v>0.36</v>
      </c>
      <c r="F189">
        <v>2</v>
      </c>
      <c r="G189">
        <v>0.1</v>
      </c>
      <c r="H189">
        <v>3</v>
      </c>
    </row>
    <row r="190" spans="1:8" x14ac:dyDescent="0.55000000000000004">
      <c r="A190">
        <v>47</v>
      </c>
      <c r="B190">
        <v>4</v>
      </c>
      <c r="C190">
        <v>1</v>
      </c>
      <c r="D190" t="s">
        <v>24</v>
      </c>
      <c r="E190">
        <v>0.72000000000000008</v>
      </c>
      <c r="F190">
        <v>3</v>
      </c>
      <c r="G190">
        <v>0.46</v>
      </c>
      <c r="H190">
        <v>2</v>
      </c>
    </row>
    <row r="191" spans="1:8" x14ac:dyDescent="0.55000000000000004">
      <c r="A191">
        <v>48</v>
      </c>
      <c r="B191">
        <v>1</v>
      </c>
      <c r="C191" t="s">
        <v>12</v>
      </c>
      <c r="D191" t="s">
        <v>64</v>
      </c>
      <c r="E191">
        <v>0.9</v>
      </c>
      <c r="F191">
        <v>3</v>
      </c>
      <c r="G191">
        <v>0.46</v>
      </c>
      <c r="H191">
        <v>2</v>
      </c>
    </row>
    <row r="192" spans="1:8" x14ac:dyDescent="0.55000000000000004">
      <c r="A192">
        <v>48</v>
      </c>
      <c r="B192">
        <v>2</v>
      </c>
      <c r="C192" t="s">
        <v>44</v>
      </c>
      <c r="D192" t="s">
        <v>71</v>
      </c>
      <c r="E192">
        <v>0.18</v>
      </c>
      <c r="F192">
        <v>1</v>
      </c>
      <c r="G192">
        <v>0.46</v>
      </c>
      <c r="H192">
        <v>2</v>
      </c>
    </row>
    <row r="193" spans="1:8" x14ac:dyDescent="0.55000000000000004">
      <c r="A193">
        <v>48</v>
      </c>
      <c r="B193">
        <v>3</v>
      </c>
      <c r="C193" t="s">
        <v>39</v>
      </c>
      <c r="D193" t="s">
        <v>69</v>
      </c>
      <c r="E193">
        <v>0.36</v>
      </c>
      <c r="F193">
        <v>2</v>
      </c>
      <c r="G193">
        <v>0.1</v>
      </c>
      <c r="H193">
        <v>3</v>
      </c>
    </row>
    <row r="194" spans="1:8" x14ac:dyDescent="0.55000000000000004">
      <c r="A194">
        <v>48</v>
      </c>
      <c r="B194">
        <v>4</v>
      </c>
      <c r="C194">
        <v>1</v>
      </c>
      <c r="D194" t="s">
        <v>27</v>
      </c>
      <c r="E194">
        <v>0.9</v>
      </c>
      <c r="F194">
        <v>3</v>
      </c>
      <c r="G194">
        <v>0.1</v>
      </c>
      <c r="H194">
        <v>3</v>
      </c>
    </row>
    <row r="195" spans="1:8" x14ac:dyDescent="0.55000000000000004">
      <c r="A195">
        <v>49</v>
      </c>
      <c r="B195">
        <v>1</v>
      </c>
      <c r="C195" t="s">
        <v>12</v>
      </c>
      <c r="D195" t="s">
        <v>64</v>
      </c>
      <c r="E195">
        <v>0.9</v>
      </c>
      <c r="F195">
        <v>3</v>
      </c>
      <c r="G195">
        <v>0.46</v>
      </c>
      <c r="H195">
        <v>2</v>
      </c>
    </row>
    <row r="196" spans="1:8" x14ac:dyDescent="0.55000000000000004">
      <c r="A196">
        <v>49</v>
      </c>
      <c r="B196">
        <v>2</v>
      </c>
      <c r="C196" t="s">
        <v>44</v>
      </c>
      <c r="D196" t="s">
        <v>71</v>
      </c>
      <c r="E196">
        <v>0.18</v>
      </c>
      <c r="F196">
        <v>1</v>
      </c>
      <c r="G196">
        <v>0.46</v>
      </c>
      <c r="H196">
        <v>2</v>
      </c>
    </row>
    <row r="197" spans="1:8" x14ac:dyDescent="0.55000000000000004">
      <c r="A197">
        <v>49</v>
      </c>
      <c r="B197">
        <v>3</v>
      </c>
      <c r="C197" t="s">
        <v>39</v>
      </c>
      <c r="D197" t="s">
        <v>69</v>
      </c>
      <c r="E197">
        <v>0.36</v>
      </c>
      <c r="F197">
        <v>2</v>
      </c>
      <c r="G197">
        <v>0.1</v>
      </c>
      <c r="H197">
        <v>3</v>
      </c>
    </row>
    <row r="198" spans="1:8" x14ac:dyDescent="0.55000000000000004">
      <c r="A198">
        <v>49</v>
      </c>
      <c r="B198">
        <v>4</v>
      </c>
      <c r="C198">
        <v>1</v>
      </c>
      <c r="D198" t="s">
        <v>30</v>
      </c>
      <c r="E198">
        <v>0.18</v>
      </c>
      <c r="F198">
        <v>1</v>
      </c>
      <c r="G198">
        <v>0.46</v>
      </c>
      <c r="H198">
        <v>2</v>
      </c>
    </row>
    <row r="199" spans="1:8" x14ac:dyDescent="0.55000000000000004">
      <c r="A199">
        <v>50</v>
      </c>
      <c r="B199">
        <v>1</v>
      </c>
      <c r="C199" t="s">
        <v>12</v>
      </c>
      <c r="D199" t="s">
        <v>64</v>
      </c>
      <c r="E199">
        <v>0.9</v>
      </c>
      <c r="F199">
        <v>3</v>
      </c>
      <c r="G199">
        <v>0.46</v>
      </c>
      <c r="H199">
        <v>2</v>
      </c>
    </row>
    <row r="200" spans="1:8" x14ac:dyDescent="0.55000000000000004">
      <c r="A200">
        <v>50</v>
      </c>
      <c r="B200">
        <v>2</v>
      </c>
      <c r="C200" t="s">
        <v>46</v>
      </c>
      <c r="D200" t="s">
        <v>69</v>
      </c>
      <c r="E200">
        <v>0.36</v>
      </c>
      <c r="F200">
        <v>2</v>
      </c>
      <c r="G200">
        <v>0.1</v>
      </c>
      <c r="H200">
        <v>3</v>
      </c>
    </row>
    <row r="201" spans="1:8" x14ac:dyDescent="0.55000000000000004">
      <c r="A201">
        <v>50</v>
      </c>
      <c r="B201">
        <v>3</v>
      </c>
      <c r="C201" t="s">
        <v>17</v>
      </c>
      <c r="D201" t="s">
        <v>66</v>
      </c>
      <c r="E201">
        <v>0.36</v>
      </c>
      <c r="F201">
        <v>2</v>
      </c>
      <c r="G201">
        <v>0.1</v>
      </c>
      <c r="H201">
        <v>3</v>
      </c>
    </row>
    <row r="202" spans="1:8" x14ac:dyDescent="0.55000000000000004">
      <c r="A202">
        <v>50</v>
      </c>
      <c r="B202">
        <v>4</v>
      </c>
      <c r="C202">
        <v>1</v>
      </c>
      <c r="D202" t="s">
        <v>20</v>
      </c>
      <c r="E202">
        <v>0.18</v>
      </c>
      <c r="F202">
        <v>1</v>
      </c>
      <c r="G202">
        <v>0.46</v>
      </c>
      <c r="H202">
        <v>2</v>
      </c>
    </row>
    <row r="203" spans="1:8" x14ac:dyDescent="0.55000000000000004">
      <c r="A203">
        <v>51</v>
      </c>
      <c r="B203">
        <v>1</v>
      </c>
      <c r="C203" t="s">
        <v>12</v>
      </c>
      <c r="D203" t="s">
        <v>64</v>
      </c>
      <c r="E203">
        <v>0.9</v>
      </c>
      <c r="F203">
        <v>3</v>
      </c>
      <c r="G203">
        <v>0.46</v>
      </c>
      <c r="H203">
        <v>2</v>
      </c>
    </row>
    <row r="204" spans="1:8" x14ac:dyDescent="0.55000000000000004">
      <c r="A204">
        <v>51</v>
      </c>
      <c r="B204">
        <v>2</v>
      </c>
      <c r="C204" t="s">
        <v>46</v>
      </c>
      <c r="D204" t="s">
        <v>69</v>
      </c>
      <c r="E204">
        <v>0.36</v>
      </c>
      <c r="F204">
        <v>2</v>
      </c>
      <c r="G204">
        <v>0.1</v>
      </c>
      <c r="H204">
        <v>3</v>
      </c>
    </row>
    <row r="205" spans="1:8" x14ac:dyDescent="0.55000000000000004">
      <c r="A205">
        <v>51</v>
      </c>
      <c r="B205">
        <v>3</v>
      </c>
      <c r="C205" t="s">
        <v>17</v>
      </c>
      <c r="D205" t="s">
        <v>66</v>
      </c>
      <c r="E205">
        <v>0.36</v>
      </c>
      <c r="F205">
        <v>2</v>
      </c>
      <c r="G205">
        <v>0.1</v>
      </c>
      <c r="H205">
        <v>3</v>
      </c>
    </row>
    <row r="206" spans="1:8" x14ac:dyDescent="0.55000000000000004">
      <c r="A206">
        <v>51</v>
      </c>
      <c r="B206">
        <v>4</v>
      </c>
      <c r="C206">
        <v>1</v>
      </c>
      <c r="D206" t="s">
        <v>24</v>
      </c>
      <c r="E206">
        <v>0.72000000000000008</v>
      </c>
      <c r="F206">
        <v>3</v>
      </c>
      <c r="G206">
        <v>0.46</v>
      </c>
      <c r="H206">
        <v>2</v>
      </c>
    </row>
    <row r="207" spans="1:8" x14ac:dyDescent="0.55000000000000004">
      <c r="A207">
        <v>52</v>
      </c>
      <c r="B207">
        <v>1</v>
      </c>
      <c r="C207" t="s">
        <v>12</v>
      </c>
      <c r="D207" t="s">
        <v>64</v>
      </c>
      <c r="E207">
        <v>0.9</v>
      </c>
      <c r="F207">
        <v>3</v>
      </c>
      <c r="G207">
        <v>0.46</v>
      </c>
      <c r="H207">
        <v>2</v>
      </c>
    </row>
    <row r="208" spans="1:8" x14ac:dyDescent="0.55000000000000004">
      <c r="A208">
        <v>52</v>
      </c>
      <c r="B208">
        <v>2</v>
      </c>
      <c r="C208" t="s">
        <v>46</v>
      </c>
      <c r="D208" t="s">
        <v>69</v>
      </c>
      <c r="E208">
        <v>0.36</v>
      </c>
      <c r="F208">
        <v>2</v>
      </c>
      <c r="G208">
        <v>0.1</v>
      </c>
      <c r="H208">
        <v>3</v>
      </c>
    </row>
    <row r="209" spans="1:8" x14ac:dyDescent="0.55000000000000004">
      <c r="A209">
        <v>52</v>
      </c>
      <c r="B209">
        <v>3</v>
      </c>
      <c r="C209" t="s">
        <v>17</v>
      </c>
      <c r="D209" t="s">
        <v>66</v>
      </c>
      <c r="E209">
        <v>0.36</v>
      </c>
      <c r="F209">
        <v>2</v>
      </c>
      <c r="G209">
        <v>0.1</v>
      </c>
      <c r="H209">
        <v>3</v>
      </c>
    </row>
    <row r="210" spans="1:8" x14ac:dyDescent="0.55000000000000004">
      <c r="A210">
        <v>52</v>
      </c>
      <c r="B210">
        <v>4</v>
      </c>
      <c r="C210">
        <v>1</v>
      </c>
      <c r="D210" t="s">
        <v>27</v>
      </c>
      <c r="E210">
        <v>0.9</v>
      </c>
      <c r="F210">
        <v>3</v>
      </c>
      <c r="G210">
        <v>0.1</v>
      </c>
      <c r="H210">
        <v>3</v>
      </c>
    </row>
    <row r="211" spans="1:8" x14ac:dyDescent="0.55000000000000004">
      <c r="A211">
        <v>53</v>
      </c>
      <c r="B211">
        <v>1</v>
      </c>
      <c r="C211" t="s">
        <v>12</v>
      </c>
      <c r="D211" t="s">
        <v>64</v>
      </c>
      <c r="E211">
        <v>0.9</v>
      </c>
      <c r="F211">
        <v>3</v>
      </c>
      <c r="G211">
        <v>0.46</v>
      </c>
      <c r="H211">
        <v>2</v>
      </c>
    </row>
    <row r="212" spans="1:8" x14ac:dyDescent="0.55000000000000004">
      <c r="A212">
        <v>53</v>
      </c>
      <c r="B212">
        <v>2</v>
      </c>
      <c r="C212" t="s">
        <v>46</v>
      </c>
      <c r="D212" t="s">
        <v>69</v>
      </c>
      <c r="E212">
        <v>0.36</v>
      </c>
      <c r="F212">
        <v>2</v>
      </c>
      <c r="G212">
        <v>0.1</v>
      </c>
      <c r="H212">
        <v>3</v>
      </c>
    </row>
    <row r="213" spans="1:8" x14ac:dyDescent="0.55000000000000004">
      <c r="A213">
        <v>53</v>
      </c>
      <c r="B213">
        <v>3</v>
      </c>
      <c r="C213" t="s">
        <v>17</v>
      </c>
      <c r="D213" t="s">
        <v>66</v>
      </c>
      <c r="E213">
        <v>0.36</v>
      </c>
      <c r="F213">
        <v>2</v>
      </c>
      <c r="G213">
        <v>0.1</v>
      </c>
      <c r="H213">
        <v>3</v>
      </c>
    </row>
    <row r="214" spans="1:8" x14ac:dyDescent="0.55000000000000004">
      <c r="A214">
        <v>53</v>
      </c>
      <c r="B214">
        <v>4</v>
      </c>
      <c r="C214">
        <v>1</v>
      </c>
      <c r="D214" t="s">
        <v>30</v>
      </c>
      <c r="E214">
        <v>0.18</v>
      </c>
      <c r="F214">
        <v>1</v>
      </c>
      <c r="G214">
        <v>0.46</v>
      </c>
      <c r="H214">
        <v>2</v>
      </c>
    </row>
    <row r="215" spans="1:8" x14ac:dyDescent="0.55000000000000004">
      <c r="A215">
        <v>54</v>
      </c>
      <c r="B215">
        <v>1</v>
      </c>
      <c r="C215" t="s">
        <v>12</v>
      </c>
      <c r="D215" t="s">
        <v>64</v>
      </c>
      <c r="E215">
        <v>0.9</v>
      </c>
      <c r="F215">
        <v>3</v>
      </c>
      <c r="G215">
        <v>0.46</v>
      </c>
      <c r="H215">
        <v>2</v>
      </c>
    </row>
    <row r="216" spans="1:8" x14ac:dyDescent="0.55000000000000004">
      <c r="A216">
        <v>54</v>
      </c>
      <c r="B216">
        <v>2</v>
      </c>
      <c r="C216" t="s">
        <v>46</v>
      </c>
      <c r="D216" t="s">
        <v>69</v>
      </c>
      <c r="E216">
        <v>0.36</v>
      </c>
      <c r="F216">
        <v>2</v>
      </c>
      <c r="G216">
        <v>0.1</v>
      </c>
      <c r="H216">
        <v>3</v>
      </c>
    </row>
    <row r="217" spans="1:8" x14ac:dyDescent="0.55000000000000004">
      <c r="A217">
        <v>54</v>
      </c>
      <c r="B217">
        <v>3</v>
      </c>
      <c r="C217" t="s">
        <v>33</v>
      </c>
      <c r="D217" t="s">
        <v>67</v>
      </c>
      <c r="E217">
        <v>0.36</v>
      </c>
      <c r="F217">
        <v>2</v>
      </c>
      <c r="G217">
        <v>0.1</v>
      </c>
      <c r="H217">
        <v>3</v>
      </c>
    </row>
    <row r="218" spans="1:8" x14ac:dyDescent="0.55000000000000004">
      <c r="A218">
        <v>54</v>
      </c>
      <c r="B218">
        <v>4</v>
      </c>
      <c r="C218">
        <v>1</v>
      </c>
      <c r="D218" t="s">
        <v>20</v>
      </c>
      <c r="E218">
        <v>0.18</v>
      </c>
      <c r="F218">
        <v>1</v>
      </c>
      <c r="G218">
        <v>0.46</v>
      </c>
      <c r="H218">
        <v>2</v>
      </c>
    </row>
    <row r="219" spans="1:8" x14ac:dyDescent="0.55000000000000004">
      <c r="A219">
        <v>55</v>
      </c>
      <c r="B219">
        <v>1</v>
      </c>
      <c r="C219" t="s">
        <v>12</v>
      </c>
      <c r="D219" t="s">
        <v>64</v>
      </c>
      <c r="E219">
        <v>0.9</v>
      </c>
      <c r="F219">
        <v>3</v>
      </c>
      <c r="G219">
        <v>0.46</v>
      </c>
      <c r="H219">
        <v>2</v>
      </c>
    </row>
    <row r="220" spans="1:8" x14ac:dyDescent="0.55000000000000004">
      <c r="A220">
        <v>55</v>
      </c>
      <c r="B220">
        <v>2</v>
      </c>
      <c r="C220" t="s">
        <v>46</v>
      </c>
      <c r="D220" t="s">
        <v>69</v>
      </c>
      <c r="E220">
        <v>0.36</v>
      </c>
      <c r="F220">
        <v>2</v>
      </c>
      <c r="G220">
        <v>0.1</v>
      </c>
      <c r="H220">
        <v>3</v>
      </c>
    </row>
    <row r="221" spans="1:8" x14ac:dyDescent="0.55000000000000004">
      <c r="A221">
        <v>55</v>
      </c>
      <c r="B221">
        <v>3</v>
      </c>
      <c r="C221" t="s">
        <v>33</v>
      </c>
      <c r="D221" t="s">
        <v>67</v>
      </c>
      <c r="E221">
        <v>0.36</v>
      </c>
      <c r="F221">
        <v>2</v>
      </c>
      <c r="G221">
        <v>0.1</v>
      </c>
      <c r="H221">
        <v>3</v>
      </c>
    </row>
    <row r="222" spans="1:8" x14ac:dyDescent="0.55000000000000004">
      <c r="A222">
        <v>55</v>
      </c>
      <c r="B222">
        <v>4</v>
      </c>
      <c r="C222">
        <v>1</v>
      </c>
      <c r="D222" t="s">
        <v>24</v>
      </c>
      <c r="E222">
        <v>0.72000000000000008</v>
      </c>
      <c r="F222">
        <v>3</v>
      </c>
      <c r="G222">
        <v>0.46</v>
      </c>
      <c r="H222">
        <v>2</v>
      </c>
    </row>
    <row r="223" spans="1:8" x14ac:dyDescent="0.55000000000000004">
      <c r="A223">
        <v>56</v>
      </c>
      <c r="B223">
        <v>1</v>
      </c>
      <c r="C223" t="s">
        <v>12</v>
      </c>
      <c r="D223" t="s">
        <v>64</v>
      </c>
      <c r="E223">
        <v>0.9</v>
      </c>
      <c r="F223">
        <v>3</v>
      </c>
      <c r="G223">
        <v>0.46</v>
      </c>
      <c r="H223">
        <v>2</v>
      </c>
    </row>
    <row r="224" spans="1:8" x14ac:dyDescent="0.55000000000000004">
      <c r="A224">
        <v>56</v>
      </c>
      <c r="B224">
        <v>2</v>
      </c>
      <c r="C224" t="s">
        <v>46</v>
      </c>
      <c r="D224" t="s">
        <v>69</v>
      </c>
      <c r="E224">
        <v>0.36</v>
      </c>
      <c r="F224">
        <v>2</v>
      </c>
      <c r="G224">
        <v>0.1</v>
      </c>
      <c r="H224">
        <v>3</v>
      </c>
    </row>
    <row r="225" spans="1:8" x14ac:dyDescent="0.55000000000000004">
      <c r="A225">
        <v>56</v>
      </c>
      <c r="B225">
        <v>3</v>
      </c>
      <c r="C225" t="s">
        <v>33</v>
      </c>
      <c r="D225" t="s">
        <v>67</v>
      </c>
      <c r="E225">
        <v>0.36</v>
      </c>
      <c r="F225">
        <v>2</v>
      </c>
      <c r="G225">
        <v>0.1</v>
      </c>
      <c r="H225">
        <v>3</v>
      </c>
    </row>
    <row r="226" spans="1:8" x14ac:dyDescent="0.55000000000000004">
      <c r="A226">
        <v>56</v>
      </c>
      <c r="B226">
        <v>4</v>
      </c>
      <c r="C226">
        <v>1</v>
      </c>
      <c r="D226" t="s">
        <v>27</v>
      </c>
      <c r="E226">
        <v>0.9</v>
      </c>
      <c r="F226">
        <v>3</v>
      </c>
      <c r="G226">
        <v>0.1</v>
      </c>
      <c r="H226">
        <v>3</v>
      </c>
    </row>
    <row r="227" spans="1:8" x14ac:dyDescent="0.55000000000000004">
      <c r="A227">
        <v>57</v>
      </c>
      <c r="B227">
        <v>1</v>
      </c>
      <c r="C227" t="s">
        <v>12</v>
      </c>
      <c r="D227" t="s">
        <v>64</v>
      </c>
      <c r="E227">
        <v>0.9</v>
      </c>
      <c r="F227">
        <v>3</v>
      </c>
      <c r="G227">
        <v>0.46</v>
      </c>
      <c r="H227">
        <v>2</v>
      </c>
    </row>
    <row r="228" spans="1:8" x14ac:dyDescent="0.55000000000000004">
      <c r="A228">
        <v>57</v>
      </c>
      <c r="B228">
        <v>2</v>
      </c>
      <c r="C228" t="s">
        <v>46</v>
      </c>
      <c r="D228" t="s">
        <v>69</v>
      </c>
      <c r="E228">
        <v>0.36</v>
      </c>
      <c r="F228">
        <v>2</v>
      </c>
      <c r="G228">
        <v>0.1</v>
      </c>
      <c r="H228">
        <v>3</v>
      </c>
    </row>
    <row r="229" spans="1:8" x14ac:dyDescent="0.55000000000000004">
      <c r="A229">
        <v>57</v>
      </c>
      <c r="B229">
        <v>3</v>
      </c>
      <c r="C229" t="s">
        <v>33</v>
      </c>
      <c r="D229" t="s">
        <v>67</v>
      </c>
      <c r="E229">
        <v>0.36</v>
      </c>
      <c r="F229">
        <v>2</v>
      </c>
      <c r="G229">
        <v>0.1</v>
      </c>
      <c r="H229">
        <v>3</v>
      </c>
    </row>
    <row r="230" spans="1:8" x14ac:dyDescent="0.55000000000000004">
      <c r="A230">
        <v>57</v>
      </c>
      <c r="B230">
        <v>4</v>
      </c>
      <c r="C230">
        <v>1</v>
      </c>
      <c r="D230" t="s">
        <v>30</v>
      </c>
      <c r="E230">
        <v>0.18</v>
      </c>
      <c r="F230">
        <v>1</v>
      </c>
      <c r="G230">
        <v>0.46</v>
      </c>
      <c r="H230">
        <v>2</v>
      </c>
    </row>
    <row r="231" spans="1:8" x14ac:dyDescent="0.55000000000000004">
      <c r="A231">
        <v>58</v>
      </c>
      <c r="B231">
        <v>1</v>
      </c>
      <c r="C231" t="s">
        <v>12</v>
      </c>
      <c r="D231" t="s">
        <v>64</v>
      </c>
      <c r="E231">
        <v>0.9</v>
      </c>
      <c r="F231">
        <v>3</v>
      </c>
      <c r="G231">
        <v>0.46</v>
      </c>
      <c r="H231">
        <v>2</v>
      </c>
    </row>
    <row r="232" spans="1:8" x14ac:dyDescent="0.55000000000000004">
      <c r="A232">
        <v>58</v>
      </c>
      <c r="B232">
        <v>2</v>
      </c>
      <c r="C232" t="s">
        <v>46</v>
      </c>
      <c r="D232" t="s">
        <v>69</v>
      </c>
      <c r="E232">
        <v>0.36</v>
      </c>
      <c r="F232">
        <v>2</v>
      </c>
      <c r="G232">
        <v>0.1</v>
      </c>
      <c r="H232">
        <v>3</v>
      </c>
    </row>
    <row r="233" spans="1:8" x14ac:dyDescent="0.55000000000000004">
      <c r="A233">
        <v>58</v>
      </c>
      <c r="B233">
        <v>3</v>
      </c>
      <c r="C233" t="s">
        <v>36</v>
      </c>
      <c r="D233" t="s">
        <v>68</v>
      </c>
      <c r="E233">
        <v>0.36</v>
      </c>
      <c r="F233">
        <v>2</v>
      </c>
      <c r="G233">
        <v>0.1</v>
      </c>
      <c r="H233">
        <v>3</v>
      </c>
    </row>
    <row r="234" spans="1:8" x14ac:dyDescent="0.55000000000000004">
      <c r="A234">
        <v>58</v>
      </c>
      <c r="B234">
        <v>4</v>
      </c>
      <c r="C234">
        <v>1</v>
      </c>
      <c r="D234" t="s">
        <v>20</v>
      </c>
      <c r="E234">
        <v>0.18</v>
      </c>
      <c r="F234">
        <v>1</v>
      </c>
      <c r="G234">
        <v>0.46</v>
      </c>
      <c r="H234">
        <v>2</v>
      </c>
    </row>
    <row r="235" spans="1:8" x14ac:dyDescent="0.55000000000000004">
      <c r="A235">
        <v>59</v>
      </c>
      <c r="B235">
        <v>1</v>
      </c>
      <c r="C235" t="s">
        <v>12</v>
      </c>
      <c r="D235" t="s">
        <v>64</v>
      </c>
      <c r="E235">
        <v>0.9</v>
      </c>
      <c r="F235">
        <v>3</v>
      </c>
      <c r="G235">
        <v>0.46</v>
      </c>
      <c r="H235">
        <v>2</v>
      </c>
    </row>
    <row r="236" spans="1:8" x14ac:dyDescent="0.55000000000000004">
      <c r="A236">
        <v>59</v>
      </c>
      <c r="B236">
        <v>2</v>
      </c>
      <c r="C236" t="s">
        <v>46</v>
      </c>
      <c r="D236" t="s">
        <v>69</v>
      </c>
      <c r="E236">
        <v>0.36</v>
      </c>
      <c r="F236">
        <v>2</v>
      </c>
      <c r="G236">
        <v>0.1</v>
      </c>
      <c r="H236">
        <v>3</v>
      </c>
    </row>
    <row r="237" spans="1:8" x14ac:dyDescent="0.55000000000000004">
      <c r="A237">
        <v>59</v>
      </c>
      <c r="B237">
        <v>3</v>
      </c>
      <c r="C237" t="s">
        <v>36</v>
      </c>
      <c r="D237" t="s">
        <v>68</v>
      </c>
      <c r="E237">
        <v>0.36</v>
      </c>
      <c r="F237">
        <v>2</v>
      </c>
      <c r="G237">
        <v>0.1</v>
      </c>
      <c r="H237">
        <v>3</v>
      </c>
    </row>
    <row r="238" spans="1:8" x14ac:dyDescent="0.55000000000000004">
      <c r="A238">
        <v>59</v>
      </c>
      <c r="B238">
        <v>4</v>
      </c>
      <c r="C238">
        <v>1</v>
      </c>
      <c r="D238" t="s">
        <v>24</v>
      </c>
      <c r="E238">
        <v>0.72000000000000008</v>
      </c>
      <c r="F238">
        <v>3</v>
      </c>
      <c r="G238">
        <v>0.46</v>
      </c>
      <c r="H238">
        <v>2</v>
      </c>
    </row>
    <row r="239" spans="1:8" x14ac:dyDescent="0.55000000000000004">
      <c r="A239">
        <v>60</v>
      </c>
      <c r="B239">
        <v>1</v>
      </c>
      <c r="C239" t="s">
        <v>12</v>
      </c>
      <c r="D239" t="s">
        <v>64</v>
      </c>
      <c r="E239">
        <v>0.9</v>
      </c>
      <c r="F239">
        <v>3</v>
      </c>
      <c r="G239">
        <v>0.46</v>
      </c>
      <c r="H239">
        <v>2</v>
      </c>
    </row>
    <row r="240" spans="1:8" x14ac:dyDescent="0.55000000000000004">
      <c r="A240">
        <v>60</v>
      </c>
      <c r="B240">
        <v>2</v>
      </c>
      <c r="C240" t="s">
        <v>46</v>
      </c>
      <c r="D240" t="s">
        <v>69</v>
      </c>
      <c r="E240">
        <v>0.36</v>
      </c>
      <c r="F240">
        <v>2</v>
      </c>
      <c r="G240">
        <v>0.1</v>
      </c>
      <c r="H240">
        <v>3</v>
      </c>
    </row>
    <row r="241" spans="1:8" x14ac:dyDescent="0.55000000000000004">
      <c r="A241">
        <v>60</v>
      </c>
      <c r="B241">
        <v>3</v>
      </c>
      <c r="C241" t="s">
        <v>36</v>
      </c>
      <c r="D241" t="s">
        <v>68</v>
      </c>
      <c r="E241">
        <v>0.36</v>
      </c>
      <c r="F241">
        <v>2</v>
      </c>
      <c r="G241">
        <v>0.1</v>
      </c>
      <c r="H241">
        <v>3</v>
      </c>
    </row>
    <row r="242" spans="1:8" x14ac:dyDescent="0.55000000000000004">
      <c r="A242">
        <v>60</v>
      </c>
      <c r="B242">
        <v>4</v>
      </c>
      <c r="C242">
        <v>1</v>
      </c>
      <c r="D242" t="s">
        <v>27</v>
      </c>
      <c r="E242">
        <v>0.9</v>
      </c>
      <c r="F242">
        <v>3</v>
      </c>
      <c r="G242">
        <v>0.1</v>
      </c>
      <c r="H242">
        <v>3</v>
      </c>
    </row>
    <row r="243" spans="1:8" x14ac:dyDescent="0.55000000000000004">
      <c r="A243">
        <v>61</v>
      </c>
      <c r="B243">
        <v>1</v>
      </c>
      <c r="C243" t="s">
        <v>12</v>
      </c>
      <c r="D243" t="s">
        <v>64</v>
      </c>
      <c r="E243">
        <v>0.9</v>
      </c>
      <c r="F243">
        <v>3</v>
      </c>
      <c r="G243">
        <v>0.46</v>
      </c>
      <c r="H243">
        <v>2</v>
      </c>
    </row>
    <row r="244" spans="1:8" x14ac:dyDescent="0.55000000000000004">
      <c r="A244">
        <v>61</v>
      </c>
      <c r="B244">
        <v>2</v>
      </c>
      <c r="C244" t="s">
        <v>46</v>
      </c>
      <c r="D244" t="s">
        <v>69</v>
      </c>
      <c r="E244">
        <v>0.36</v>
      </c>
      <c r="F244">
        <v>2</v>
      </c>
      <c r="G244">
        <v>0.1</v>
      </c>
      <c r="H244">
        <v>3</v>
      </c>
    </row>
    <row r="245" spans="1:8" x14ac:dyDescent="0.55000000000000004">
      <c r="A245">
        <v>61</v>
      </c>
      <c r="B245">
        <v>3</v>
      </c>
      <c r="C245" t="s">
        <v>36</v>
      </c>
      <c r="D245" t="s">
        <v>68</v>
      </c>
      <c r="E245">
        <v>0.36</v>
      </c>
      <c r="F245">
        <v>2</v>
      </c>
      <c r="G245">
        <v>0.1</v>
      </c>
      <c r="H245">
        <v>3</v>
      </c>
    </row>
    <row r="246" spans="1:8" x14ac:dyDescent="0.55000000000000004">
      <c r="A246">
        <v>61</v>
      </c>
      <c r="B246">
        <v>4</v>
      </c>
      <c r="C246">
        <v>1</v>
      </c>
      <c r="D246" t="s">
        <v>30</v>
      </c>
      <c r="E246">
        <v>0.18</v>
      </c>
      <c r="F246">
        <v>1</v>
      </c>
      <c r="G246">
        <v>0.46</v>
      </c>
      <c r="H246">
        <v>2</v>
      </c>
    </row>
    <row r="247" spans="1:8" x14ac:dyDescent="0.55000000000000004">
      <c r="A247">
        <v>62</v>
      </c>
      <c r="B247">
        <v>1</v>
      </c>
      <c r="C247" t="s">
        <v>12</v>
      </c>
      <c r="D247" t="s">
        <v>64</v>
      </c>
      <c r="E247">
        <v>0.9</v>
      </c>
      <c r="F247">
        <v>3</v>
      </c>
      <c r="G247">
        <v>0.46</v>
      </c>
      <c r="H247">
        <v>2</v>
      </c>
    </row>
    <row r="248" spans="1:8" x14ac:dyDescent="0.55000000000000004">
      <c r="A248">
        <v>62</v>
      </c>
      <c r="B248">
        <v>2</v>
      </c>
      <c r="C248" t="s">
        <v>46</v>
      </c>
      <c r="D248" t="s">
        <v>69</v>
      </c>
      <c r="E248">
        <v>0.36</v>
      </c>
      <c r="F248">
        <v>2</v>
      </c>
      <c r="G248">
        <v>0.1</v>
      </c>
      <c r="H248">
        <v>3</v>
      </c>
    </row>
    <row r="249" spans="1:8" x14ac:dyDescent="0.55000000000000004">
      <c r="A249">
        <v>62</v>
      </c>
      <c r="B249">
        <v>3</v>
      </c>
      <c r="C249" t="s">
        <v>39</v>
      </c>
      <c r="D249" t="s">
        <v>69</v>
      </c>
      <c r="E249">
        <v>0.36</v>
      </c>
      <c r="F249">
        <v>2</v>
      </c>
      <c r="G249">
        <v>0.1</v>
      </c>
      <c r="H249">
        <v>3</v>
      </c>
    </row>
    <row r="250" spans="1:8" x14ac:dyDescent="0.55000000000000004">
      <c r="A250">
        <v>62</v>
      </c>
      <c r="B250">
        <v>4</v>
      </c>
      <c r="C250">
        <v>1</v>
      </c>
      <c r="D250" t="s">
        <v>20</v>
      </c>
      <c r="E250">
        <v>0.18</v>
      </c>
      <c r="F250">
        <v>1</v>
      </c>
      <c r="G250">
        <v>0.46</v>
      </c>
      <c r="H250">
        <v>2</v>
      </c>
    </row>
    <row r="251" spans="1:8" x14ac:dyDescent="0.55000000000000004">
      <c r="A251">
        <v>63</v>
      </c>
      <c r="B251">
        <v>1</v>
      </c>
      <c r="C251" t="s">
        <v>12</v>
      </c>
      <c r="D251" t="s">
        <v>64</v>
      </c>
      <c r="E251">
        <v>0.9</v>
      </c>
      <c r="F251">
        <v>3</v>
      </c>
      <c r="G251">
        <v>0.46</v>
      </c>
      <c r="H251">
        <v>2</v>
      </c>
    </row>
    <row r="252" spans="1:8" x14ac:dyDescent="0.55000000000000004">
      <c r="A252">
        <v>63</v>
      </c>
      <c r="B252">
        <v>2</v>
      </c>
      <c r="C252" t="s">
        <v>46</v>
      </c>
      <c r="D252" t="s">
        <v>69</v>
      </c>
      <c r="E252">
        <v>0.36</v>
      </c>
      <c r="F252">
        <v>2</v>
      </c>
      <c r="G252">
        <v>0.1</v>
      </c>
      <c r="H252">
        <v>3</v>
      </c>
    </row>
    <row r="253" spans="1:8" x14ac:dyDescent="0.55000000000000004">
      <c r="A253">
        <v>63</v>
      </c>
      <c r="B253">
        <v>3</v>
      </c>
      <c r="C253" t="s">
        <v>39</v>
      </c>
      <c r="D253" t="s">
        <v>69</v>
      </c>
      <c r="E253">
        <v>0.36</v>
      </c>
      <c r="F253">
        <v>2</v>
      </c>
      <c r="G253">
        <v>0.1</v>
      </c>
      <c r="H253">
        <v>3</v>
      </c>
    </row>
    <row r="254" spans="1:8" x14ac:dyDescent="0.55000000000000004">
      <c r="A254">
        <v>63</v>
      </c>
      <c r="B254">
        <v>4</v>
      </c>
      <c r="C254">
        <v>1</v>
      </c>
      <c r="D254" t="s">
        <v>24</v>
      </c>
      <c r="E254">
        <v>0.72000000000000008</v>
      </c>
      <c r="F254">
        <v>3</v>
      </c>
      <c r="G254">
        <v>0.46</v>
      </c>
      <c r="H254">
        <v>2</v>
      </c>
    </row>
    <row r="255" spans="1:8" x14ac:dyDescent="0.55000000000000004">
      <c r="A255">
        <v>64</v>
      </c>
      <c r="B255">
        <v>1</v>
      </c>
      <c r="C255" t="s">
        <v>12</v>
      </c>
      <c r="D255" t="s">
        <v>64</v>
      </c>
      <c r="E255">
        <v>0.9</v>
      </c>
      <c r="F255">
        <v>3</v>
      </c>
      <c r="G255">
        <v>0.46</v>
      </c>
      <c r="H255">
        <v>2</v>
      </c>
    </row>
    <row r="256" spans="1:8" x14ac:dyDescent="0.55000000000000004">
      <c r="A256">
        <v>64</v>
      </c>
      <c r="B256">
        <v>2</v>
      </c>
      <c r="C256" t="s">
        <v>46</v>
      </c>
      <c r="D256" t="s">
        <v>69</v>
      </c>
      <c r="E256">
        <v>0.36</v>
      </c>
      <c r="F256">
        <v>2</v>
      </c>
      <c r="G256">
        <v>0.1</v>
      </c>
      <c r="H256">
        <v>3</v>
      </c>
    </row>
    <row r="257" spans="1:8" x14ac:dyDescent="0.55000000000000004">
      <c r="A257">
        <v>64</v>
      </c>
      <c r="B257">
        <v>3</v>
      </c>
      <c r="C257" t="s">
        <v>39</v>
      </c>
      <c r="D257" t="s">
        <v>69</v>
      </c>
      <c r="E257">
        <v>0.36</v>
      </c>
      <c r="F257">
        <v>2</v>
      </c>
      <c r="G257">
        <v>0.1</v>
      </c>
      <c r="H257">
        <v>3</v>
      </c>
    </row>
    <row r="258" spans="1:8" x14ac:dyDescent="0.55000000000000004">
      <c r="A258">
        <v>64</v>
      </c>
      <c r="B258">
        <v>4</v>
      </c>
      <c r="C258">
        <v>1</v>
      </c>
      <c r="D258" t="s">
        <v>27</v>
      </c>
      <c r="E258">
        <v>0.9</v>
      </c>
      <c r="F258">
        <v>3</v>
      </c>
      <c r="G258">
        <v>0.1</v>
      </c>
      <c r="H258">
        <v>3</v>
      </c>
    </row>
    <row r="259" spans="1:8" x14ac:dyDescent="0.55000000000000004">
      <c r="A259">
        <v>65</v>
      </c>
      <c r="B259">
        <v>1</v>
      </c>
      <c r="C259" t="s">
        <v>12</v>
      </c>
      <c r="D259" t="s">
        <v>64</v>
      </c>
      <c r="E259">
        <v>0.9</v>
      </c>
      <c r="F259">
        <v>3</v>
      </c>
      <c r="G259">
        <v>0.46</v>
      </c>
      <c r="H259">
        <v>2</v>
      </c>
    </row>
    <row r="260" spans="1:8" x14ac:dyDescent="0.55000000000000004">
      <c r="A260">
        <v>65</v>
      </c>
      <c r="B260">
        <v>2</v>
      </c>
      <c r="C260" t="s">
        <v>46</v>
      </c>
      <c r="D260" t="s">
        <v>69</v>
      </c>
      <c r="E260">
        <v>0.36</v>
      </c>
      <c r="F260">
        <v>2</v>
      </c>
      <c r="G260">
        <v>0.1</v>
      </c>
      <c r="H260">
        <v>3</v>
      </c>
    </row>
    <row r="261" spans="1:8" x14ac:dyDescent="0.55000000000000004">
      <c r="A261">
        <v>65</v>
      </c>
      <c r="B261">
        <v>3</v>
      </c>
      <c r="C261" t="s">
        <v>39</v>
      </c>
      <c r="D261" t="s">
        <v>69</v>
      </c>
      <c r="E261">
        <v>0.36</v>
      </c>
      <c r="F261">
        <v>2</v>
      </c>
      <c r="G261">
        <v>0.1</v>
      </c>
      <c r="H261">
        <v>3</v>
      </c>
    </row>
    <row r="262" spans="1:8" x14ac:dyDescent="0.55000000000000004">
      <c r="A262">
        <v>65</v>
      </c>
      <c r="B262">
        <v>4</v>
      </c>
      <c r="C262">
        <v>1</v>
      </c>
      <c r="D262" t="s">
        <v>30</v>
      </c>
      <c r="E262">
        <v>0.18</v>
      </c>
      <c r="F262">
        <v>1</v>
      </c>
      <c r="G262">
        <v>0.46</v>
      </c>
      <c r="H262">
        <v>2</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8" x14ac:dyDescent="0.55000000000000004"/>
  <sheetData>
    <row r="1" spans="1:2" x14ac:dyDescent="0.55000000000000004">
      <c r="A1" s="3" t="s">
        <v>72</v>
      </c>
      <c r="B1" s="3"/>
    </row>
    <row r="2" spans="1:2" x14ac:dyDescent="0.55000000000000004">
      <c r="A2" t="s">
        <v>2</v>
      </c>
      <c r="B2" t="s">
        <v>73</v>
      </c>
    </row>
    <row r="3" spans="1:2" x14ac:dyDescent="0.55000000000000004">
      <c r="A3" t="s">
        <v>3</v>
      </c>
      <c r="B3" t="s">
        <v>74</v>
      </c>
    </row>
    <row r="4" spans="1:2" x14ac:dyDescent="0.55000000000000004">
      <c r="A4" t="s">
        <v>4</v>
      </c>
      <c r="B4" t="s">
        <v>75</v>
      </c>
    </row>
    <row r="5" spans="1:2" x14ac:dyDescent="0.55000000000000004">
      <c r="A5" t="s">
        <v>5</v>
      </c>
      <c r="B5" t="s">
        <v>76</v>
      </c>
    </row>
    <row r="7" spans="1:2" x14ac:dyDescent="0.55000000000000004">
      <c r="A7" t="s">
        <v>77</v>
      </c>
      <c r="B7" t="s">
        <v>51</v>
      </c>
    </row>
    <row r="8" spans="1:2" x14ac:dyDescent="0.55000000000000004">
      <c r="A8" t="s">
        <v>78</v>
      </c>
      <c r="B8" t="s">
        <v>53</v>
      </c>
    </row>
    <row r="10" spans="1:2" x14ac:dyDescent="0.55000000000000004">
      <c r="A10" t="s">
        <v>79</v>
      </c>
    </row>
    <row r="11" spans="1:2" x14ac:dyDescent="0.55000000000000004">
      <c r="A11" t="s">
        <v>80</v>
      </c>
      <c r="B11" t="s">
        <v>81</v>
      </c>
    </row>
    <row r="12" spans="1:2" x14ac:dyDescent="0.55000000000000004">
      <c r="A12" t="s">
        <v>82</v>
      </c>
      <c r="B12" t="s">
        <v>83</v>
      </c>
    </row>
    <row r="13" spans="1:2" x14ac:dyDescent="0.55000000000000004">
      <c r="A13" t="s">
        <v>84</v>
      </c>
      <c r="B13" t="s">
        <v>85</v>
      </c>
    </row>
    <row r="14" spans="1:2" x14ac:dyDescent="0.55000000000000004">
      <c r="A14" t="s">
        <v>86</v>
      </c>
      <c r="B14" t="s">
        <v>87</v>
      </c>
    </row>
    <row r="15" spans="1:2" x14ac:dyDescent="0.55000000000000004">
      <c r="A15" t="s">
        <v>88</v>
      </c>
      <c r="B15" t="s">
        <v>89</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ScenarioD_Attack_Paths_64combin</vt:lpstr>
      <vt:lpstr>SPRV_Mi_to_IPA</vt:lpstr>
      <vt:lpstr>IPA_Risk_Rules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吉也 伊藤</cp:lastModifiedBy>
  <dcterms:created xsi:type="dcterms:W3CDTF">2025-07-22T13:50:52Z</dcterms:created>
  <dcterms:modified xsi:type="dcterms:W3CDTF">2026-04-16T07:25:49Z</dcterms:modified>
</cp:coreProperties>
</file>