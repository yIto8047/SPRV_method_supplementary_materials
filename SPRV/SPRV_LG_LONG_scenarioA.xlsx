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ONG" sheetId="1" state="visible" r:id="rId3"/>
    <sheet name="Tree_Summary" sheetId="2" state="visible" r:id="rId4"/>
    <sheet name="Risk_Summary" sheetId="3" state="visible" r:id="rId5"/>
    <sheet name="Settings " sheetId="4" state="visible" r:id="rId6"/>
    <sheet name="Data_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Ci uses 1.0 / 1.2 / 1.35 / 1.5 / 2.0 coefficients.</t>
        </r>
      </text>
    </comment>
    <comment ref="M1" authorId="0">
      <text>
        <r>
          <rPr>
            <sz val="10"/>
            <rFont val="Arial"/>
            <family val="2"/>
          </rPr>
          <t xml:space="preserve">Qhat_i = MIN(1, Pi × Mi × Ci). Ci is the converted coefficient, not the 1-5 ordinal level.</t>
        </r>
      </text>
    </comment>
    <comment ref="N1" authorId="0">
      <text>
        <r>
          <rPr>
            <sz val="10"/>
            <rFont val="Arial"/>
            <family val="2"/>
          </rPr>
          <t xml:space="preserve">Ri is the cumulative attack path reachability at each step.</t>
        </r>
      </text>
    </comment>
  </commentList>
</comments>
</file>

<file path=xl/sharedStrings.xml><?xml version="1.0" encoding="utf-8"?>
<sst xmlns="http://schemas.openxmlformats.org/spreadsheetml/2006/main" count="1898" uniqueCount="246">
  <si>
    <t xml:space="preserve">Scenario_ID</t>
  </si>
  <si>
    <t xml:space="preserve">AttackTree_ID</t>
  </si>
  <si>
    <t xml:space="preserve">AttackTree_Key</t>
  </si>
  <si>
    <t xml:space="preserve">Step</t>
  </si>
  <si>
    <t xml:space="preserve">Step_num</t>
  </si>
  <si>
    <t xml:space="preserve">Technique_ID</t>
  </si>
  <si>
    <t xml:space="preserve">Technique_Name</t>
  </si>
  <si>
    <t xml:space="preserve">Asset</t>
  </si>
  <si>
    <t xml:space="preserve">Pi</t>
  </si>
  <si>
    <t xml:space="preserve">Mi_Current</t>
  </si>
  <si>
    <t xml:space="preserve">Ci</t>
  </si>
  <si>
    <t xml:space="preserve">Qi_Current</t>
  </si>
  <si>
    <t xml:space="preserve">Qhat_i_Current</t>
  </si>
  <si>
    <t xml:space="preserve">Ri_Current</t>
  </si>
  <si>
    <t xml:space="preserve">Mi_Full</t>
  </si>
  <si>
    <t xml:space="preserve">Qhat_i_Full</t>
  </si>
  <si>
    <t xml:space="preserve">Ri_Full</t>
  </si>
  <si>
    <t xml:space="preserve">Mi_Worst</t>
  </si>
  <si>
    <t xml:space="preserve">Qhat_i_Worst</t>
  </si>
  <si>
    <t xml:space="preserve">Ri_Worst</t>
  </si>
  <si>
    <t xml:space="preserve">Rtree_Current</t>
  </si>
  <si>
    <t xml:space="preserve">Rtree_Full</t>
  </si>
  <si>
    <t xml:space="preserve">Rtree_Worst</t>
  </si>
  <si>
    <t xml:space="preserve">Log_Ratio</t>
  </si>
  <si>
    <t xml:space="preserve">Risk_Class</t>
  </si>
  <si>
    <t xml:space="preserve">Risk_B_Flag</t>
  </si>
  <si>
    <t xml:space="preserve">High_Mi_Flag</t>
  </si>
  <si>
    <t xml:space="preserve">High_Qhat_Flag</t>
  </si>
  <si>
    <t xml:space="preserve">Formula_Check</t>
  </si>
  <si>
    <t xml:space="preserve">A</t>
  </si>
  <si>
    <t xml:space="preserve">A-001</t>
  </si>
  <si>
    <t xml:space="preserve">S1</t>
  </si>
  <si>
    <t xml:space="preserve">T1078.004</t>
  </si>
  <si>
    <t xml:space="preserve">Cloud Accounts</t>
  </si>
  <si>
    <t xml:space="preserve">Management Console for Business Server OnCloud</t>
  </si>
  <si>
    <t xml:space="preserve">S2</t>
  </si>
  <si>
    <t xml:space="preserve">T1021.007</t>
  </si>
  <si>
    <t xml:space="preserve">Cloud Services</t>
  </si>
  <si>
    <t xml:space="preserve">Update server OnCloud</t>
  </si>
  <si>
    <t xml:space="preserve">S3</t>
  </si>
  <si>
    <t xml:space="preserve">T1484.002</t>
  </si>
  <si>
    <t xml:space="preserve">Trust Modification</t>
  </si>
  <si>
    <t xml:space="preserve">Business Server OnCloud</t>
  </si>
  <si>
    <t xml:space="preserve">S4</t>
  </si>
  <si>
    <t xml:space="preserve">T1486</t>
  </si>
  <si>
    <t xml:space="preserve">Data Encrypted for Impact</t>
  </si>
  <si>
    <t xml:space="preserve">Proxy server OnCloud</t>
  </si>
  <si>
    <t xml:space="preserve">A-002</t>
  </si>
  <si>
    <t xml:space="preserve">T1496.001</t>
  </si>
  <si>
    <t xml:space="preserve">Compute Hijacking</t>
  </si>
  <si>
    <t xml:space="preserve">A-003</t>
  </si>
  <si>
    <t xml:space="preserve">T1496.002</t>
  </si>
  <si>
    <t xml:space="preserve">Bandwidth Hijacking</t>
  </si>
  <si>
    <t xml:space="preserve">A-004</t>
  </si>
  <si>
    <t xml:space="preserve">T1496.004</t>
  </si>
  <si>
    <t xml:space="preserve">Cloud Service Hijacking</t>
  </si>
  <si>
    <t xml:space="preserve">A-005</t>
  </si>
  <si>
    <t xml:space="preserve">T1059.009</t>
  </si>
  <si>
    <t xml:space="preserve">Cloud API</t>
  </si>
  <si>
    <t xml:space="preserve">A-006</t>
  </si>
  <si>
    <t xml:space="preserve">A-007</t>
  </si>
  <si>
    <t xml:space="preserve">A-008</t>
  </si>
  <si>
    <t xml:space="preserve">A-009</t>
  </si>
  <si>
    <t xml:space="preserve">T1651</t>
  </si>
  <si>
    <t xml:space="preserve">Cloud Administration Command</t>
  </si>
  <si>
    <t xml:space="preserve">A-010</t>
  </si>
  <si>
    <t xml:space="preserve">A-011</t>
  </si>
  <si>
    <t xml:space="preserve">A-012</t>
  </si>
  <si>
    <t xml:space="preserve">A-013</t>
  </si>
  <si>
    <t xml:space="preserve">T1555.006</t>
  </si>
  <si>
    <t xml:space="preserve">Cloud Secrets Management Stores</t>
  </si>
  <si>
    <t xml:space="preserve">A-014</t>
  </si>
  <si>
    <t xml:space="preserve">A-015</t>
  </si>
  <si>
    <t xml:space="preserve">A-016</t>
  </si>
  <si>
    <t xml:space="preserve">A-017</t>
  </si>
  <si>
    <t xml:space="preserve">A-018</t>
  </si>
  <si>
    <t xml:space="preserve">A-019</t>
  </si>
  <si>
    <t xml:space="preserve">A-020</t>
  </si>
  <si>
    <t xml:space="preserve">A-021</t>
  </si>
  <si>
    <t xml:space="preserve">A-022</t>
  </si>
  <si>
    <t xml:space="preserve">A-023</t>
  </si>
  <si>
    <t xml:space="preserve">A-024</t>
  </si>
  <si>
    <t xml:space="preserve">A-025</t>
  </si>
  <si>
    <t xml:space="preserve">A-026</t>
  </si>
  <si>
    <t xml:space="preserve">A-027</t>
  </si>
  <si>
    <t xml:space="preserve">A-028</t>
  </si>
  <si>
    <t xml:space="preserve">A-029</t>
  </si>
  <si>
    <t xml:space="preserve">A-030</t>
  </si>
  <si>
    <t xml:space="preserve">A-031</t>
  </si>
  <si>
    <t xml:space="preserve">A-032</t>
  </si>
  <si>
    <t xml:space="preserve">A-033</t>
  </si>
  <si>
    <t xml:space="preserve">T1578.002</t>
  </si>
  <si>
    <t xml:space="preserve">Create Cloud Instance</t>
  </si>
  <si>
    <t xml:space="preserve">A-034</t>
  </si>
  <si>
    <t xml:space="preserve">A-035</t>
  </si>
  <si>
    <t xml:space="preserve">A-036</t>
  </si>
  <si>
    <t xml:space="preserve">A-037</t>
  </si>
  <si>
    <t xml:space="preserve">A-038</t>
  </si>
  <si>
    <t xml:space="preserve">A-039</t>
  </si>
  <si>
    <t xml:space="preserve">A-040</t>
  </si>
  <si>
    <t xml:space="preserve">A-041</t>
  </si>
  <si>
    <t xml:space="preserve">A-042</t>
  </si>
  <si>
    <t xml:space="preserve">A-043</t>
  </si>
  <si>
    <t xml:space="preserve">A-044</t>
  </si>
  <si>
    <t xml:space="preserve">A-045</t>
  </si>
  <si>
    <t xml:space="preserve">A-046</t>
  </si>
  <si>
    <t xml:space="preserve">A-047</t>
  </si>
  <si>
    <t xml:space="preserve">A-048</t>
  </si>
  <si>
    <t xml:space="preserve">A-049</t>
  </si>
  <si>
    <t xml:space="preserve">T1578.004</t>
  </si>
  <si>
    <t xml:space="preserve">Revert Cloud Instance</t>
  </si>
  <si>
    <t xml:space="preserve">A-050</t>
  </si>
  <si>
    <t xml:space="preserve">A-051</t>
  </si>
  <si>
    <t xml:space="preserve">A-052</t>
  </si>
  <si>
    <t xml:space="preserve">A-053</t>
  </si>
  <si>
    <t xml:space="preserve">A-054</t>
  </si>
  <si>
    <t xml:space="preserve">A-055</t>
  </si>
  <si>
    <t xml:space="preserve">A-056</t>
  </si>
  <si>
    <t xml:space="preserve">A-057</t>
  </si>
  <si>
    <t xml:space="preserve">A-058</t>
  </si>
  <si>
    <t xml:space="preserve">A-059</t>
  </si>
  <si>
    <t xml:space="preserve">A-060</t>
  </si>
  <si>
    <t xml:space="preserve">A-061</t>
  </si>
  <si>
    <t xml:space="preserve">A-062</t>
  </si>
  <si>
    <t xml:space="preserve">A-063</t>
  </si>
  <si>
    <t xml:space="preserve">A-064</t>
  </si>
  <si>
    <t xml:space="preserve">Final_Row</t>
  </si>
  <si>
    <t xml:space="preserve">Path_Techniques</t>
  </si>
  <si>
    <t xml:space="preserve">Path_Assets</t>
  </si>
  <si>
    <t xml:space="preserve">S1:T1078.004 Cloud Accounts -&gt; S2:T1021.007 Cloud Services -&gt; S3:T1484.002 Trust Modification -&gt; S4:T1486 Data Encrypted for Impact</t>
  </si>
  <si>
    <t xml:space="preserve">S1:Management Console for Business Server OnCloud -&gt; S2:Update server OnCloud -&gt; S3:Business Server OnCloud -&gt; S4:Proxy server OnCloud</t>
  </si>
  <si>
    <t xml:space="preserve">S1:T1078.004 Cloud Accounts -&gt; S2:T1021.007 Cloud Services -&gt; S3:T1484.002 Trust Modification -&gt; S4:T1496.001 Compute Hijacking</t>
  </si>
  <si>
    <t xml:space="preserve">S1:T1078.004 Cloud Accounts -&gt; S2:T1021.007 Cloud Services -&gt; S3:T1484.002 Trust Modification -&gt; S4:T1496.002 Bandwidth Hijacking</t>
  </si>
  <si>
    <t xml:space="preserve">S1:T1078.004 Cloud Accounts -&gt; S2:T1021.007 Cloud Services -&gt; S3:T1484.002 Trust Modification -&gt; S4:T1496.004 Cloud Service Hijacking</t>
  </si>
  <si>
    <t xml:space="preserve">S1:T1078.004 Cloud Accounts -&gt; S2:T1021.007 Cloud Services -&gt; S3:T1059.009 Cloud API -&gt; S4:T1486 Data Encrypted for Impact</t>
  </si>
  <si>
    <t xml:space="preserve">S1:T1078.004 Cloud Accounts -&gt; S2:T1021.007 Cloud Services -&gt; S3:T1059.009 Cloud API -&gt; S4:T1496.001 Compute Hijacking</t>
  </si>
  <si>
    <t xml:space="preserve">S1:T1078.004 Cloud Accounts -&gt; S2:T1021.007 Cloud Services -&gt; S3:T1059.009 Cloud API -&gt; S4:T1496.002 Bandwidth Hijacking</t>
  </si>
  <si>
    <t xml:space="preserve">S1:T1078.004 Cloud Accounts -&gt; S2:T1021.007 Cloud Services -&gt; S3:T1059.009 Cloud API -&gt; S4:T1496.004 Cloud Service Hijacking</t>
  </si>
  <si>
    <t xml:space="preserve">S1:T1078.004 Cloud Accounts -&gt; S2:T1021.007 Cloud Services -&gt; S3:T1651 Cloud Administration Command -&gt; S4:T1486 Data Encrypted for Impact</t>
  </si>
  <si>
    <t xml:space="preserve">S1:T1078.004 Cloud Accounts -&gt; S2:T1021.007 Cloud Services -&gt; S3:T1651 Cloud Administration Command -&gt; S4:T1496.001 Compute Hijacking</t>
  </si>
  <si>
    <t xml:space="preserve">S1:T1078.004 Cloud Accounts -&gt; S2:T1021.007 Cloud Services -&gt; S3:T1651 Cloud Administration Command -&gt; S4:T1496.002 Bandwidth Hijacking</t>
  </si>
  <si>
    <t xml:space="preserve">S1:T1078.004 Cloud Accounts -&gt; S2:T1021.007 Cloud Services -&gt; S3:T1651 Cloud Administration Command -&gt; S4:T1496.004 Cloud Service Hijacking</t>
  </si>
  <si>
    <t xml:space="preserve">S1:T1078.004 Cloud Accounts -&gt; S2:T1021.007 Cloud Services -&gt; S3:T1555.006 Cloud Secrets Management Stores -&gt; S4:T1486 Data Encrypted for Impact</t>
  </si>
  <si>
    <t xml:space="preserve">S1:T1078.004 Cloud Accounts -&gt; S2:T1021.007 Cloud Services -&gt; S3:T1555.006 Cloud Secrets Management Stores -&gt; S4:T1496.001 Compute Hijacking</t>
  </si>
  <si>
    <t xml:space="preserve">S1:T1078.004 Cloud Accounts -&gt; S2:T1021.007 Cloud Services -&gt; S3:T1555.006 Cloud Secrets Management Stores -&gt; S4:T1496.002 Bandwidth Hijacking</t>
  </si>
  <si>
    <t xml:space="preserve">S1:T1078.004 Cloud Accounts -&gt; S2:T1021.007 Cloud Services -&gt; S3:T1555.006 Cloud Secrets Management Stores -&gt; S4:T1496.004 Cloud Service Hijacking</t>
  </si>
  <si>
    <t xml:space="preserve">S1:T1078.004 Cloud Accounts -&gt; S2:T1484.002 Trust Modification -&gt; S3:T1484.002 Trust Modification -&gt; S4:T1486 Data Encrypted for Impact</t>
  </si>
  <si>
    <t xml:space="preserve">S1:T1078.004 Cloud Accounts -&gt; S2:T1484.002 Trust Modification -&gt; S3:T1484.002 Trust Modification -&gt; S4:T1496.001 Compute Hijacking</t>
  </si>
  <si>
    <t xml:space="preserve">S1:T1078.004 Cloud Accounts -&gt; S2:T1484.002 Trust Modification -&gt; S3:T1484.002 Trust Modification -&gt; S4:T1496.002 Bandwidth Hijacking</t>
  </si>
  <si>
    <t xml:space="preserve">S1:T1078.004 Cloud Accounts -&gt; S2:T1484.002 Trust Modification -&gt; S3:T1484.002 Trust Modification -&gt; S4:T1496.004 Cloud Service Hijacking</t>
  </si>
  <si>
    <t xml:space="preserve">S1:T1078.004 Cloud Accounts -&gt; S2:T1484.002 Trust Modification -&gt; S3:T1059.009 Cloud API -&gt; S4:T1486 Data Encrypted for Impact</t>
  </si>
  <si>
    <t xml:space="preserve">S1:T1078.004 Cloud Accounts -&gt; S2:T1484.002 Trust Modification -&gt; S3:T1059.009 Cloud API -&gt; S4:T1496.001 Compute Hijacking</t>
  </si>
  <si>
    <t xml:space="preserve">S1:T1078.004 Cloud Accounts -&gt; S2:T1484.002 Trust Modification -&gt; S3:T1059.009 Cloud API -&gt; S4:T1496.002 Bandwidth Hijacking</t>
  </si>
  <si>
    <t xml:space="preserve">S1:T1078.004 Cloud Accounts -&gt; S2:T1484.002 Trust Modification -&gt; S3:T1059.009 Cloud API -&gt; S4:T1496.004 Cloud Service Hijacking</t>
  </si>
  <si>
    <t xml:space="preserve">S1:T1078.004 Cloud Accounts -&gt; S2:T1484.002 Trust Modification -&gt; S3:T1651 Cloud Administration Command -&gt; S4:T1486 Data Encrypted for Impact</t>
  </si>
  <si>
    <t xml:space="preserve">S1:T1078.004 Cloud Accounts -&gt; S2:T1484.002 Trust Modification -&gt; S3:T1651 Cloud Administration Command -&gt; S4:T1496.001 Compute Hijacking</t>
  </si>
  <si>
    <t xml:space="preserve">S1:T1078.004 Cloud Accounts -&gt; S2:T1484.002 Trust Modification -&gt; S3:T1651 Cloud Administration Command -&gt; S4:T1496.002 Bandwidth Hijacking</t>
  </si>
  <si>
    <t xml:space="preserve">S1:T1078.004 Cloud Accounts -&gt; S2:T1484.002 Trust Modification -&gt; S3:T1651 Cloud Administration Command -&gt; S4:T1496.004 Cloud Service Hijacking</t>
  </si>
  <si>
    <t xml:space="preserve">S1:T1078.004 Cloud Accounts -&gt; S2:T1484.002 Trust Modification -&gt; S3:T1555.006 Cloud Secrets Management Stores -&gt; S4:T1486 Data Encrypted for Impact</t>
  </si>
  <si>
    <t xml:space="preserve">S1:T1078.004 Cloud Accounts -&gt; S2:T1484.002 Trust Modification -&gt; S3:T1555.006 Cloud Secrets Management Stores -&gt; S4:T1496.001 Compute Hijacking</t>
  </si>
  <si>
    <t xml:space="preserve">S1:T1078.004 Cloud Accounts -&gt; S2:T1484.002 Trust Modification -&gt; S3:T1555.006 Cloud Secrets Management Stores -&gt; S4:T1496.002 Bandwidth Hijacking</t>
  </si>
  <si>
    <t xml:space="preserve">S1:T1078.004 Cloud Accounts -&gt; S2:T1484.002 Trust Modification -&gt; S3:T1555.006 Cloud Secrets Management Stores -&gt; S4:T1496.004 Cloud Service Hijacking</t>
  </si>
  <si>
    <t xml:space="preserve">S1:T1078.004 Cloud Accounts -&gt; S2:T1578.002 Create Cloud Instance -&gt; S3:T1484.002 Trust Modification -&gt; S4:T1486 Data Encrypted for Impact</t>
  </si>
  <si>
    <t xml:space="preserve">S1:T1078.004 Cloud Accounts -&gt; S2:T1578.002 Create Cloud Instance -&gt; S3:T1484.002 Trust Modification -&gt; S4:T1496.001 Compute Hijacking</t>
  </si>
  <si>
    <t xml:space="preserve">S1:T1078.004 Cloud Accounts -&gt; S2:T1578.002 Create Cloud Instance -&gt; S3:T1484.002 Trust Modification -&gt; S4:T1496.002 Bandwidth Hijacking</t>
  </si>
  <si>
    <t xml:space="preserve">S1:T1078.004 Cloud Accounts -&gt; S2:T1578.002 Create Cloud Instance -&gt; S3:T1484.002 Trust Modification -&gt; S4:T1496.004 Cloud Service Hijacking</t>
  </si>
  <si>
    <t xml:space="preserve">S1:T1078.004 Cloud Accounts -&gt; S2:T1578.002 Create Cloud Instance -&gt; S3:T1059.009 Cloud API -&gt; S4:T1486 Data Encrypted for Impact</t>
  </si>
  <si>
    <t xml:space="preserve">S1:T1078.004 Cloud Accounts -&gt; S2:T1578.002 Create Cloud Instance -&gt; S3:T1059.009 Cloud API -&gt; S4:T1496.001 Compute Hijacking</t>
  </si>
  <si>
    <t xml:space="preserve">S1:T1078.004 Cloud Accounts -&gt; S2:T1578.002 Create Cloud Instance -&gt; S3:T1059.009 Cloud API -&gt; S4:T1496.002 Bandwidth Hijacking</t>
  </si>
  <si>
    <t xml:space="preserve">S1:T1078.004 Cloud Accounts -&gt; S2:T1578.002 Create Cloud Instance -&gt; S3:T1059.009 Cloud API -&gt; S4:T1496.004 Cloud Service Hijacking</t>
  </si>
  <si>
    <t xml:space="preserve">S1:T1078.004 Cloud Accounts -&gt; S2:T1578.002 Create Cloud Instance -&gt; S3:T1651 Cloud Administration Command -&gt; S4:T1486 Data Encrypted for Impact</t>
  </si>
  <si>
    <t xml:space="preserve">S1:T1078.004 Cloud Accounts -&gt; S2:T1578.002 Create Cloud Instance -&gt; S3:T1651 Cloud Administration Command -&gt; S4:T1496.001 Compute Hijacking</t>
  </si>
  <si>
    <t xml:space="preserve">S1:T1078.004 Cloud Accounts -&gt; S2:T1578.002 Create Cloud Instance -&gt; S3:T1651 Cloud Administration Command -&gt; S4:T1496.002 Bandwidth Hijacking</t>
  </si>
  <si>
    <t xml:space="preserve">S1:T1078.004 Cloud Accounts -&gt; S2:T1578.002 Create Cloud Instance -&gt; S3:T1651 Cloud Administration Command -&gt; S4:T1496.004 Cloud Service Hijacking</t>
  </si>
  <si>
    <t xml:space="preserve">S1:T1078.004 Cloud Accounts -&gt; S2:T1578.002 Create Cloud Instance -&gt; S3:T1555.006 Cloud Secrets Management Stores -&gt; S4:T1486 Data Encrypted for Impact</t>
  </si>
  <si>
    <t xml:space="preserve">S1:T1078.004 Cloud Accounts -&gt; S2:T1578.002 Create Cloud Instance -&gt; S3:T1555.006 Cloud Secrets Management Stores -&gt; S4:T1496.001 Compute Hijacking</t>
  </si>
  <si>
    <t xml:space="preserve">S1:T1078.004 Cloud Accounts -&gt; S2:T1578.002 Create Cloud Instance -&gt; S3:T1555.006 Cloud Secrets Management Stores -&gt; S4:T1496.002 Bandwidth Hijacking</t>
  </si>
  <si>
    <t xml:space="preserve">S1:T1078.004 Cloud Accounts -&gt; S2:T1578.002 Create Cloud Instance -&gt; S3:T1555.006 Cloud Secrets Management Stores -&gt; S4:T1496.004 Cloud Service Hijacking</t>
  </si>
  <si>
    <t xml:space="preserve">S1:T1078.004 Cloud Accounts -&gt; S2:T1578.004 Revert Cloud Instance -&gt; S3:T1484.002 Trust Modification -&gt; S4:T1486 Data Encrypted for Impact</t>
  </si>
  <si>
    <t xml:space="preserve">S1:T1078.004 Cloud Accounts -&gt; S2:T1578.004 Revert Cloud Instance -&gt; S3:T1484.002 Trust Modification -&gt; S4:T1496.001 Compute Hijacking</t>
  </si>
  <si>
    <t xml:space="preserve">S1:T1078.004 Cloud Accounts -&gt; S2:T1578.004 Revert Cloud Instance -&gt; S3:T1484.002 Trust Modification -&gt; S4:T1496.002 Bandwidth Hijacking</t>
  </si>
  <si>
    <t xml:space="preserve">S1:T1078.004 Cloud Accounts -&gt; S2:T1578.004 Revert Cloud Instance -&gt; S3:T1484.002 Trust Modification -&gt; S4:T1496.004 Cloud Service Hijacking</t>
  </si>
  <si>
    <t xml:space="preserve">S1:T1078.004 Cloud Accounts -&gt; S2:T1578.004 Revert Cloud Instance -&gt; S3:T1059.009 Cloud API -&gt; S4:T1486 Data Encrypted for Impact</t>
  </si>
  <si>
    <t xml:space="preserve">S1:T1078.004 Cloud Accounts -&gt; S2:T1578.004 Revert Cloud Instance -&gt; S3:T1059.009 Cloud API -&gt; S4:T1496.001 Compute Hijacking</t>
  </si>
  <si>
    <t xml:space="preserve">S1:T1078.004 Cloud Accounts -&gt; S2:T1578.004 Revert Cloud Instance -&gt; S3:T1059.009 Cloud API -&gt; S4:T1496.002 Bandwidth Hijacking</t>
  </si>
  <si>
    <t xml:space="preserve">S1:T1078.004 Cloud Accounts -&gt; S2:T1578.004 Revert Cloud Instance -&gt; S3:T1059.009 Cloud API -&gt; S4:T1496.004 Cloud Service Hijacking</t>
  </si>
  <si>
    <t xml:space="preserve">S1:T1078.004 Cloud Accounts -&gt; S2:T1578.004 Revert Cloud Instance -&gt; S3:T1651 Cloud Administration Command -&gt; S4:T1486 Data Encrypted for Impact</t>
  </si>
  <si>
    <t xml:space="preserve">S1:T1078.004 Cloud Accounts -&gt; S2:T1578.004 Revert Cloud Instance -&gt; S3:T1651 Cloud Administration Command -&gt; S4:T1496.001 Compute Hijacking</t>
  </si>
  <si>
    <t xml:space="preserve">S1:T1078.004 Cloud Accounts -&gt; S2:T1578.004 Revert Cloud Instance -&gt; S3:T1651 Cloud Administration Command -&gt; S4:T1496.002 Bandwidth Hijacking</t>
  </si>
  <si>
    <t xml:space="preserve">S1:T1078.004 Cloud Accounts -&gt; S2:T1578.004 Revert Cloud Instance -&gt; S3:T1651 Cloud Administration Command -&gt; S4:T1496.004 Cloud Service Hijacking</t>
  </si>
  <si>
    <t xml:space="preserve">S1:T1078.004 Cloud Accounts -&gt; S2:T1578.004 Revert Cloud Instance -&gt; S3:T1555.006 Cloud Secrets Management Stores -&gt; S4:T1486 Data Encrypted for Impact</t>
  </si>
  <si>
    <t xml:space="preserve">S1:T1078.004 Cloud Accounts -&gt; S2:T1578.004 Revert Cloud Instance -&gt; S3:T1555.006 Cloud Secrets Management Stores -&gt; S4:T1496.001 Compute Hijacking</t>
  </si>
  <si>
    <t xml:space="preserve">S1:T1078.004 Cloud Accounts -&gt; S2:T1578.004 Revert Cloud Instance -&gt; S3:T1555.006 Cloud Secrets Management Stores -&gt; S4:T1496.002 Bandwidth Hijacking</t>
  </si>
  <si>
    <t xml:space="preserve">S1:T1078.004 Cloud Accounts -&gt; S2:T1578.004 Revert Cloud Instance -&gt; S3:T1555.006 Cloud Secrets Management Stores -&gt; S4:T1496.004 Cloud Service Hijacking</t>
  </si>
  <si>
    <t xml:space="preserve">Total attack trees</t>
  </si>
  <si>
    <t xml:space="preserve">Risk A count</t>
  </si>
  <si>
    <t xml:space="preserve">Risk B count</t>
  </si>
  <si>
    <t xml:space="preserve">Risk C count</t>
  </si>
  <si>
    <t xml:space="preserve">Risk B ratio</t>
  </si>
  <si>
    <t xml:space="preserve">Max Rtree Current</t>
  </si>
  <si>
    <t xml:space="preserve">Top Risk Tree</t>
  </si>
  <si>
    <t xml:space="preserve">Average Rtree Current</t>
  </si>
  <si>
    <t xml:space="preserve">Workbook</t>
  </si>
  <si>
    <t xml:space="preserve">SPRV_LG_LONG_scenarioA</t>
  </si>
  <si>
    <t xml:space="preserve">Scenario</t>
  </si>
  <si>
    <t xml:space="preserve">Management console privilege abuse on GovCloud and CIA impact on resident information</t>
  </si>
  <si>
    <t xml:space="preserve">Formula for Qi</t>
  </si>
  <si>
    <t xml:space="preserve">Qi = Pi × Mi</t>
  </si>
  <si>
    <t xml:space="preserve">Formula for Qhat_i</t>
  </si>
  <si>
    <t xml:space="preserve">Qhat_i = MIN(1, Pi × Mi × Ci)</t>
  </si>
  <si>
    <t xml:space="preserve">Formula for Ri</t>
  </si>
  <si>
    <t xml:space="preserve">Ri_i = Ri_(i-1) × Qhat_i ; Ri_1 = Qhat_1</t>
  </si>
  <si>
    <t xml:space="preserve">Risk B threshold (Log_Ratio)</t>
  </si>
  <si>
    <t xml:space="preserve">Risk A threshold (Log_Ratio)</t>
  </si>
  <si>
    <t xml:space="preserve">Full mitigation Mi</t>
  </si>
  <si>
    <t xml:space="preserve">Worst case Mi</t>
  </si>
  <si>
    <t xml:space="preserve">High Mi flag threshold</t>
  </si>
  <si>
    <t xml:space="preserve">High Qhat flag threshold</t>
  </si>
  <si>
    <t xml:space="preserve">Ci conversion table</t>
  </si>
  <si>
    <t xml:space="preserve">Level</t>
  </si>
  <si>
    <t xml:space="preserve">Ci coefficient</t>
  </si>
  <si>
    <t xml:space="preserve">Influence</t>
  </si>
  <si>
    <t xml:space="preserve">Condition</t>
  </si>
  <si>
    <t xml:space="preserve">No influence</t>
  </si>
  <si>
    <t xml:space="preserve">Previous step does not affect the next step</t>
  </si>
  <si>
    <t xml:space="preserve">Minor influence</t>
  </si>
  <si>
    <t xml:space="preserve">Information acquisition slightly increases next-step success</t>
  </si>
  <si>
    <t xml:space="preserve">Moderate influence</t>
  </si>
  <si>
    <t xml:space="preserve">Acquired credentials/privileges can be reused in the next step</t>
  </si>
  <si>
    <t xml:space="preserve">Strong influence</t>
  </si>
  <si>
    <t xml:space="preserve">Credential/privilege/admin acquisition greatly increases next-step success</t>
  </si>
  <si>
    <t xml:space="preserve">Maximum influence</t>
  </si>
  <si>
    <t xml:space="preserve">Admin/cloud-control rights are almost fully obtained before the next step</t>
  </si>
  <si>
    <t xml:space="preserve">Column</t>
  </si>
  <si>
    <t xml:space="preserve">Definition</t>
  </si>
  <si>
    <t xml:space="preserve">Attack reproducibility rate based on MITRE frequency scoring.</t>
  </si>
  <si>
    <t xml:space="preserve">Defense failure rate under the guideline-compliant condition.</t>
  </si>
  <si>
    <t xml:space="preserve">Propagation influence coefficient converted from the 5-level influence table.</t>
  </si>
  <si>
    <t xml:space="preserve">Pi × Mi_Current.</t>
  </si>
  <si>
    <t xml:space="preserve">MIN(1, Pi × Mi_Current × Ci).</t>
  </si>
  <si>
    <t xml:space="preserve">Cumulative attack path reachability under guideline-compliant condition.</t>
  </si>
  <si>
    <t xml:space="preserve">Final-step Ri_Current for the attack tree.</t>
  </si>
  <si>
    <t xml:space="preserve">Final-step Ri under full mitigation reference condition, Mi=0.1.</t>
  </si>
  <si>
    <t xml:space="preserve">Final-step Ri under no mitigation reference condition, Mi=0.9.</t>
  </si>
  <si>
    <t xml:space="preserve">Relative position of current Rtree between full mitigation and worst-case references.</t>
  </si>
  <si>
    <t xml:space="preserve">Risk A/B/C classification based on Log_Ratio thresholds.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</si>
</sst>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7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ＭＳ Ｐゴシック"/>
      <family val="3"/>
      <charset val="128"/>
    </font>
    <font>
      <sz val="10"/>
      <name val="Arial"/>
      <family val="2"/>
    </font>
    <font>
      <b val="true"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NG_A" displayName="LONG_A" ref="A1:AC257" headerRowCount="1" totalsRowCount="0" totalsRowShown="0">
  <autoFilter ref="A1:AC257"/>
  <tableColumns count="29">
    <tableColumn id="1" name="Scenario_ID"/>
    <tableColumn id="2" name="AttackTree_ID"/>
    <tableColumn id="3" name="AttackTree_Key"/>
    <tableColumn id="4" name="Step"/>
    <tableColumn id="5" name="Step_num"/>
    <tableColumn id="6" name="Technique_ID"/>
    <tableColumn id="7" name="Technique_Name"/>
    <tableColumn id="8" name="Asset"/>
    <tableColumn id="9" name="Pi"/>
    <tableColumn id="10" name="Mi_Current"/>
    <tableColumn id="11" name="Ci"/>
    <tableColumn id="12" name="Qi_Current"/>
    <tableColumn id="13" name="Qhat_i_Current"/>
    <tableColumn id="14" name="Ri_Current"/>
    <tableColumn id="15" name="Mi_Full"/>
    <tableColumn id="16" name="Qhat_i_Full"/>
    <tableColumn id="17" name="Ri_Full"/>
    <tableColumn id="18" name="Mi_Worst"/>
    <tableColumn id="19" name="Qhat_i_Worst"/>
    <tableColumn id="20" name="Ri_Worst"/>
    <tableColumn id="21" name="Rtree_Current"/>
    <tableColumn id="22" name="Rtree_Full"/>
    <tableColumn id="23" name="Rtree_Worst"/>
    <tableColumn id="24" name="Log_Ratio"/>
    <tableColumn id="25" name="Risk_Class"/>
    <tableColumn id="26" name="Risk_B_Flag"/>
    <tableColumn id="27" name="High_Mi_Flag"/>
    <tableColumn id="28" name="High_Qhat_Flag"/>
    <tableColumn id="29" name="Formula_Check"/>
  </tableColumns>
</table>
</file>

<file path=xl/tables/table2.xml><?xml version="1.0" encoding="utf-8"?>
<table xmlns="http://schemas.openxmlformats.org/spreadsheetml/2006/main" id="2" name="TreeSummary_A" displayName="TreeSummary_A" ref="A1:L65" headerRowCount="1" totalsRowCount="0" totalsRowShown="0">
  <autoFilter ref="A1:L65"/>
  <tableColumns count="12">
    <tableColumn id="1" name="Scenario_ID"/>
    <tableColumn id="2" name="AttackTree_ID"/>
    <tableColumn id="3" name="AttackTree_Key"/>
    <tableColumn id="4" name="Final_Row"/>
    <tableColumn id="5" name="Rtree_Current"/>
    <tableColumn id="6" name="Rtree_Full"/>
    <tableColumn id="7" name="Rtree_Worst"/>
    <tableColumn id="8" name="Log_Ratio"/>
    <tableColumn id="9" name="Risk_Class"/>
    <tableColumn id="10" name="Risk_B_Flag"/>
    <tableColumn id="11" name="Path_Techniques"/>
    <tableColumn id="12" name="Path_Asse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7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4" min="13" style="1" width="14"/>
    <col collapsed="false" customWidth="true" hidden="false" outlineLevel="0" max="15" min="15" style="1" width="10"/>
    <col collapsed="false" customWidth="true" hidden="false" outlineLevel="0" max="17" min="16" style="1" width="13"/>
    <col collapsed="false" customWidth="true" hidden="false" outlineLevel="0" max="18" min="18" style="1" width="10"/>
    <col collapsed="false" customWidth="true" hidden="false" outlineLevel="0" max="23" min="19" style="1" width="14"/>
    <col collapsed="false" customWidth="true" hidden="false" outlineLevel="0" max="27" min="24" style="1" width="12"/>
    <col collapsed="false" customWidth="true" hidden="false" outlineLevel="0" max="29" min="28" style="1" width="14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25.5" hidden="false" customHeight="true" outlineLevel="0" collapsed="false">
      <c r="A2" s="3" t="s">
        <v>29</v>
      </c>
      <c r="B2" s="3" t="n">
        <v>1</v>
      </c>
      <c r="C2" s="3" t="s">
        <v>30</v>
      </c>
      <c r="D2" s="3" t="s">
        <v>31</v>
      </c>
      <c r="E2" s="3" t="n">
        <v>1</v>
      </c>
      <c r="F2" s="3" t="s">
        <v>32</v>
      </c>
      <c r="G2" s="3" t="s">
        <v>33</v>
      </c>
      <c r="H2" s="3" t="s">
        <v>34</v>
      </c>
      <c r="I2" s="4" t="n">
        <v>0.72</v>
      </c>
      <c r="J2" s="4" t="n">
        <v>0.1</v>
      </c>
      <c r="K2" s="4" t="n">
        <v>2</v>
      </c>
      <c r="L2" s="4" t="n">
        <f aca="false">I2*J2</f>
        <v>0.072</v>
      </c>
      <c r="M2" s="4" t="n">
        <f aca="false">MIN(1,I2*J2*K2)</f>
        <v>0.144</v>
      </c>
      <c r="N2" s="4" t="n">
        <f aca="false">M2</f>
        <v>0.144</v>
      </c>
      <c r="O2" s="4" t="n">
        <f aca="false">'Settings '!$B$8</f>
        <v>0.1</v>
      </c>
      <c r="P2" s="4" t="n">
        <f aca="false">MIN(1,I2*O2*K2)</f>
        <v>0.144</v>
      </c>
      <c r="Q2" s="4" t="n">
        <f aca="false">P2</f>
        <v>0.144</v>
      </c>
      <c r="R2" s="4" t="n">
        <f aca="false">'Settings '!$B$9</f>
        <v>0.9</v>
      </c>
      <c r="S2" s="4" t="n">
        <f aca="false">MIN(1,I2*R2*K2)</f>
        <v>1</v>
      </c>
      <c r="T2" s="4" t="n">
        <f aca="false">S2</f>
        <v>1</v>
      </c>
      <c r="U2" s="4" t="str">
        <f aca="false">IF(E2=4,N2,"")</f>
        <v/>
      </c>
      <c r="V2" s="4" t="str">
        <f aca="false">IF(E2=4,Q2,"")</f>
        <v/>
      </c>
      <c r="W2" s="4" t="str">
        <f aca="false">IF(E2=4,T2,"")</f>
        <v/>
      </c>
      <c r="X2" s="4" t="str">
        <f aca="false">IF(E2=4,IFERROR((LN(U2)-LN(V2))/(LN(W2)-LN(V2)),0),"")</f>
        <v/>
      </c>
      <c r="Y2" s="3" t="str">
        <f aca="false">IF(E2=4,IF(X2&gt;='Settings '!$B$7,"Risk A",IF(X2&gt;='Settings '!$B$6,"Risk B","Risk C")),"")</f>
        <v/>
      </c>
      <c r="Z2" s="3" t="n">
        <f aca="false">IF(Y2="Risk B",1,0)</f>
        <v>0</v>
      </c>
      <c r="AA2" s="3" t="n">
        <f aca="false">IF(J2&gt;='Settings '!$B$10,1,0)</f>
        <v>0</v>
      </c>
      <c r="AB2" s="3" t="n">
        <f aca="false">IF(M2&gt;='Settings '!$B$11,1,0)</f>
        <v>0</v>
      </c>
      <c r="AC2" s="4" t="n">
        <f aca="false">ABS(M2-MIN(1,I2*J2*K2))</f>
        <v>0</v>
      </c>
    </row>
    <row r="3" customFormat="false" ht="14.25" hidden="false" customHeight="true" outlineLevel="0" collapsed="false">
      <c r="A3" s="3" t="s">
        <v>29</v>
      </c>
      <c r="B3" s="3" t="n">
        <v>1</v>
      </c>
      <c r="C3" s="3" t="s">
        <v>30</v>
      </c>
      <c r="D3" s="3" t="s">
        <v>35</v>
      </c>
      <c r="E3" s="3" t="n">
        <v>2</v>
      </c>
      <c r="F3" s="3" t="s">
        <v>36</v>
      </c>
      <c r="G3" s="3" t="s">
        <v>37</v>
      </c>
      <c r="H3" s="3" t="s">
        <v>38</v>
      </c>
      <c r="I3" s="4" t="n">
        <v>0.36</v>
      </c>
      <c r="J3" s="4" t="n">
        <v>0.1</v>
      </c>
      <c r="K3" s="4" t="n">
        <v>1.5</v>
      </c>
      <c r="L3" s="4" t="n">
        <f aca="false">I3*J3</f>
        <v>0.036</v>
      </c>
      <c r="M3" s="4" t="n">
        <f aca="false">MIN(1,I3*J3*K3)</f>
        <v>0.054</v>
      </c>
      <c r="N3" s="4" t="n">
        <f aca="false">N2*M3</f>
        <v>0.007776</v>
      </c>
      <c r="O3" s="4" t="n">
        <f aca="false">'Settings '!$B$8</f>
        <v>0.1</v>
      </c>
      <c r="P3" s="4" t="n">
        <f aca="false">MIN(1,I3*O3*K3)</f>
        <v>0.054</v>
      </c>
      <c r="Q3" s="4" t="n">
        <f aca="false">Q2*P3</f>
        <v>0.007776</v>
      </c>
      <c r="R3" s="4" t="n">
        <f aca="false">'Settings '!$B$9</f>
        <v>0.9</v>
      </c>
      <c r="S3" s="4" t="n">
        <f aca="false">MIN(1,I3*R3*K3)</f>
        <v>0.486</v>
      </c>
      <c r="T3" s="4" t="n">
        <f aca="false">T2*S3</f>
        <v>0.486</v>
      </c>
      <c r="U3" s="4" t="str">
        <f aca="false">IF(E3=4,N3,"")</f>
        <v/>
      </c>
      <c r="V3" s="4" t="str">
        <f aca="false">IF(E3=4,Q3,"")</f>
        <v/>
      </c>
      <c r="W3" s="4" t="str">
        <f aca="false">IF(E3=4,T3,"")</f>
        <v/>
      </c>
      <c r="X3" s="4" t="str">
        <f aca="false">IF(E3=4,IFERROR((LN(U3)-LN(V3))/(LN(W3)-LN(V3)),0),"")</f>
        <v/>
      </c>
      <c r="Y3" s="3" t="str">
        <f aca="false">IF(E3=4,IF(X3&gt;='Settings '!$B$7,"Risk A",IF(X3&gt;='Settings '!$B$6,"Risk B","Risk C")),"")</f>
        <v/>
      </c>
      <c r="Z3" s="3" t="n">
        <f aca="false">IF(Y3="Risk B",1,0)</f>
        <v>0</v>
      </c>
      <c r="AA3" s="3" t="n">
        <f aca="false">IF(J3&gt;='Settings '!$B$10,1,0)</f>
        <v>0</v>
      </c>
      <c r="AB3" s="3" t="n">
        <f aca="false">IF(M3&gt;='Settings '!$B$11,1,0)</f>
        <v>0</v>
      </c>
      <c r="AC3" s="4" t="n">
        <f aca="false">ABS(M3-MIN(1,I3*J3*K3))</f>
        <v>0</v>
      </c>
    </row>
    <row r="4" customFormat="false" ht="14.25" hidden="false" customHeight="true" outlineLevel="0" collapsed="false">
      <c r="A4" s="3" t="s">
        <v>29</v>
      </c>
      <c r="B4" s="3" t="n">
        <v>1</v>
      </c>
      <c r="C4" s="3" t="s">
        <v>30</v>
      </c>
      <c r="D4" s="3" t="s">
        <v>39</v>
      </c>
      <c r="E4" s="3" t="n">
        <v>3</v>
      </c>
      <c r="F4" s="3" t="s">
        <v>40</v>
      </c>
      <c r="G4" s="3" t="s">
        <v>41</v>
      </c>
      <c r="H4" s="3" t="s">
        <v>42</v>
      </c>
      <c r="I4" s="4" t="n">
        <v>0.36</v>
      </c>
      <c r="J4" s="4" t="n">
        <v>0.1</v>
      </c>
      <c r="K4" s="4" t="n">
        <v>2</v>
      </c>
      <c r="L4" s="4" t="n">
        <f aca="false">I4*J4</f>
        <v>0.036</v>
      </c>
      <c r="M4" s="4" t="n">
        <f aca="false">MIN(1,I4*J4*K4)</f>
        <v>0.072</v>
      </c>
      <c r="N4" s="4" t="n">
        <f aca="false">N3*M4</f>
        <v>0.000559872</v>
      </c>
      <c r="O4" s="4" t="n">
        <f aca="false">'Settings '!$B$8</f>
        <v>0.1</v>
      </c>
      <c r="P4" s="4" t="n">
        <f aca="false">MIN(1,I4*O4*K4)</f>
        <v>0.072</v>
      </c>
      <c r="Q4" s="4" t="n">
        <f aca="false">Q3*P4</f>
        <v>0.000559872</v>
      </c>
      <c r="R4" s="4" t="n">
        <f aca="false">'Settings '!$B$9</f>
        <v>0.9</v>
      </c>
      <c r="S4" s="4" t="n">
        <f aca="false">MIN(1,I4*R4*K4)</f>
        <v>0.648</v>
      </c>
      <c r="T4" s="4" t="n">
        <f aca="false">T3*S4</f>
        <v>0.314928</v>
      </c>
      <c r="U4" s="4" t="str">
        <f aca="false">IF(E4=4,N4,"")</f>
        <v/>
      </c>
      <c r="V4" s="4" t="str">
        <f aca="false">IF(E4=4,Q4,"")</f>
        <v/>
      </c>
      <c r="W4" s="4" t="str">
        <f aca="false">IF(E4=4,T4,"")</f>
        <v/>
      </c>
      <c r="X4" s="4" t="str">
        <f aca="false">IF(E4=4,IFERROR((LN(U4)-LN(V4))/(LN(W4)-LN(V4)),0),"")</f>
        <v/>
      </c>
      <c r="Y4" s="3" t="str">
        <f aca="false">IF(E4=4,IF(X4&gt;='Settings '!$B$7,"Risk A",IF(X4&gt;='Settings '!$B$6,"Risk B","Risk C")),"")</f>
        <v/>
      </c>
      <c r="Z4" s="3" t="n">
        <f aca="false">IF(Y4="Risk B",1,0)</f>
        <v>0</v>
      </c>
      <c r="AA4" s="3" t="n">
        <f aca="false">IF(J4&gt;='Settings '!$B$10,1,0)</f>
        <v>0</v>
      </c>
      <c r="AB4" s="3" t="n">
        <f aca="false">IF(M4&gt;='Settings '!$B$11,1,0)</f>
        <v>0</v>
      </c>
      <c r="AC4" s="4" t="n">
        <f aca="false">ABS(M4-MIN(1,I4*J4*K4))</f>
        <v>0</v>
      </c>
    </row>
    <row r="5" customFormat="false" ht="14.25" hidden="false" customHeight="true" outlineLevel="0" collapsed="false">
      <c r="A5" s="3" t="s">
        <v>29</v>
      </c>
      <c r="B5" s="3" t="n">
        <v>1</v>
      </c>
      <c r="C5" s="3" t="s">
        <v>30</v>
      </c>
      <c r="D5" s="3" t="s">
        <v>43</v>
      </c>
      <c r="E5" s="3" t="n">
        <v>4</v>
      </c>
      <c r="F5" s="3" t="s">
        <v>44</v>
      </c>
      <c r="G5" s="3" t="s">
        <v>45</v>
      </c>
      <c r="H5" s="3" t="s">
        <v>46</v>
      </c>
      <c r="I5" s="4" t="n">
        <v>0.9</v>
      </c>
      <c r="J5" s="4" t="n">
        <v>0.1</v>
      </c>
      <c r="K5" s="4" t="n">
        <v>2</v>
      </c>
      <c r="L5" s="4" t="n">
        <f aca="false">I5*J5</f>
        <v>0.09</v>
      </c>
      <c r="M5" s="4" t="n">
        <f aca="false">MIN(1,I5*J5*K5)</f>
        <v>0.18</v>
      </c>
      <c r="N5" s="4" t="n">
        <f aca="false">N4*M5</f>
        <v>0.00010077696</v>
      </c>
      <c r="O5" s="4" t="n">
        <f aca="false">'Settings '!$B$8</f>
        <v>0.1</v>
      </c>
      <c r="P5" s="4" t="n">
        <f aca="false">MIN(1,I5*O5*K5)</f>
        <v>0.18</v>
      </c>
      <c r="Q5" s="4" t="n">
        <f aca="false">Q4*P5</f>
        <v>0.00010077696</v>
      </c>
      <c r="R5" s="4" t="n">
        <f aca="false">'Settings '!$B$9</f>
        <v>0.9</v>
      </c>
      <c r="S5" s="4" t="n">
        <f aca="false">MIN(1,I5*R5*K5)</f>
        <v>1</v>
      </c>
      <c r="T5" s="4" t="n">
        <f aca="false">T4*S5</f>
        <v>0.314928</v>
      </c>
      <c r="U5" s="4" t="n">
        <f aca="false">IF(E5=4,N5,"")</f>
        <v>0.00010077696</v>
      </c>
      <c r="V5" s="4" t="n">
        <f aca="false">IF(E5=4,Q5,"")</f>
        <v>0.00010077696</v>
      </c>
      <c r="W5" s="4" t="n">
        <f aca="false">IF(E5=4,T5,"")</f>
        <v>0.314928</v>
      </c>
      <c r="X5" s="4" t="n">
        <f aca="false">IF(E5=4,IFERROR((LN(U5)-LN(V5))/(LN(W5)-LN(V5)),0),"")</f>
        <v>0</v>
      </c>
      <c r="Y5" s="3" t="str">
        <f aca="false">IF(E5=4,IF(X5&gt;='Settings '!$B$7,"Risk A",IF(X5&gt;='Settings '!$B$6,"Risk B","Risk C")),"")</f>
        <v>Risk C</v>
      </c>
      <c r="Z5" s="3" t="n">
        <f aca="false">IF(Y5="Risk B",1,0)</f>
        <v>0</v>
      </c>
      <c r="AA5" s="3" t="n">
        <f aca="false">IF(J5&gt;='Settings '!$B$10,1,0)</f>
        <v>0</v>
      </c>
      <c r="AB5" s="3" t="n">
        <f aca="false">IF(M5&gt;='Settings '!$B$11,1,0)</f>
        <v>0</v>
      </c>
      <c r="AC5" s="4" t="n">
        <f aca="false">ABS(M5-MIN(1,I5*J5*K5))</f>
        <v>0</v>
      </c>
    </row>
    <row r="6" customFormat="false" ht="25.5" hidden="false" customHeight="true" outlineLevel="0" collapsed="false">
      <c r="A6" s="3" t="s">
        <v>29</v>
      </c>
      <c r="B6" s="3" t="n">
        <v>2</v>
      </c>
      <c r="C6" s="3" t="s">
        <v>47</v>
      </c>
      <c r="D6" s="3" t="s">
        <v>31</v>
      </c>
      <c r="E6" s="3" t="n">
        <v>1</v>
      </c>
      <c r="F6" s="3" t="s">
        <v>32</v>
      </c>
      <c r="G6" s="3" t="s">
        <v>33</v>
      </c>
      <c r="H6" s="3" t="s">
        <v>34</v>
      </c>
      <c r="I6" s="4" t="n">
        <v>0.72</v>
      </c>
      <c r="J6" s="4" t="n">
        <v>0.1</v>
      </c>
      <c r="K6" s="4" t="n">
        <v>2</v>
      </c>
      <c r="L6" s="4" t="n">
        <f aca="false">I6*J6</f>
        <v>0.072</v>
      </c>
      <c r="M6" s="4" t="n">
        <f aca="false">MIN(1,I6*J6*K6)</f>
        <v>0.144</v>
      </c>
      <c r="N6" s="4" t="n">
        <f aca="false">M6</f>
        <v>0.144</v>
      </c>
      <c r="O6" s="4" t="n">
        <f aca="false">'Settings '!$B$8</f>
        <v>0.1</v>
      </c>
      <c r="P6" s="4" t="n">
        <f aca="false">MIN(1,I6*O6*K6)</f>
        <v>0.144</v>
      </c>
      <c r="Q6" s="4" t="n">
        <f aca="false">P6</f>
        <v>0.144</v>
      </c>
      <c r="R6" s="4" t="n">
        <f aca="false">'Settings '!$B$9</f>
        <v>0.9</v>
      </c>
      <c r="S6" s="4" t="n">
        <f aca="false">MIN(1,I6*R6*K6)</f>
        <v>1</v>
      </c>
      <c r="T6" s="4" t="n">
        <f aca="false">S6</f>
        <v>1</v>
      </c>
      <c r="U6" s="4" t="str">
        <f aca="false">IF(E6=4,N6,"")</f>
        <v/>
      </c>
      <c r="V6" s="4" t="str">
        <f aca="false">IF(E6=4,Q6,"")</f>
        <v/>
      </c>
      <c r="W6" s="4" t="str">
        <f aca="false">IF(E6=4,T6,"")</f>
        <v/>
      </c>
      <c r="X6" s="4" t="str">
        <f aca="false">IF(E6=4,IFERROR((LN(U6)-LN(V6))/(LN(W6)-LN(V6)),0),"")</f>
        <v/>
      </c>
      <c r="Y6" s="3" t="str">
        <f aca="false">IF(E6=4,IF(X6&gt;='Settings '!$B$7,"Risk A",IF(X6&gt;='Settings '!$B$6,"Risk B","Risk C")),"")</f>
        <v/>
      </c>
      <c r="Z6" s="3" t="n">
        <f aca="false">IF(Y6="Risk B",1,0)</f>
        <v>0</v>
      </c>
      <c r="AA6" s="3" t="n">
        <f aca="false">IF(J6&gt;='Settings '!$B$10,1,0)</f>
        <v>0</v>
      </c>
      <c r="AB6" s="3" t="n">
        <f aca="false">IF(M6&gt;='Settings '!$B$11,1,0)</f>
        <v>0</v>
      </c>
      <c r="AC6" s="4" t="n">
        <f aca="false">ABS(M6-MIN(1,I6*J6*K6))</f>
        <v>0</v>
      </c>
    </row>
    <row r="7" customFormat="false" ht="14.25" hidden="false" customHeight="true" outlineLevel="0" collapsed="false">
      <c r="A7" s="3" t="s">
        <v>29</v>
      </c>
      <c r="B7" s="3" t="n">
        <v>2</v>
      </c>
      <c r="C7" s="3" t="s">
        <v>47</v>
      </c>
      <c r="D7" s="3" t="s">
        <v>35</v>
      </c>
      <c r="E7" s="3" t="n">
        <v>2</v>
      </c>
      <c r="F7" s="3" t="s">
        <v>36</v>
      </c>
      <c r="G7" s="3" t="s">
        <v>37</v>
      </c>
      <c r="H7" s="3" t="s">
        <v>38</v>
      </c>
      <c r="I7" s="4" t="n">
        <v>0.36</v>
      </c>
      <c r="J7" s="4" t="n">
        <v>0.1</v>
      </c>
      <c r="K7" s="4" t="n">
        <v>1.5</v>
      </c>
      <c r="L7" s="4" t="n">
        <f aca="false">I7*J7</f>
        <v>0.036</v>
      </c>
      <c r="M7" s="4" t="n">
        <f aca="false">MIN(1,I7*J7*K7)</f>
        <v>0.054</v>
      </c>
      <c r="N7" s="4" t="n">
        <f aca="false">N6*M7</f>
        <v>0.007776</v>
      </c>
      <c r="O7" s="4" t="n">
        <f aca="false">'Settings '!$B$8</f>
        <v>0.1</v>
      </c>
      <c r="P7" s="4" t="n">
        <f aca="false">MIN(1,I7*O7*K7)</f>
        <v>0.054</v>
      </c>
      <c r="Q7" s="4" t="n">
        <f aca="false">Q6*P7</f>
        <v>0.007776</v>
      </c>
      <c r="R7" s="4" t="n">
        <f aca="false">'Settings '!$B$9</f>
        <v>0.9</v>
      </c>
      <c r="S7" s="4" t="n">
        <f aca="false">MIN(1,I7*R7*K7)</f>
        <v>0.486</v>
      </c>
      <c r="T7" s="4" t="n">
        <f aca="false">T6*S7</f>
        <v>0.486</v>
      </c>
      <c r="U7" s="4" t="str">
        <f aca="false">IF(E7=4,N7,"")</f>
        <v/>
      </c>
      <c r="V7" s="4" t="str">
        <f aca="false">IF(E7=4,Q7,"")</f>
        <v/>
      </c>
      <c r="W7" s="4" t="str">
        <f aca="false">IF(E7=4,T7,"")</f>
        <v/>
      </c>
      <c r="X7" s="4" t="str">
        <f aca="false">IF(E7=4,IFERROR((LN(U7)-LN(V7))/(LN(W7)-LN(V7)),0),"")</f>
        <v/>
      </c>
      <c r="Y7" s="3" t="str">
        <f aca="false">IF(E7=4,IF(X7&gt;='Settings '!$B$7,"Risk A",IF(X7&gt;='Settings '!$B$6,"Risk B","Risk C")),"")</f>
        <v/>
      </c>
      <c r="Z7" s="3" t="n">
        <f aca="false">IF(Y7="Risk B",1,0)</f>
        <v>0</v>
      </c>
      <c r="AA7" s="3" t="n">
        <f aca="false">IF(J7&gt;='Settings '!$B$10,1,0)</f>
        <v>0</v>
      </c>
      <c r="AB7" s="3" t="n">
        <f aca="false">IF(M7&gt;='Settings '!$B$11,1,0)</f>
        <v>0</v>
      </c>
      <c r="AC7" s="4" t="n">
        <f aca="false">ABS(M7-MIN(1,I7*J7*K7))</f>
        <v>0</v>
      </c>
    </row>
    <row r="8" customFormat="false" ht="14.25" hidden="false" customHeight="true" outlineLevel="0" collapsed="false">
      <c r="A8" s="3" t="s">
        <v>29</v>
      </c>
      <c r="B8" s="3" t="n">
        <v>2</v>
      </c>
      <c r="C8" s="3" t="s">
        <v>47</v>
      </c>
      <c r="D8" s="3" t="s">
        <v>39</v>
      </c>
      <c r="E8" s="3" t="n">
        <v>3</v>
      </c>
      <c r="F8" s="3" t="s">
        <v>40</v>
      </c>
      <c r="G8" s="3" t="s">
        <v>41</v>
      </c>
      <c r="H8" s="3" t="s">
        <v>42</v>
      </c>
      <c r="I8" s="4" t="n">
        <v>0.36</v>
      </c>
      <c r="J8" s="4" t="n">
        <v>0.1</v>
      </c>
      <c r="K8" s="4" t="n">
        <v>2</v>
      </c>
      <c r="L8" s="4" t="n">
        <f aca="false">I8*J8</f>
        <v>0.036</v>
      </c>
      <c r="M8" s="4" t="n">
        <f aca="false">MIN(1,I8*J8*K8)</f>
        <v>0.072</v>
      </c>
      <c r="N8" s="4" t="n">
        <f aca="false">N7*M8</f>
        <v>0.000559872</v>
      </c>
      <c r="O8" s="4" t="n">
        <f aca="false">'Settings '!$B$8</f>
        <v>0.1</v>
      </c>
      <c r="P8" s="4" t="n">
        <f aca="false">MIN(1,I8*O8*K8)</f>
        <v>0.072</v>
      </c>
      <c r="Q8" s="4" t="n">
        <f aca="false">Q7*P8</f>
        <v>0.000559872</v>
      </c>
      <c r="R8" s="4" t="n">
        <f aca="false">'Settings '!$B$9</f>
        <v>0.9</v>
      </c>
      <c r="S8" s="4" t="n">
        <f aca="false">MIN(1,I8*R8*K8)</f>
        <v>0.648</v>
      </c>
      <c r="T8" s="4" t="n">
        <f aca="false">T7*S8</f>
        <v>0.314928</v>
      </c>
      <c r="U8" s="4" t="str">
        <f aca="false">IF(E8=4,N8,"")</f>
        <v/>
      </c>
      <c r="V8" s="4" t="str">
        <f aca="false">IF(E8=4,Q8,"")</f>
        <v/>
      </c>
      <c r="W8" s="4" t="str">
        <f aca="false">IF(E8=4,T8,"")</f>
        <v/>
      </c>
      <c r="X8" s="4" t="str">
        <f aca="false">IF(E8=4,IFERROR((LN(U8)-LN(V8))/(LN(W8)-LN(V8)),0),"")</f>
        <v/>
      </c>
      <c r="Y8" s="3" t="str">
        <f aca="false">IF(E8=4,IF(X8&gt;='Settings '!$B$7,"Risk A",IF(X8&gt;='Settings '!$B$6,"Risk B","Risk C")),"")</f>
        <v/>
      </c>
      <c r="Z8" s="3" t="n">
        <f aca="false">IF(Y8="Risk B",1,0)</f>
        <v>0</v>
      </c>
      <c r="AA8" s="3" t="n">
        <f aca="false">IF(J8&gt;='Settings '!$B$10,1,0)</f>
        <v>0</v>
      </c>
      <c r="AB8" s="3" t="n">
        <f aca="false">IF(M8&gt;='Settings '!$B$11,1,0)</f>
        <v>0</v>
      </c>
      <c r="AC8" s="4" t="n">
        <f aca="false">ABS(M8-MIN(1,I8*J8*K8))</f>
        <v>0</v>
      </c>
    </row>
    <row r="9" customFormat="false" ht="14.25" hidden="false" customHeight="true" outlineLevel="0" collapsed="false">
      <c r="A9" s="3" t="s">
        <v>29</v>
      </c>
      <c r="B9" s="3" t="n">
        <v>2</v>
      </c>
      <c r="C9" s="3" t="s">
        <v>47</v>
      </c>
      <c r="D9" s="3" t="s">
        <v>43</v>
      </c>
      <c r="E9" s="3" t="n">
        <v>4</v>
      </c>
      <c r="F9" s="3" t="s">
        <v>48</v>
      </c>
      <c r="G9" s="3" t="s">
        <v>49</v>
      </c>
      <c r="H9" s="3" t="s">
        <v>46</v>
      </c>
      <c r="I9" s="4" t="n">
        <v>0.72</v>
      </c>
      <c r="J9" s="4" t="n">
        <v>0.28</v>
      </c>
      <c r="K9" s="4" t="n">
        <v>2</v>
      </c>
      <c r="L9" s="4" t="n">
        <f aca="false">I9*J9</f>
        <v>0.2016</v>
      </c>
      <c r="M9" s="4" t="n">
        <f aca="false">MIN(1,I9*J9*K9)</f>
        <v>0.4032</v>
      </c>
      <c r="N9" s="4" t="n">
        <f aca="false">N8*M9</f>
        <v>0.0002257403904</v>
      </c>
      <c r="O9" s="4" t="n">
        <f aca="false">'Settings '!$B$8</f>
        <v>0.1</v>
      </c>
      <c r="P9" s="4" t="n">
        <f aca="false">MIN(1,I9*O9*K9)</f>
        <v>0.144</v>
      </c>
      <c r="Q9" s="4" t="n">
        <f aca="false">Q8*P9</f>
        <v>8.0621568E-005</v>
      </c>
      <c r="R9" s="4" t="n">
        <f aca="false">'Settings '!$B$9</f>
        <v>0.9</v>
      </c>
      <c r="S9" s="4" t="n">
        <f aca="false">MIN(1,I9*R9*K9)</f>
        <v>1</v>
      </c>
      <c r="T9" s="4" t="n">
        <f aca="false">T8*S9</f>
        <v>0.314928</v>
      </c>
      <c r="U9" s="4" t="n">
        <f aca="false">IF(E9=4,N9,"")</f>
        <v>0.0002257403904</v>
      </c>
      <c r="V9" s="4" t="n">
        <f aca="false">IF(E9=4,Q9,"")</f>
        <v>8.0621568E-005</v>
      </c>
      <c r="W9" s="4" t="n">
        <f aca="false">IF(E9=4,T9,"")</f>
        <v>0.314928</v>
      </c>
      <c r="X9" s="4" t="n">
        <f aca="false">IF(E9=4,IFERROR((LN(U9)-LN(V9))/(LN(W9)-LN(V9)),0),"")</f>
        <v>0.124495519473378</v>
      </c>
      <c r="Y9" s="3" t="str">
        <f aca="false">IF(E9=4,IF(X9&gt;='Settings '!$B$7,"Risk A",IF(X9&gt;='Settings '!$B$6,"Risk B","Risk C")),"")</f>
        <v>Risk C</v>
      </c>
      <c r="Z9" s="3" t="n">
        <f aca="false">IF(Y9="Risk B",1,0)</f>
        <v>0</v>
      </c>
      <c r="AA9" s="3" t="n">
        <f aca="false">IF(J9&gt;='Settings '!$B$10,1,0)</f>
        <v>1</v>
      </c>
      <c r="AB9" s="3" t="n">
        <f aca="false">IF(M9&gt;='Settings '!$B$11,1,0)</f>
        <v>1</v>
      </c>
      <c r="AC9" s="4" t="n">
        <f aca="false">ABS(M9-MIN(1,I9*J9*K9))</f>
        <v>0</v>
      </c>
    </row>
    <row r="10" customFormat="false" ht="25.5" hidden="false" customHeight="true" outlineLevel="0" collapsed="false">
      <c r="A10" s="3" t="s">
        <v>29</v>
      </c>
      <c r="B10" s="3" t="n">
        <v>3</v>
      </c>
      <c r="C10" s="3" t="s">
        <v>50</v>
      </c>
      <c r="D10" s="3" t="s">
        <v>31</v>
      </c>
      <c r="E10" s="3" t="n">
        <v>1</v>
      </c>
      <c r="F10" s="3" t="s">
        <v>32</v>
      </c>
      <c r="G10" s="3" t="s">
        <v>33</v>
      </c>
      <c r="H10" s="3" t="s">
        <v>34</v>
      </c>
      <c r="I10" s="4" t="n">
        <v>0.72</v>
      </c>
      <c r="J10" s="4" t="n">
        <v>0.1</v>
      </c>
      <c r="K10" s="4" t="n">
        <v>2</v>
      </c>
      <c r="L10" s="4" t="n">
        <f aca="false">I10*J10</f>
        <v>0.072</v>
      </c>
      <c r="M10" s="4" t="n">
        <f aca="false">MIN(1,I10*J10*K10)</f>
        <v>0.144</v>
      </c>
      <c r="N10" s="4" t="n">
        <f aca="false">M10</f>
        <v>0.144</v>
      </c>
      <c r="O10" s="4" t="n">
        <f aca="false">'Settings '!$B$8</f>
        <v>0.1</v>
      </c>
      <c r="P10" s="4" t="n">
        <f aca="false">MIN(1,I10*O10*K10)</f>
        <v>0.144</v>
      </c>
      <c r="Q10" s="4" t="n">
        <f aca="false">P10</f>
        <v>0.144</v>
      </c>
      <c r="R10" s="4" t="n">
        <f aca="false">'Settings '!$B$9</f>
        <v>0.9</v>
      </c>
      <c r="S10" s="4" t="n">
        <f aca="false">MIN(1,I10*R10*K10)</f>
        <v>1</v>
      </c>
      <c r="T10" s="4" t="n">
        <f aca="false">S10</f>
        <v>1</v>
      </c>
      <c r="U10" s="4" t="str">
        <f aca="false">IF(E10=4,N10,"")</f>
        <v/>
      </c>
      <c r="V10" s="4" t="str">
        <f aca="false">IF(E10=4,Q10,"")</f>
        <v/>
      </c>
      <c r="W10" s="4" t="str">
        <f aca="false">IF(E10=4,T10,"")</f>
        <v/>
      </c>
      <c r="X10" s="4" t="str">
        <f aca="false">IF(E10=4,IFERROR((LN(U10)-LN(V10))/(LN(W10)-LN(V10)),0),"")</f>
        <v/>
      </c>
      <c r="Y10" s="3" t="str">
        <f aca="false">IF(E10=4,IF(X10&gt;='Settings '!$B$7,"Risk A",IF(X10&gt;='Settings '!$B$6,"Risk B","Risk C")),"")</f>
        <v/>
      </c>
      <c r="Z10" s="3" t="n">
        <f aca="false">IF(Y10="Risk B",1,0)</f>
        <v>0</v>
      </c>
      <c r="AA10" s="3" t="n">
        <f aca="false">IF(J10&gt;='Settings '!$B$10,1,0)</f>
        <v>0</v>
      </c>
      <c r="AB10" s="3" t="n">
        <f aca="false">IF(M10&gt;='Settings '!$B$11,1,0)</f>
        <v>0</v>
      </c>
      <c r="AC10" s="4" t="n">
        <f aca="false">ABS(M10-MIN(1,I10*J10*K10))</f>
        <v>0</v>
      </c>
    </row>
    <row r="11" customFormat="false" ht="14.25" hidden="false" customHeight="true" outlineLevel="0" collapsed="false">
      <c r="A11" s="3" t="s">
        <v>29</v>
      </c>
      <c r="B11" s="3" t="n">
        <v>3</v>
      </c>
      <c r="C11" s="3" t="s">
        <v>50</v>
      </c>
      <c r="D11" s="3" t="s">
        <v>35</v>
      </c>
      <c r="E11" s="3" t="n">
        <v>2</v>
      </c>
      <c r="F11" s="3" t="s">
        <v>36</v>
      </c>
      <c r="G11" s="3" t="s">
        <v>37</v>
      </c>
      <c r="H11" s="3" t="s">
        <v>38</v>
      </c>
      <c r="I11" s="4" t="n">
        <v>0.36</v>
      </c>
      <c r="J11" s="4" t="n">
        <v>0.1</v>
      </c>
      <c r="K11" s="4" t="n">
        <v>1.5</v>
      </c>
      <c r="L11" s="4" t="n">
        <f aca="false">I11*J11</f>
        <v>0.036</v>
      </c>
      <c r="M11" s="4" t="n">
        <f aca="false">MIN(1,I11*J11*K11)</f>
        <v>0.054</v>
      </c>
      <c r="N11" s="4" t="n">
        <f aca="false">N10*M11</f>
        <v>0.007776</v>
      </c>
      <c r="O11" s="4" t="n">
        <f aca="false">'Settings '!$B$8</f>
        <v>0.1</v>
      </c>
      <c r="P11" s="4" t="n">
        <f aca="false">MIN(1,I11*O11*K11)</f>
        <v>0.054</v>
      </c>
      <c r="Q11" s="4" t="n">
        <f aca="false">Q10*P11</f>
        <v>0.007776</v>
      </c>
      <c r="R11" s="4" t="n">
        <f aca="false">'Settings '!$B$9</f>
        <v>0.9</v>
      </c>
      <c r="S11" s="4" t="n">
        <f aca="false">MIN(1,I11*R11*K11)</f>
        <v>0.486</v>
      </c>
      <c r="T11" s="4" t="n">
        <f aca="false">T10*S11</f>
        <v>0.486</v>
      </c>
      <c r="U11" s="4" t="str">
        <f aca="false">IF(E11=4,N11,"")</f>
        <v/>
      </c>
      <c r="V11" s="4" t="str">
        <f aca="false">IF(E11=4,Q11,"")</f>
        <v/>
      </c>
      <c r="W11" s="4" t="str">
        <f aca="false">IF(E11=4,T11,"")</f>
        <v/>
      </c>
      <c r="X11" s="4" t="str">
        <f aca="false">IF(E11=4,IFERROR((LN(U11)-LN(V11))/(LN(W11)-LN(V11)),0),"")</f>
        <v/>
      </c>
      <c r="Y11" s="3" t="str">
        <f aca="false">IF(E11=4,IF(X11&gt;='Settings '!$B$7,"Risk A",IF(X11&gt;='Settings '!$B$6,"Risk B","Risk C")),"")</f>
        <v/>
      </c>
      <c r="Z11" s="3" t="n">
        <f aca="false">IF(Y11="Risk B",1,0)</f>
        <v>0</v>
      </c>
      <c r="AA11" s="3" t="n">
        <f aca="false">IF(J11&gt;='Settings '!$B$10,1,0)</f>
        <v>0</v>
      </c>
      <c r="AB11" s="3" t="n">
        <f aca="false">IF(M11&gt;='Settings '!$B$11,1,0)</f>
        <v>0</v>
      </c>
      <c r="AC11" s="4" t="n">
        <f aca="false">ABS(M11-MIN(1,I11*J11*K11))</f>
        <v>0</v>
      </c>
    </row>
    <row r="12" customFormat="false" ht="14.25" hidden="false" customHeight="true" outlineLevel="0" collapsed="false">
      <c r="A12" s="3" t="s">
        <v>29</v>
      </c>
      <c r="B12" s="3" t="n">
        <v>3</v>
      </c>
      <c r="C12" s="3" t="s">
        <v>50</v>
      </c>
      <c r="D12" s="3" t="s">
        <v>39</v>
      </c>
      <c r="E12" s="3" t="n">
        <v>3</v>
      </c>
      <c r="F12" s="3" t="s">
        <v>40</v>
      </c>
      <c r="G12" s="3" t="s">
        <v>41</v>
      </c>
      <c r="H12" s="3" t="s">
        <v>42</v>
      </c>
      <c r="I12" s="4" t="n">
        <v>0.36</v>
      </c>
      <c r="J12" s="4" t="n">
        <v>0.1</v>
      </c>
      <c r="K12" s="4" t="n">
        <v>2</v>
      </c>
      <c r="L12" s="4" t="n">
        <f aca="false">I12*J12</f>
        <v>0.036</v>
      </c>
      <c r="M12" s="4" t="n">
        <f aca="false">MIN(1,I12*J12*K12)</f>
        <v>0.072</v>
      </c>
      <c r="N12" s="4" t="n">
        <f aca="false">N11*M12</f>
        <v>0.000559872</v>
      </c>
      <c r="O12" s="4" t="n">
        <f aca="false">'Settings '!$B$8</f>
        <v>0.1</v>
      </c>
      <c r="P12" s="4" t="n">
        <f aca="false">MIN(1,I12*O12*K12)</f>
        <v>0.072</v>
      </c>
      <c r="Q12" s="4" t="n">
        <f aca="false">Q11*P12</f>
        <v>0.000559872</v>
      </c>
      <c r="R12" s="4" t="n">
        <f aca="false">'Settings '!$B$9</f>
        <v>0.9</v>
      </c>
      <c r="S12" s="4" t="n">
        <f aca="false">MIN(1,I12*R12*K12)</f>
        <v>0.648</v>
      </c>
      <c r="T12" s="4" t="n">
        <f aca="false">T11*S12</f>
        <v>0.314928</v>
      </c>
      <c r="U12" s="4" t="str">
        <f aca="false">IF(E12=4,N12,"")</f>
        <v/>
      </c>
      <c r="V12" s="4" t="str">
        <f aca="false">IF(E12=4,Q12,"")</f>
        <v/>
      </c>
      <c r="W12" s="4" t="str">
        <f aca="false">IF(E12=4,T12,"")</f>
        <v/>
      </c>
      <c r="X12" s="4" t="str">
        <f aca="false">IF(E12=4,IFERROR((LN(U12)-LN(V12))/(LN(W12)-LN(V12)),0),"")</f>
        <v/>
      </c>
      <c r="Y12" s="3" t="str">
        <f aca="false">IF(E12=4,IF(X12&gt;='Settings '!$B$7,"Risk A",IF(X12&gt;='Settings '!$B$6,"Risk B","Risk C")),"")</f>
        <v/>
      </c>
      <c r="Z12" s="3" t="n">
        <f aca="false">IF(Y12="Risk B",1,0)</f>
        <v>0</v>
      </c>
      <c r="AA12" s="3" t="n">
        <f aca="false">IF(J12&gt;='Settings '!$B$10,1,0)</f>
        <v>0</v>
      </c>
      <c r="AB12" s="3" t="n">
        <f aca="false">IF(M12&gt;='Settings '!$B$11,1,0)</f>
        <v>0</v>
      </c>
      <c r="AC12" s="4" t="n">
        <f aca="false">ABS(M12-MIN(1,I12*J12*K12))</f>
        <v>0</v>
      </c>
    </row>
    <row r="13" customFormat="false" ht="14.25" hidden="false" customHeight="true" outlineLevel="0" collapsed="false">
      <c r="A13" s="3" t="s">
        <v>29</v>
      </c>
      <c r="B13" s="3" t="n">
        <v>3</v>
      </c>
      <c r="C13" s="3" t="s">
        <v>50</v>
      </c>
      <c r="D13" s="3" t="s">
        <v>43</v>
      </c>
      <c r="E13" s="3" t="n">
        <v>4</v>
      </c>
      <c r="F13" s="3" t="s">
        <v>51</v>
      </c>
      <c r="G13" s="3" t="s">
        <v>52</v>
      </c>
      <c r="H13" s="3" t="s">
        <v>46</v>
      </c>
      <c r="I13" s="4" t="n">
        <v>0.18</v>
      </c>
      <c r="J13" s="4" t="n">
        <v>0.28</v>
      </c>
      <c r="K13" s="4" t="n">
        <v>2</v>
      </c>
      <c r="L13" s="4" t="n">
        <f aca="false">I13*J13</f>
        <v>0.0504</v>
      </c>
      <c r="M13" s="4" t="n">
        <f aca="false">MIN(1,I13*J13*K13)</f>
        <v>0.1008</v>
      </c>
      <c r="N13" s="4" t="n">
        <f aca="false">N12*M13</f>
        <v>5.64350976E-005</v>
      </c>
      <c r="O13" s="4" t="n">
        <f aca="false">'Settings '!$B$8</f>
        <v>0.1</v>
      </c>
      <c r="P13" s="4" t="n">
        <f aca="false">MIN(1,I13*O13*K13)</f>
        <v>0.036</v>
      </c>
      <c r="Q13" s="4" t="n">
        <f aca="false">Q12*P13</f>
        <v>2.0155392E-005</v>
      </c>
      <c r="R13" s="4" t="n">
        <f aca="false">'Settings '!$B$9</f>
        <v>0.9</v>
      </c>
      <c r="S13" s="4" t="n">
        <f aca="false">MIN(1,I13*R13*K13)</f>
        <v>0.324</v>
      </c>
      <c r="T13" s="4" t="n">
        <f aca="false">T12*S13</f>
        <v>0.102036672</v>
      </c>
      <c r="U13" s="4" t="n">
        <f aca="false">IF(E13=4,N13,"")</f>
        <v>5.64350976E-005</v>
      </c>
      <c r="V13" s="4" t="n">
        <f aca="false">IF(E13=4,Q13,"")</f>
        <v>2.0155392E-005</v>
      </c>
      <c r="W13" s="4" t="n">
        <f aca="false">IF(E13=4,T13,"")</f>
        <v>0.102036672</v>
      </c>
      <c r="X13" s="4" t="n">
        <f aca="false">IF(E13=4,IFERROR((LN(U13)-LN(V13))/(LN(W13)-LN(V13)),0),"")</f>
        <v>0.120711114312368</v>
      </c>
      <c r="Y13" s="3" t="str">
        <f aca="false">IF(E13=4,IF(X13&gt;='Settings '!$B$7,"Risk A",IF(X13&gt;='Settings '!$B$6,"Risk B","Risk C")),"")</f>
        <v>Risk C</v>
      </c>
      <c r="Z13" s="3" t="n">
        <f aca="false">IF(Y13="Risk B",1,0)</f>
        <v>0</v>
      </c>
      <c r="AA13" s="3" t="n">
        <f aca="false">IF(J13&gt;='Settings '!$B$10,1,0)</f>
        <v>1</v>
      </c>
      <c r="AB13" s="3" t="n">
        <f aca="false">IF(M13&gt;='Settings '!$B$11,1,0)</f>
        <v>0</v>
      </c>
      <c r="AC13" s="4" t="n">
        <f aca="false">ABS(M13-MIN(1,I13*J13*K13))</f>
        <v>0</v>
      </c>
    </row>
    <row r="14" customFormat="false" ht="25.5" hidden="false" customHeight="true" outlineLevel="0" collapsed="false">
      <c r="A14" s="3" t="s">
        <v>29</v>
      </c>
      <c r="B14" s="3" t="n">
        <v>4</v>
      </c>
      <c r="C14" s="3" t="s">
        <v>53</v>
      </c>
      <c r="D14" s="3" t="s">
        <v>31</v>
      </c>
      <c r="E14" s="3" t="n">
        <v>1</v>
      </c>
      <c r="F14" s="3" t="s">
        <v>32</v>
      </c>
      <c r="G14" s="3" t="s">
        <v>33</v>
      </c>
      <c r="H14" s="3" t="s">
        <v>34</v>
      </c>
      <c r="I14" s="4" t="n">
        <v>0.72</v>
      </c>
      <c r="J14" s="4" t="n">
        <v>0.1</v>
      </c>
      <c r="K14" s="4" t="n">
        <v>2</v>
      </c>
      <c r="L14" s="4" t="n">
        <f aca="false">I14*J14</f>
        <v>0.072</v>
      </c>
      <c r="M14" s="4" t="n">
        <f aca="false">MIN(1,I14*J14*K14)</f>
        <v>0.144</v>
      </c>
      <c r="N14" s="4" t="n">
        <f aca="false">M14</f>
        <v>0.144</v>
      </c>
      <c r="O14" s="4" t="n">
        <f aca="false">'Settings '!$B$8</f>
        <v>0.1</v>
      </c>
      <c r="P14" s="4" t="n">
        <f aca="false">MIN(1,I14*O14*K14)</f>
        <v>0.144</v>
      </c>
      <c r="Q14" s="4" t="n">
        <f aca="false">P14</f>
        <v>0.144</v>
      </c>
      <c r="R14" s="4" t="n">
        <f aca="false">'Settings '!$B$9</f>
        <v>0.9</v>
      </c>
      <c r="S14" s="4" t="n">
        <f aca="false">MIN(1,I14*R14*K14)</f>
        <v>1</v>
      </c>
      <c r="T14" s="4" t="n">
        <f aca="false">S14</f>
        <v>1</v>
      </c>
      <c r="U14" s="4" t="str">
        <f aca="false">IF(E14=4,N14,"")</f>
        <v/>
      </c>
      <c r="V14" s="4" t="str">
        <f aca="false">IF(E14=4,Q14,"")</f>
        <v/>
      </c>
      <c r="W14" s="4" t="str">
        <f aca="false">IF(E14=4,T14,"")</f>
        <v/>
      </c>
      <c r="X14" s="4" t="str">
        <f aca="false">IF(E14=4,IFERROR((LN(U14)-LN(V14))/(LN(W14)-LN(V14)),0),"")</f>
        <v/>
      </c>
      <c r="Y14" s="3" t="str">
        <f aca="false">IF(E14=4,IF(X14&gt;='Settings '!$B$7,"Risk A",IF(X14&gt;='Settings '!$B$6,"Risk B","Risk C")),"")</f>
        <v/>
      </c>
      <c r="Z14" s="3" t="n">
        <f aca="false">IF(Y14="Risk B",1,0)</f>
        <v>0</v>
      </c>
      <c r="AA14" s="3" t="n">
        <f aca="false">IF(J14&gt;='Settings '!$B$10,1,0)</f>
        <v>0</v>
      </c>
      <c r="AB14" s="3" t="n">
        <f aca="false">IF(M14&gt;='Settings '!$B$11,1,0)</f>
        <v>0</v>
      </c>
      <c r="AC14" s="4" t="n">
        <f aca="false">ABS(M14-MIN(1,I14*J14*K14))</f>
        <v>0</v>
      </c>
    </row>
    <row r="15" customFormat="false" ht="14.25" hidden="false" customHeight="true" outlineLevel="0" collapsed="false">
      <c r="A15" s="3" t="s">
        <v>29</v>
      </c>
      <c r="B15" s="3" t="n">
        <v>4</v>
      </c>
      <c r="C15" s="3" t="s">
        <v>53</v>
      </c>
      <c r="D15" s="3" t="s">
        <v>35</v>
      </c>
      <c r="E15" s="3" t="n">
        <v>2</v>
      </c>
      <c r="F15" s="3" t="s">
        <v>36</v>
      </c>
      <c r="G15" s="3" t="s">
        <v>37</v>
      </c>
      <c r="H15" s="3" t="s">
        <v>38</v>
      </c>
      <c r="I15" s="4" t="n">
        <v>0.36</v>
      </c>
      <c r="J15" s="4" t="n">
        <v>0.1</v>
      </c>
      <c r="K15" s="4" t="n">
        <v>1.5</v>
      </c>
      <c r="L15" s="4" t="n">
        <f aca="false">I15*J15</f>
        <v>0.036</v>
      </c>
      <c r="M15" s="4" t="n">
        <f aca="false">MIN(1,I15*J15*K15)</f>
        <v>0.054</v>
      </c>
      <c r="N15" s="4" t="n">
        <f aca="false">N14*M15</f>
        <v>0.007776</v>
      </c>
      <c r="O15" s="4" t="n">
        <f aca="false">'Settings '!$B$8</f>
        <v>0.1</v>
      </c>
      <c r="P15" s="4" t="n">
        <f aca="false">MIN(1,I15*O15*K15)</f>
        <v>0.054</v>
      </c>
      <c r="Q15" s="4" t="n">
        <f aca="false">Q14*P15</f>
        <v>0.007776</v>
      </c>
      <c r="R15" s="4" t="n">
        <f aca="false">'Settings '!$B$9</f>
        <v>0.9</v>
      </c>
      <c r="S15" s="4" t="n">
        <f aca="false">MIN(1,I15*R15*K15)</f>
        <v>0.486</v>
      </c>
      <c r="T15" s="4" t="n">
        <f aca="false">T14*S15</f>
        <v>0.486</v>
      </c>
      <c r="U15" s="4" t="str">
        <f aca="false">IF(E15=4,N15,"")</f>
        <v/>
      </c>
      <c r="V15" s="4" t="str">
        <f aca="false">IF(E15=4,Q15,"")</f>
        <v/>
      </c>
      <c r="W15" s="4" t="str">
        <f aca="false">IF(E15=4,T15,"")</f>
        <v/>
      </c>
      <c r="X15" s="4" t="str">
        <f aca="false">IF(E15=4,IFERROR((LN(U15)-LN(V15))/(LN(W15)-LN(V15)),0),"")</f>
        <v/>
      </c>
      <c r="Y15" s="3" t="str">
        <f aca="false">IF(E15=4,IF(X15&gt;='Settings '!$B$7,"Risk A",IF(X15&gt;='Settings '!$B$6,"Risk B","Risk C")),"")</f>
        <v/>
      </c>
      <c r="Z15" s="3" t="n">
        <f aca="false">IF(Y15="Risk B",1,0)</f>
        <v>0</v>
      </c>
      <c r="AA15" s="3" t="n">
        <f aca="false">IF(J15&gt;='Settings '!$B$10,1,0)</f>
        <v>0</v>
      </c>
      <c r="AB15" s="3" t="n">
        <f aca="false">IF(M15&gt;='Settings '!$B$11,1,0)</f>
        <v>0</v>
      </c>
      <c r="AC15" s="4" t="n">
        <f aca="false">ABS(M15-MIN(1,I15*J15*K15))</f>
        <v>0</v>
      </c>
    </row>
    <row r="16" customFormat="false" ht="14.25" hidden="false" customHeight="true" outlineLevel="0" collapsed="false">
      <c r="A16" s="3" t="s">
        <v>29</v>
      </c>
      <c r="B16" s="3" t="n">
        <v>4</v>
      </c>
      <c r="C16" s="3" t="s">
        <v>53</v>
      </c>
      <c r="D16" s="3" t="s">
        <v>39</v>
      </c>
      <c r="E16" s="3" t="n">
        <v>3</v>
      </c>
      <c r="F16" s="3" t="s">
        <v>40</v>
      </c>
      <c r="G16" s="3" t="s">
        <v>41</v>
      </c>
      <c r="H16" s="3" t="s">
        <v>42</v>
      </c>
      <c r="I16" s="4" t="n">
        <v>0.36</v>
      </c>
      <c r="J16" s="4" t="n">
        <v>0.1</v>
      </c>
      <c r="K16" s="4" t="n">
        <v>2</v>
      </c>
      <c r="L16" s="4" t="n">
        <f aca="false">I16*J16</f>
        <v>0.036</v>
      </c>
      <c r="M16" s="4" t="n">
        <f aca="false">MIN(1,I16*J16*K16)</f>
        <v>0.072</v>
      </c>
      <c r="N16" s="4" t="n">
        <f aca="false">N15*M16</f>
        <v>0.000559872</v>
      </c>
      <c r="O16" s="4" t="n">
        <f aca="false">'Settings '!$B$8</f>
        <v>0.1</v>
      </c>
      <c r="P16" s="4" t="n">
        <f aca="false">MIN(1,I16*O16*K16)</f>
        <v>0.072</v>
      </c>
      <c r="Q16" s="4" t="n">
        <f aca="false">Q15*P16</f>
        <v>0.000559872</v>
      </c>
      <c r="R16" s="4" t="n">
        <f aca="false">'Settings '!$B$9</f>
        <v>0.9</v>
      </c>
      <c r="S16" s="4" t="n">
        <f aca="false">MIN(1,I16*R16*K16)</f>
        <v>0.648</v>
      </c>
      <c r="T16" s="4" t="n">
        <f aca="false">T15*S16</f>
        <v>0.314928</v>
      </c>
      <c r="U16" s="4" t="str">
        <f aca="false">IF(E16=4,N16,"")</f>
        <v/>
      </c>
      <c r="V16" s="4" t="str">
        <f aca="false">IF(E16=4,Q16,"")</f>
        <v/>
      </c>
      <c r="W16" s="4" t="str">
        <f aca="false">IF(E16=4,T16,"")</f>
        <v/>
      </c>
      <c r="X16" s="4" t="str">
        <f aca="false">IF(E16=4,IFERROR((LN(U16)-LN(V16))/(LN(W16)-LN(V16)),0),"")</f>
        <v/>
      </c>
      <c r="Y16" s="3" t="str">
        <f aca="false">IF(E16=4,IF(X16&gt;='Settings '!$B$7,"Risk A",IF(X16&gt;='Settings '!$B$6,"Risk B","Risk C")),"")</f>
        <v/>
      </c>
      <c r="Z16" s="3" t="n">
        <f aca="false">IF(Y16="Risk B",1,0)</f>
        <v>0</v>
      </c>
      <c r="AA16" s="3" t="n">
        <f aca="false">IF(J16&gt;='Settings '!$B$10,1,0)</f>
        <v>0</v>
      </c>
      <c r="AB16" s="3" t="n">
        <f aca="false">IF(M16&gt;='Settings '!$B$11,1,0)</f>
        <v>0</v>
      </c>
      <c r="AC16" s="4" t="n">
        <f aca="false">ABS(M16-MIN(1,I16*J16*K16))</f>
        <v>0</v>
      </c>
    </row>
    <row r="17" customFormat="false" ht="14.25" hidden="false" customHeight="true" outlineLevel="0" collapsed="false">
      <c r="A17" s="3" t="s">
        <v>29</v>
      </c>
      <c r="B17" s="3" t="n">
        <v>4</v>
      </c>
      <c r="C17" s="3" t="s">
        <v>53</v>
      </c>
      <c r="D17" s="3" t="s">
        <v>43</v>
      </c>
      <c r="E17" s="3" t="n">
        <v>4</v>
      </c>
      <c r="F17" s="3" t="s">
        <v>54</v>
      </c>
      <c r="G17" s="3" t="s">
        <v>55</v>
      </c>
      <c r="H17" s="3" t="s">
        <v>46</v>
      </c>
      <c r="I17" s="4" t="n">
        <v>0.18</v>
      </c>
      <c r="J17" s="4" t="n">
        <v>0.28</v>
      </c>
      <c r="K17" s="4" t="n">
        <v>2</v>
      </c>
      <c r="L17" s="4" t="n">
        <f aca="false">I17*J17</f>
        <v>0.0504</v>
      </c>
      <c r="M17" s="4" t="n">
        <f aca="false">MIN(1,I17*J17*K17)</f>
        <v>0.1008</v>
      </c>
      <c r="N17" s="4" t="n">
        <f aca="false">N16*M17</f>
        <v>5.64350976E-005</v>
      </c>
      <c r="O17" s="4" t="n">
        <f aca="false">'Settings '!$B$8</f>
        <v>0.1</v>
      </c>
      <c r="P17" s="4" t="n">
        <f aca="false">MIN(1,I17*O17*K17)</f>
        <v>0.036</v>
      </c>
      <c r="Q17" s="4" t="n">
        <f aca="false">Q16*P17</f>
        <v>2.0155392E-005</v>
      </c>
      <c r="R17" s="4" t="n">
        <f aca="false">'Settings '!$B$9</f>
        <v>0.9</v>
      </c>
      <c r="S17" s="4" t="n">
        <f aca="false">MIN(1,I17*R17*K17)</f>
        <v>0.324</v>
      </c>
      <c r="T17" s="4" t="n">
        <f aca="false">T16*S17</f>
        <v>0.102036672</v>
      </c>
      <c r="U17" s="4" t="n">
        <f aca="false">IF(E17=4,N17,"")</f>
        <v>5.64350976E-005</v>
      </c>
      <c r="V17" s="4" t="n">
        <f aca="false">IF(E17=4,Q17,"")</f>
        <v>2.0155392E-005</v>
      </c>
      <c r="W17" s="4" t="n">
        <f aca="false">IF(E17=4,T17,"")</f>
        <v>0.102036672</v>
      </c>
      <c r="X17" s="4" t="n">
        <f aca="false">IF(E17=4,IFERROR((LN(U17)-LN(V17))/(LN(W17)-LN(V17)),0),"")</f>
        <v>0.120711114312368</v>
      </c>
      <c r="Y17" s="3" t="str">
        <f aca="false">IF(E17=4,IF(X17&gt;='Settings '!$B$7,"Risk A",IF(X17&gt;='Settings '!$B$6,"Risk B","Risk C")),"")</f>
        <v>Risk C</v>
      </c>
      <c r="Z17" s="3" t="n">
        <f aca="false">IF(Y17="Risk B",1,0)</f>
        <v>0</v>
      </c>
      <c r="AA17" s="3" t="n">
        <f aca="false">IF(J17&gt;='Settings '!$B$10,1,0)</f>
        <v>1</v>
      </c>
      <c r="AB17" s="3" t="n">
        <f aca="false">IF(M17&gt;='Settings '!$B$11,1,0)</f>
        <v>0</v>
      </c>
      <c r="AC17" s="4" t="n">
        <f aca="false">ABS(M17-MIN(1,I17*J17*K17))</f>
        <v>0</v>
      </c>
    </row>
    <row r="18" customFormat="false" ht="25.5" hidden="false" customHeight="true" outlineLevel="0" collapsed="false">
      <c r="A18" s="3" t="s">
        <v>29</v>
      </c>
      <c r="B18" s="3" t="n">
        <v>5</v>
      </c>
      <c r="C18" s="3" t="s">
        <v>56</v>
      </c>
      <c r="D18" s="3" t="s">
        <v>31</v>
      </c>
      <c r="E18" s="3" t="n">
        <v>1</v>
      </c>
      <c r="F18" s="3" t="s">
        <v>32</v>
      </c>
      <c r="G18" s="3" t="s">
        <v>33</v>
      </c>
      <c r="H18" s="3" t="s">
        <v>34</v>
      </c>
      <c r="I18" s="4" t="n">
        <v>0.72</v>
      </c>
      <c r="J18" s="4" t="n">
        <v>0.1</v>
      </c>
      <c r="K18" s="4" t="n">
        <v>2</v>
      </c>
      <c r="L18" s="4" t="n">
        <f aca="false">I18*J18</f>
        <v>0.072</v>
      </c>
      <c r="M18" s="4" t="n">
        <f aca="false">MIN(1,I18*J18*K18)</f>
        <v>0.144</v>
      </c>
      <c r="N18" s="4" t="n">
        <f aca="false">M18</f>
        <v>0.144</v>
      </c>
      <c r="O18" s="4" t="n">
        <f aca="false">'Settings '!$B$8</f>
        <v>0.1</v>
      </c>
      <c r="P18" s="4" t="n">
        <f aca="false">MIN(1,I18*O18*K18)</f>
        <v>0.144</v>
      </c>
      <c r="Q18" s="4" t="n">
        <f aca="false">P18</f>
        <v>0.144</v>
      </c>
      <c r="R18" s="4" t="n">
        <f aca="false">'Settings '!$B$9</f>
        <v>0.9</v>
      </c>
      <c r="S18" s="4" t="n">
        <f aca="false">MIN(1,I18*R18*K18)</f>
        <v>1</v>
      </c>
      <c r="T18" s="4" t="n">
        <f aca="false">S18</f>
        <v>1</v>
      </c>
      <c r="U18" s="4" t="str">
        <f aca="false">IF(E18=4,N18,"")</f>
        <v/>
      </c>
      <c r="V18" s="4" t="str">
        <f aca="false">IF(E18=4,Q18,"")</f>
        <v/>
      </c>
      <c r="W18" s="4" t="str">
        <f aca="false">IF(E18=4,T18,"")</f>
        <v/>
      </c>
      <c r="X18" s="4" t="str">
        <f aca="false">IF(E18=4,IFERROR((LN(U18)-LN(V18))/(LN(W18)-LN(V18)),0),"")</f>
        <v/>
      </c>
      <c r="Y18" s="3" t="str">
        <f aca="false">IF(E18=4,IF(X18&gt;='Settings '!$B$7,"Risk A",IF(X18&gt;='Settings '!$B$6,"Risk B","Risk C")),"")</f>
        <v/>
      </c>
      <c r="Z18" s="3" t="n">
        <f aca="false">IF(Y18="Risk B",1,0)</f>
        <v>0</v>
      </c>
      <c r="AA18" s="3" t="n">
        <f aca="false">IF(J18&gt;='Settings '!$B$10,1,0)</f>
        <v>0</v>
      </c>
      <c r="AB18" s="3" t="n">
        <f aca="false">IF(M18&gt;='Settings '!$B$11,1,0)</f>
        <v>0</v>
      </c>
      <c r="AC18" s="4" t="n">
        <f aca="false">ABS(M18-MIN(1,I18*J18*K18))</f>
        <v>0</v>
      </c>
    </row>
    <row r="19" customFormat="false" ht="14.25" hidden="false" customHeight="true" outlineLevel="0" collapsed="false">
      <c r="A19" s="3" t="s">
        <v>29</v>
      </c>
      <c r="B19" s="3" t="n">
        <v>5</v>
      </c>
      <c r="C19" s="3" t="s">
        <v>56</v>
      </c>
      <c r="D19" s="3" t="s">
        <v>35</v>
      </c>
      <c r="E19" s="3" t="n">
        <v>2</v>
      </c>
      <c r="F19" s="3" t="s">
        <v>36</v>
      </c>
      <c r="G19" s="3" t="s">
        <v>37</v>
      </c>
      <c r="H19" s="3" t="s">
        <v>38</v>
      </c>
      <c r="I19" s="4" t="n">
        <v>0.36</v>
      </c>
      <c r="J19" s="4" t="n">
        <v>0.1</v>
      </c>
      <c r="K19" s="4" t="n">
        <v>1.5</v>
      </c>
      <c r="L19" s="4" t="n">
        <f aca="false">I19*J19</f>
        <v>0.036</v>
      </c>
      <c r="M19" s="4" t="n">
        <f aca="false">MIN(1,I19*J19*K19)</f>
        <v>0.054</v>
      </c>
      <c r="N19" s="4" t="n">
        <f aca="false">N18*M19</f>
        <v>0.007776</v>
      </c>
      <c r="O19" s="4" t="n">
        <f aca="false">'Settings '!$B$8</f>
        <v>0.1</v>
      </c>
      <c r="P19" s="4" t="n">
        <f aca="false">MIN(1,I19*O19*K19)</f>
        <v>0.054</v>
      </c>
      <c r="Q19" s="4" t="n">
        <f aca="false">Q18*P19</f>
        <v>0.007776</v>
      </c>
      <c r="R19" s="4" t="n">
        <f aca="false">'Settings '!$B$9</f>
        <v>0.9</v>
      </c>
      <c r="S19" s="4" t="n">
        <f aca="false">MIN(1,I19*R19*K19)</f>
        <v>0.486</v>
      </c>
      <c r="T19" s="4" t="n">
        <f aca="false">T18*S19</f>
        <v>0.486</v>
      </c>
      <c r="U19" s="4" t="str">
        <f aca="false">IF(E19=4,N19,"")</f>
        <v/>
      </c>
      <c r="V19" s="4" t="str">
        <f aca="false">IF(E19=4,Q19,"")</f>
        <v/>
      </c>
      <c r="W19" s="4" t="str">
        <f aca="false">IF(E19=4,T19,"")</f>
        <v/>
      </c>
      <c r="X19" s="4" t="str">
        <f aca="false">IF(E19=4,IFERROR((LN(U19)-LN(V19))/(LN(W19)-LN(V19)),0),"")</f>
        <v/>
      </c>
      <c r="Y19" s="3" t="str">
        <f aca="false">IF(E19=4,IF(X19&gt;='Settings '!$B$7,"Risk A",IF(X19&gt;='Settings '!$B$6,"Risk B","Risk C")),"")</f>
        <v/>
      </c>
      <c r="Z19" s="3" t="n">
        <f aca="false">IF(Y19="Risk B",1,0)</f>
        <v>0</v>
      </c>
      <c r="AA19" s="3" t="n">
        <f aca="false">IF(J19&gt;='Settings '!$B$10,1,0)</f>
        <v>0</v>
      </c>
      <c r="AB19" s="3" t="n">
        <f aca="false">IF(M19&gt;='Settings '!$B$11,1,0)</f>
        <v>0</v>
      </c>
      <c r="AC19" s="4" t="n">
        <f aca="false">ABS(M19-MIN(1,I19*J19*K19))</f>
        <v>0</v>
      </c>
    </row>
    <row r="20" customFormat="false" ht="14.25" hidden="false" customHeight="true" outlineLevel="0" collapsed="false">
      <c r="A20" s="3" t="s">
        <v>29</v>
      </c>
      <c r="B20" s="3" t="n">
        <v>5</v>
      </c>
      <c r="C20" s="3" t="s">
        <v>56</v>
      </c>
      <c r="D20" s="3" t="s">
        <v>39</v>
      </c>
      <c r="E20" s="3" t="n">
        <v>3</v>
      </c>
      <c r="F20" s="3" t="s">
        <v>57</v>
      </c>
      <c r="G20" s="3" t="s">
        <v>58</v>
      </c>
      <c r="H20" s="3" t="s">
        <v>42</v>
      </c>
      <c r="I20" s="4" t="n">
        <v>0.36</v>
      </c>
      <c r="J20" s="4" t="n">
        <v>0.1</v>
      </c>
      <c r="K20" s="4" t="n">
        <v>2</v>
      </c>
      <c r="L20" s="4" t="n">
        <f aca="false">I20*J20</f>
        <v>0.036</v>
      </c>
      <c r="M20" s="4" t="n">
        <f aca="false">MIN(1,I20*J20*K20)</f>
        <v>0.072</v>
      </c>
      <c r="N20" s="4" t="n">
        <f aca="false">N19*M20</f>
        <v>0.000559872</v>
      </c>
      <c r="O20" s="4" t="n">
        <f aca="false">'Settings '!$B$8</f>
        <v>0.1</v>
      </c>
      <c r="P20" s="4" t="n">
        <f aca="false">MIN(1,I20*O20*K20)</f>
        <v>0.072</v>
      </c>
      <c r="Q20" s="4" t="n">
        <f aca="false">Q19*P20</f>
        <v>0.000559872</v>
      </c>
      <c r="R20" s="4" t="n">
        <f aca="false">'Settings '!$B$9</f>
        <v>0.9</v>
      </c>
      <c r="S20" s="4" t="n">
        <f aca="false">MIN(1,I20*R20*K20)</f>
        <v>0.648</v>
      </c>
      <c r="T20" s="4" t="n">
        <f aca="false">T19*S20</f>
        <v>0.314928</v>
      </c>
      <c r="U20" s="4" t="str">
        <f aca="false">IF(E20=4,N20,"")</f>
        <v/>
      </c>
      <c r="V20" s="4" t="str">
        <f aca="false">IF(E20=4,Q20,"")</f>
        <v/>
      </c>
      <c r="W20" s="4" t="str">
        <f aca="false">IF(E20=4,T20,"")</f>
        <v/>
      </c>
      <c r="X20" s="4" t="str">
        <f aca="false">IF(E20=4,IFERROR((LN(U20)-LN(V20))/(LN(W20)-LN(V20)),0),"")</f>
        <v/>
      </c>
      <c r="Y20" s="3" t="str">
        <f aca="false">IF(E20=4,IF(X20&gt;='Settings '!$B$7,"Risk A",IF(X20&gt;='Settings '!$B$6,"Risk B","Risk C")),"")</f>
        <v/>
      </c>
      <c r="Z20" s="3" t="n">
        <f aca="false">IF(Y20="Risk B",1,0)</f>
        <v>0</v>
      </c>
      <c r="AA20" s="3" t="n">
        <f aca="false">IF(J20&gt;='Settings '!$B$10,1,0)</f>
        <v>0</v>
      </c>
      <c r="AB20" s="3" t="n">
        <f aca="false">IF(M20&gt;='Settings '!$B$11,1,0)</f>
        <v>0</v>
      </c>
      <c r="AC20" s="4" t="n">
        <f aca="false">ABS(M20-MIN(1,I20*J20*K20))</f>
        <v>0</v>
      </c>
    </row>
    <row r="21" customFormat="false" ht="14.25" hidden="false" customHeight="true" outlineLevel="0" collapsed="false">
      <c r="A21" s="3" t="s">
        <v>29</v>
      </c>
      <c r="B21" s="3" t="n">
        <v>5</v>
      </c>
      <c r="C21" s="3" t="s">
        <v>56</v>
      </c>
      <c r="D21" s="3" t="s">
        <v>43</v>
      </c>
      <c r="E21" s="3" t="n">
        <v>4</v>
      </c>
      <c r="F21" s="3" t="s">
        <v>44</v>
      </c>
      <c r="G21" s="3" t="s">
        <v>45</v>
      </c>
      <c r="H21" s="3" t="s">
        <v>46</v>
      </c>
      <c r="I21" s="4" t="n">
        <v>0.9</v>
      </c>
      <c r="J21" s="4" t="n">
        <v>0.1</v>
      </c>
      <c r="K21" s="4" t="n">
        <v>2</v>
      </c>
      <c r="L21" s="4" t="n">
        <f aca="false">I21*J21</f>
        <v>0.09</v>
      </c>
      <c r="M21" s="4" t="n">
        <f aca="false">MIN(1,I21*J21*K21)</f>
        <v>0.18</v>
      </c>
      <c r="N21" s="4" t="n">
        <f aca="false">N20*M21</f>
        <v>0.00010077696</v>
      </c>
      <c r="O21" s="4" t="n">
        <f aca="false">'Settings '!$B$8</f>
        <v>0.1</v>
      </c>
      <c r="P21" s="4" t="n">
        <f aca="false">MIN(1,I21*O21*K21)</f>
        <v>0.18</v>
      </c>
      <c r="Q21" s="4" t="n">
        <f aca="false">Q20*P21</f>
        <v>0.00010077696</v>
      </c>
      <c r="R21" s="4" t="n">
        <f aca="false">'Settings '!$B$9</f>
        <v>0.9</v>
      </c>
      <c r="S21" s="4" t="n">
        <f aca="false">MIN(1,I21*R21*K21)</f>
        <v>1</v>
      </c>
      <c r="T21" s="4" t="n">
        <f aca="false">T20*S21</f>
        <v>0.314928</v>
      </c>
      <c r="U21" s="4" t="n">
        <f aca="false">IF(E21=4,N21,"")</f>
        <v>0.00010077696</v>
      </c>
      <c r="V21" s="4" t="n">
        <f aca="false">IF(E21=4,Q21,"")</f>
        <v>0.00010077696</v>
      </c>
      <c r="W21" s="4" t="n">
        <f aca="false">IF(E21=4,T21,"")</f>
        <v>0.314928</v>
      </c>
      <c r="X21" s="4" t="n">
        <f aca="false">IF(E21=4,IFERROR((LN(U21)-LN(V21))/(LN(W21)-LN(V21)),0),"")</f>
        <v>0</v>
      </c>
      <c r="Y21" s="3" t="str">
        <f aca="false">IF(E21=4,IF(X21&gt;='Settings '!$B$7,"Risk A",IF(X21&gt;='Settings '!$B$6,"Risk B","Risk C")),"")</f>
        <v>Risk C</v>
      </c>
      <c r="Z21" s="3" t="n">
        <f aca="false">IF(Y21="Risk B",1,0)</f>
        <v>0</v>
      </c>
      <c r="AA21" s="3" t="n">
        <f aca="false">IF(J21&gt;='Settings '!$B$10,1,0)</f>
        <v>0</v>
      </c>
      <c r="AB21" s="3" t="n">
        <f aca="false">IF(M21&gt;='Settings '!$B$11,1,0)</f>
        <v>0</v>
      </c>
      <c r="AC21" s="4" t="n">
        <f aca="false">ABS(M21-MIN(1,I21*J21*K21))</f>
        <v>0</v>
      </c>
    </row>
    <row r="22" customFormat="false" ht="25.5" hidden="false" customHeight="true" outlineLevel="0" collapsed="false">
      <c r="A22" s="3" t="s">
        <v>29</v>
      </c>
      <c r="B22" s="3" t="n">
        <v>6</v>
      </c>
      <c r="C22" s="3" t="s">
        <v>59</v>
      </c>
      <c r="D22" s="3" t="s">
        <v>31</v>
      </c>
      <c r="E22" s="3" t="n">
        <v>1</v>
      </c>
      <c r="F22" s="3" t="s">
        <v>32</v>
      </c>
      <c r="G22" s="3" t="s">
        <v>33</v>
      </c>
      <c r="H22" s="3" t="s">
        <v>34</v>
      </c>
      <c r="I22" s="4" t="n">
        <v>0.72</v>
      </c>
      <c r="J22" s="4" t="n">
        <v>0.1</v>
      </c>
      <c r="K22" s="4" t="n">
        <v>2</v>
      </c>
      <c r="L22" s="4" t="n">
        <f aca="false">I22*J22</f>
        <v>0.072</v>
      </c>
      <c r="M22" s="4" t="n">
        <f aca="false">MIN(1,I22*J22*K22)</f>
        <v>0.144</v>
      </c>
      <c r="N22" s="4" t="n">
        <f aca="false">M22</f>
        <v>0.144</v>
      </c>
      <c r="O22" s="4" t="n">
        <f aca="false">'Settings '!$B$8</f>
        <v>0.1</v>
      </c>
      <c r="P22" s="4" t="n">
        <f aca="false">MIN(1,I22*O22*K22)</f>
        <v>0.144</v>
      </c>
      <c r="Q22" s="4" t="n">
        <f aca="false">P22</f>
        <v>0.144</v>
      </c>
      <c r="R22" s="4" t="n">
        <f aca="false">'Settings '!$B$9</f>
        <v>0.9</v>
      </c>
      <c r="S22" s="4" t="n">
        <f aca="false">MIN(1,I22*R22*K22)</f>
        <v>1</v>
      </c>
      <c r="T22" s="4" t="n">
        <f aca="false">S22</f>
        <v>1</v>
      </c>
      <c r="U22" s="4" t="str">
        <f aca="false">IF(E22=4,N22,"")</f>
        <v/>
      </c>
      <c r="V22" s="4" t="str">
        <f aca="false">IF(E22=4,Q22,"")</f>
        <v/>
      </c>
      <c r="W22" s="4" t="str">
        <f aca="false">IF(E22=4,T22,"")</f>
        <v/>
      </c>
      <c r="X22" s="4" t="str">
        <f aca="false">IF(E22=4,IFERROR((LN(U22)-LN(V22))/(LN(W22)-LN(V22)),0),"")</f>
        <v/>
      </c>
      <c r="Y22" s="3" t="str">
        <f aca="false">IF(E22=4,IF(X22&gt;='Settings '!$B$7,"Risk A",IF(X22&gt;='Settings '!$B$6,"Risk B","Risk C")),"")</f>
        <v/>
      </c>
      <c r="Z22" s="3" t="n">
        <f aca="false">IF(Y22="Risk B",1,0)</f>
        <v>0</v>
      </c>
      <c r="AA22" s="3" t="n">
        <f aca="false">IF(J22&gt;='Settings '!$B$10,1,0)</f>
        <v>0</v>
      </c>
      <c r="AB22" s="3" t="n">
        <f aca="false">IF(M22&gt;='Settings '!$B$11,1,0)</f>
        <v>0</v>
      </c>
      <c r="AC22" s="4" t="n">
        <f aca="false">ABS(M22-MIN(1,I22*J22*K22))</f>
        <v>0</v>
      </c>
    </row>
    <row r="23" customFormat="false" ht="14.25" hidden="false" customHeight="true" outlineLevel="0" collapsed="false">
      <c r="A23" s="3" t="s">
        <v>29</v>
      </c>
      <c r="B23" s="3" t="n">
        <v>6</v>
      </c>
      <c r="C23" s="3" t="s">
        <v>59</v>
      </c>
      <c r="D23" s="3" t="s">
        <v>35</v>
      </c>
      <c r="E23" s="3" t="n">
        <v>2</v>
      </c>
      <c r="F23" s="3" t="s">
        <v>36</v>
      </c>
      <c r="G23" s="3" t="s">
        <v>37</v>
      </c>
      <c r="H23" s="3" t="s">
        <v>38</v>
      </c>
      <c r="I23" s="4" t="n">
        <v>0.36</v>
      </c>
      <c r="J23" s="4" t="n">
        <v>0.1</v>
      </c>
      <c r="K23" s="4" t="n">
        <v>1.5</v>
      </c>
      <c r="L23" s="4" t="n">
        <f aca="false">I23*J23</f>
        <v>0.036</v>
      </c>
      <c r="M23" s="4" t="n">
        <f aca="false">MIN(1,I23*J23*K23)</f>
        <v>0.054</v>
      </c>
      <c r="N23" s="4" t="n">
        <f aca="false">N22*M23</f>
        <v>0.007776</v>
      </c>
      <c r="O23" s="4" t="n">
        <f aca="false">'Settings '!$B$8</f>
        <v>0.1</v>
      </c>
      <c r="P23" s="4" t="n">
        <f aca="false">MIN(1,I23*O23*K23)</f>
        <v>0.054</v>
      </c>
      <c r="Q23" s="4" t="n">
        <f aca="false">Q22*P23</f>
        <v>0.007776</v>
      </c>
      <c r="R23" s="4" t="n">
        <f aca="false">'Settings '!$B$9</f>
        <v>0.9</v>
      </c>
      <c r="S23" s="4" t="n">
        <f aca="false">MIN(1,I23*R23*K23)</f>
        <v>0.486</v>
      </c>
      <c r="T23" s="4" t="n">
        <f aca="false">T22*S23</f>
        <v>0.486</v>
      </c>
      <c r="U23" s="4" t="str">
        <f aca="false">IF(E23=4,N23,"")</f>
        <v/>
      </c>
      <c r="V23" s="4" t="str">
        <f aca="false">IF(E23=4,Q23,"")</f>
        <v/>
      </c>
      <c r="W23" s="4" t="str">
        <f aca="false">IF(E23=4,T23,"")</f>
        <v/>
      </c>
      <c r="X23" s="4" t="str">
        <f aca="false">IF(E23=4,IFERROR((LN(U23)-LN(V23))/(LN(W23)-LN(V23)),0),"")</f>
        <v/>
      </c>
      <c r="Y23" s="3" t="str">
        <f aca="false">IF(E23=4,IF(X23&gt;='Settings '!$B$7,"Risk A",IF(X23&gt;='Settings '!$B$6,"Risk B","Risk C")),"")</f>
        <v/>
      </c>
      <c r="Z23" s="3" t="n">
        <f aca="false">IF(Y23="Risk B",1,0)</f>
        <v>0</v>
      </c>
      <c r="AA23" s="3" t="n">
        <f aca="false">IF(J23&gt;='Settings '!$B$10,1,0)</f>
        <v>0</v>
      </c>
      <c r="AB23" s="3" t="n">
        <f aca="false">IF(M23&gt;='Settings '!$B$11,1,0)</f>
        <v>0</v>
      </c>
      <c r="AC23" s="4" t="n">
        <f aca="false">ABS(M23-MIN(1,I23*J23*K23))</f>
        <v>0</v>
      </c>
    </row>
    <row r="24" customFormat="false" ht="14.25" hidden="false" customHeight="true" outlineLevel="0" collapsed="false">
      <c r="A24" s="3" t="s">
        <v>29</v>
      </c>
      <c r="B24" s="3" t="n">
        <v>6</v>
      </c>
      <c r="C24" s="3" t="s">
        <v>59</v>
      </c>
      <c r="D24" s="3" t="s">
        <v>39</v>
      </c>
      <c r="E24" s="3" t="n">
        <v>3</v>
      </c>
      <c r="F24" s="3" t="s">
        <v>57</v>
      </c>
      <c r="G24" s="3" t="s">
        <v>58</v>
      </c>
      <c r="H24" s="3" t="s">
        <v>42</v>
      </c>
      <c r="I24" s="4" t="n">
        <v>0.36</v>
      </c>
      <c r="J24" s="4" t="n">
        <v>0.1</v>
      </c>
      <c r="K24" s="4" t="n">
        <v>2</v>
      </c>
      <c r="L24" s="4" t="n">
        <f aca="false">I24*J24</f>
        <v>0.036</v>
      </c>
      <c r="M24" s="4" t="n">
        <f aca="false">MIN(1,I24*J24*K24)</f>
        <v>0.072</v>
      </c>
      <c r="N24" s="4" t="n">
        <f aca="false">N23*M24</f>
        <v>0.000559872</v>
      </c>
      <c r="O24" s="4" t="n">
        <f aca="false">'Settings '!$B$8</f>
        <v>0.1</v>
      </c>
      <c r="P24" s="4" t="n">
        <f aca="false">MIN(1,I24*O24*K24)</f>
        <v>0.072</v>
      </c>
      <c r="Q24" s="4" t="n">
        <f aca="false">Q23*P24</f>
        <v>0.000559872</v>
      </c>
      <c r="R24" s="4" t="n">
        <f aca="false">'Settings '!$B$9</f>
        <v>0.9</v>
      </c>
      <c r="S24" s="4" t="n">
        <f aca="false">MIN(1,I24*R24*K24)</f>
        <v>0.648</v>
      </c>
      <c r="T24" s="4" t="n">
        <f aca="false">T23*S24</f>
        <v>0.314928</v>
      </c>
      <c r="U24" s="4" t="str">
        <f aca="false">IF(E24=4,N24,"")</f>
        <v/>
      </c>
      <c r="V24" s="4" t="str">
        <f aca="false">IF(E24=4,Q24,"")</f>
        <v/>
      </c>
      <c r="W24" s="4" t="str">
        <f aca="false">IF(E24=4,T24,"")</f>
        <v/>
      </c>
      <c r="X24" s="4" t="str">
        <f aca="false">IF(E24=4,IFERROR((LN(U24)-LN(V24))/(LN(W24)-LN(V24)),0),"")</f>
        <v/>
      </c>
      <c r="Y24" s="3" t="str">
        <f aca="false">IF(E24=4,IF(X24&gt;='Settings '!$B$7,"Risk A",IF(X24&gt;='Settings '!$B$6,"Risk B","Risk C")),"")</f>
        <v/>
      </c>
      <c r="Z24" s="3" t="n">
        <f aca="false">IF(Y24="Risk B",1,0)</f>
        <v>0</v>
      </c>
      <c r="AA24" s="3" t="n">
        <f aca="false">IF(J24&gt;='Settings '!$B$10,1,0)</f>
        <v>0</v>
      </c>
      <c r="AB24" s="3" t="n">
        <f aca="false">IF(M24&gt;='Settings '!$B$11,1,0)</f>
        <v>0</v>
      </c>
      <c r="AC24" s="4" t="n">
        <f aca="false">ABS(M24-MIN(1,I24*J24*K24))</f>
        <v>0</v>
      </c>
    </row>
    <row r="25" customFormat="false" ht="14.25" hidden="false" customHeight="true" outlineLevel="0" collapsed="false">
      <c r="A25" s="3" t="s">
        <v>29</v>
      </c>
      <c r="B25" s="3" t="n">
        <v>6</v>
      </c>
      <c r="C25" s="3" t="s">
        <v>59</v>
      </c>
      <c r="D25" s="3" t="s">
        <v>43</v>
      </c>
      <c r="E25" s="3" t="n">
        <v>4</v>
      </c>
      <c r="F25" s="3" t="s">
        <v>48</v>
      </c>
      <c r="G25" s="3" t="s">
        <v>49</v>
      </c>
      <c r="H25" s="3" t="s">
        <v>46</v>
      </c>
      <c r="I25" s="4" t="n">
        <v>0.72</v>
      </c>
      <c r="J25" s="4" t="n">
        <v>0.28</v>
      </c>
      <c r="K25" s="4" t="n">
        <v>2</v>
      </c>
      <c r="L25" s="4" t="n">
        <f aca="false">I25*J25</f>
        <v>0.2016</v>
      </c>
      <c r="M25" s="4" t="n">
        <f aca="false">MIN(1,I25*J25*K25)</f>
        <v>0.4032</v>
      </c>
      <c r="N25" s="4" t="n">
        <f aca="false">N24*M25</f>
        <v>0.0002257403904</v>
      </c>
      <c r="O25" s="4" t="n">
        <f aca="false">'Settings '!$B$8</f>
        <v>0.1</v>
      </c>
      <c r="P25" s="4" t="n">
        <f aca="false">MIN(1,I25*O25*K25)</f>
        <v>0.144</v>
      </c>
      <c r="Q25" s="4" t="n">
        <f aca="false">Q24*P25</f>
        <v>8.0621568E-005</v>
      </c>
      <c r="R25" s="4" t="n">
        <f aca="false">'Settings '!$B$9</f>
        <v>0.9</v>
      </c>
      <c r="S25" s="4" t="n">
        <f aca="false">MIN(1,I25*R25*K25)</f>
        <v>1</v>
      </c>
      <c r="T25" s="4" t="n">
        <f aca="false">T24*S25</f>
        <v>0.314928</v>
      </c>
      <c r="U25" s="4" t="n">
        <f aca="false">IF(E25=4,N25,"")</f>
        <v>0.0002257403904</v>
      </c>
      <c r="V25" s="4" t="n">
        <f aca="false">IF(E25=4,Q25,"")</f>
        <v>8.0621568E-005</v>
      </c>
      <c r="W25" s="4" t="n">
        <f aca="false">IF(E25=4,T25,"")</f>
        <v>0.314928</v>
      </c>
      <c r="X25" s="4" t="n">
        <f aca="false">IF(E25=4,IFERROR((LN(U25)-LN(V25))/(LN(W25)-LN(V25)),0),"")</f>
        <v>0.124495519473378</v>
      </c>
      <c r="Y25" s="3" t="str">
        <f aca="false">IF(E25=4,IF(X25&gt;='Settings '!$B$7,"Risk A",IF(X25&gt;='Settings '!$B$6,"Risk B","Risk C")),"")</f>
        <v>Risk C</v>
      </c>
      <c r="Z25" s="3" t="n">
        <f aca="false">IF(Y25="Risk B",1,0)</f>
        <v>0</v>
      </c>
      <c r="AA25" s="3" t="n">
        <f aca="false">IF(J25&gt;='Settings '!$B$10,1,0)</f>
        <v>1</v>
      </c>
      <c r="AB25" s="3" t="n">
        <f aca="false">IF(M25&gt;='Settings '!$B$11,1,0)</f>
        <v>1</v>
      </c>
      <c r="AC25" s="4" t="n">
        <f aca="false">ABS(M25-MIN(1,I25*J25*K25))</f>
        <v>0</v>
      </c>
    </row>
    <row r="26" customFormat="false" ht="25.5" hidden="false" customHeight="true" outlineLevel="0" collapsed="false">
      <c r="A26" s="3" t="s">
        <v>29</v>
      </c>
      <c r="B26" s="3" t="n">
        <v>7</v>
      </c>
      <c r="C26" s="3" t="s">
        <v>60</v>
      </c>
      <c r="D26" s="3" t="s">
        <v>31</v>
      </c>
      <c r="E26" s="3" t="n">
        <v>1</v>
      </c>
      <c r="F26" s="3" t="s">
        <v>32</v>
      </c>
      <c r="G26" s="3" t="s">
        <v>33</v>
      </c>
      <c r="H26" s="3" t="s">
        <v>34</v>
      </c>
      <c r="I26" s="4" t="n">
        <v>0.72</v>
      </c>
      <c r="J26" s="4" t="n">
        <v>0.1</v>
      </c>
      <c r="K26" s="4" t="n">
        <v>2</v>
      </c>
      <c r="L26" s="4" t="n">
        <f aca="false">I26*J26</f>
        <v>0.072</v>
      </c>
      <c r="M26" s="4" t="n">
        <f aca="false">MIN(1,I26*J26*K26)</f>
        <v>0.144</v>
      </c>
      <c r="N26" s="4" t="n">
        <f aca="false">M26</f>
        <v>0.144</v>
      </c>
      <c r="O26" s="4" t="n">
        <f aca="false">'Settings '!$B$8</f>
        <v>0.1</v>
      </c>
      <c r="P26" s="4" t="n">
        <f aca="false">MIN(1,I26*O26*K26)</f>
        <v>0.144</v>
      </c>
      <c r="Q26" s="4" t="n">
        <f aca="false">P26</f>
        <v>0.144</v>
      </c>
      <c r="R26" s="4" t="n">
        <f aca="false">'Settings '!$B$9</f>
        <v>0.9</v>
      </c>
      <c r="S26" s="4" t="n">
        <f aca="false">MIN(1,I26*R26*K26)</f>
        <v>1</v>
      </c>
      <c r="T26" s="4" t="n">
        <f aca="false">S26</f>
        <v>1</v>
      </c>
      <c r="U26" s="4" t="str">
        <f aca="false">IF(E26=4,N26,"")</f>
        <v/>
      </c>
      <c r="V26" s="4" t="str">
        <f aca="false">IF(E26=4,Q26,"")</f>
        <v/>
      </c>
      <c r="W26" s="4" t="str">
        <f aca="false">IF(E26=4,T26,"")</f>
        <v/>
      </c>
      <c r="X26" s="4" t="str">
        <f aca="false">IF(E26=4,IFERROR((LN(U26)-LN(V26))/(LN(W26)-LN(V26)),0),"")</f>
        <v/>
      </c>
      <c r="Y26" s="3" t="str">
        <f aca="false">IF(E26=4,IF(X26&gt;='Settings '!$B$7,"Risk A",IF(X26&gt;='Settings '!$B$6,"Risk B","Risk C")),"")</f>
        <v/>
      </c>
      <c r="Z26" s="3" t="n">
        <f aca="false">IF(Y26="Risk B",1,0)</f>
        <v>0</v>
      </c>
      <c r="AA26" s="3" t="n">
        <f aca="false">IF(J26&gt;='Settings '!$B$10,1,0)</f>
        <v>0</v>
      </c>
      <c r="AB26" s="3" t="n">
        <f aca="false">IF(M26&gt;='Settings '!$B$11,1,0)</f>
        <v>0</v>
      </c>
      <c r="AC26" s="4" t="n">
        <f aca="false">ABS(M26-MIN(1,I26*J26*K26))</f>
        <v>0</v>
      </c>
    </row>
    <row r="27" customFormat="false" ht="14.25" hidden="false" customHeight="true" outlineLevel="0" collapsed="false">
      <c r="A27" s="3" t="s">
        <v>29</v>
      </c>
      <c r="B27" s="3" t="n">
        <v>7</v>
      </c>
      <c r="C27" s="3" t="s">
        <v>60</v>
      </c>
      <c r="D27" s="3" t="s">
        <v>35</v>
      </c>
      <c r="E27" s="3" t="n">
        <v>2</v>
      </c>
      <c r="F27" s="3" t="s">
        <v>36</v>
      </c>
      <c r="G27" s="3" t="s">
        <v>37</v>
      </c>
      <c r="H27" s="3" t="s">
        <v>38</v>
      </c>
      <c r="I27" s="4" t="n">
        <v>0.36</v>
      </c>
      <c r="J27" s="4" t="n">
        <v>0.1</v>
      </c>
      <c r="K27" s="4" t="n">
        <v>1.5</v>
      </c>
      <c r="L27" s="4" t="n">
        <f aca="false">I27*J27</f>
        <v>0.036</v>
      </c>
      <c r="M27" s="4" t="n">
        <f aca="false">MIN(1,I27*J27*K27)</f>
        <v>0.054</v>
      </c>
      <c r="N27" s="4" t="n">
        <f aca="false">N26*M27</f>
        <v>0.007776</v>
      </c>
      <c r="O27" s="4" t="n">
        <f aca="false">'Settings '!$B$8</f>
        <v>0.1</v>
      </c>
      <c r="P27" s="4" t="n">
        <f aca="false">MIN(1,I27*O27*K27)</f>
        <v>0.054</v>
      </c>
      <c r="Q27" s="4" t="n">
        <f aca="false">Q26*P27</f>
        <v>0.007776</v>
      </c>
      <c r="R27" s="4" t="n">
        <f aca="false">'Settings '!$B$9</f>
        <v>0.9</v>
      </c>
      <c r="S27" s="4" t="n">
        <f aca="false">MIN(1,I27*R27*K27)</f>
        <v>0.486</v>
      </c>
      <c r="T27" s="4" t="n">
        <f aca="false">T26*S27</f>
        <v>0.486</v>
      </c>
      <c r="U27" s="4" t="str">
        <f aca="false">IF(E27=4,N27,"")</f>
        <v/>
      </c>
      <c r="V27" s="4" t="str">
        <f aca="false">IF(E27=4,Q27,"")</f>
        <v/>
      </c>
      <c r="W27" s="4" t="str">
        <f aca="false">IF(E27=4,T27,"")</f>
        <v/>
      </c>
      <c r="X27" s="4" t="str">
        <f aca="false">IF(E27=4,IFERROR((LN(U27)-LN(V27))/(LN(W27)-LN(V27)),0),"")</f>
        <v/>
      </c>
      <c r="Y27" s="3" t="str">
        <f aca="false">IF(E27=4,IF(X27&gt;='Settings '!$B$7,"Risk A",IF(X27&gt;='Settings '!$B$6,"Risk B","Risk C")),"")</f>
        <v/>
      </c>
      <c r="Z27" s="3" t="n">
        <f aca="false">IF(Y27="Risk B",1,0)</f>
        <v>0</v>
      </c>
      <c r="AA27" s="3" t="n">
        <f aca="false">IF(J27&gt;='Settings '!$B$10,1,0)</f>
        <v>0</v>
      </c>
      <c r="AB27" s="3" t="n">
        <f aca="false">IF(M27&gt;='Settings '!$B$11,1,0)</f>
        <v>0</v>
      </c>
      <c r="AC27" s="4" t="n">
        <f aca="false">ABS(M27-MIN(1,I27*J27*K27))</f>
        <v>0</v>
      </c>
    </row>
    <row r="28" customFormat="false" ht="14.25" hidden="false" customHeight="true" outlineLevel="0" collapsed="false">
      <c r="A28" s="3" t="s">
        <v>29</v>
      </c>
      <c r="B28" s="3" t="n">
        <v>7</v>
      </c>
      <c r="C28" s="3" t="s">
        <v>60</v>
      </c>
      <c r="D28" s="3" t="s">
        <v>39</v>
      </c>
      <c r="E28" s="3" t="n">
        <v>3</v>
      </c>
      <c r="F28" s="3" t="s">
        <v>57</v>
      </c>
      <c r="G28" s="3" t="s">
        <v>58</v>
      </c>
      <c r="H28" s="3" t="s">
        <v>42</v>
      </c>
      <c r="I28" s="4" t="n">
        <v>0.36</v>
      </c>
      <c r="J28" s="4" t="n">
        <v>0.1</v>
      </c>
      <c r="K28" s="4" t="n">
        <v>2</v>
      </c>
      <c r="L28" s="4" t="n">
        <f aca="false">I28*J28</f>
        <v>0.036</v>
      </c>
      <c r="M28" s="4" t="n">
        <f aca="false">MIN(1,I28*J28*K28)</f>
        <v>0.072</v>
      </c>
      <c r="N28" s="4" t="n">
        <f aca="false">N27*M28</f>
        <v>0.000559872</v>
      </c>
      <c r="O28" s="4" t="n">
        <f aca="false">'Settings '!$B$8</f>
        <v>0.1</v>
      </c>
      <c r="P28" s="4" t="n">
        <f aca="false">MIN(1,I28*O28*K28)</f>
        <v>0.072</v>
      </c>
      <c r="Q28" s="4" t="n">
        <f aca="false">Q27*P28</f>
        <v>0.000559872</v>
      </c>
      <c r="R28" s="4" t="n">
        <f aca="false">'Settings '!$B$9</f>
        <v>0.9</v>
      </c>
      <c r="S28" s="4" t="n">
        <f aca="false">MIN(1,I28*R28*K28)</f>
        <v>0.648</v>
      </c>
      <c r="T28" s="4" t="n">
        <f aca="false">T27*S28</f>
        <v>0.314928</v>
      </c>
      <c r="U28" s="4" t="str">
        <f aca="false">IF(E28=4,N28,"")</f>
        <v/>
      </c>
      <c r="V28" s="4" t="str">
        <f aca="false">IF(E28=4,Q28,"")</f>
        <v/>
      </c>
      <c r="W28" s="4" t="str">
        <f aca="false">IF(E28=4,T28,"")</f>
        <v/>
      </c>
      <c r="X28" s="4" t="str">
        <f aca="false">IF(E28=4,IFERROR((LN(U28)-LN(V28))/(LN(W28)-LN(V28)),0),"")</f>
        <v/>
      </c>
      <c r="Y28" s="3" t="str">
        <f aca="false">IF(E28=4,IF(X28&gt;='Settings '!$B$7,"Risk A",IF(X28&gt;='Settings '!$B$6,"Risk B","Risk C")),"")</f>
        <v/>
      </c>
      <c r="Z28" s="3" t="n">
        <f aca="false">IF(Y28="Risk B",1,0)</f>
        <v>0</v>
      </c>
      <c r="AA28" s="3" t="n">
        <f aca="false">IF(J28&gt;='Settings '!$B$10,1,0)</f>
        <v>0</v>
      </c>
      <c r="AB28" s="3" t="n">
        <f aca="false">IF(M28&gt;='Settings '!$B$11,1,0)</f>
        <v>0</v>
      </c>
      <c r="AC28" s="4" t="n">
        <f aca="false">ABS(M28-MIN(1,I28*J28*K28))</f>
        <v>0</v>
      </c>
    </row>
    <row r="29" customFormat="false" ht="14.25" hidden="false" customHeight="true" outlineLevel="0" collapsed="false">
      <c r="A29" s="3" t="s">
        <v>29</v>
      </c>
      <c r="B29" s="3" t="n">
        <v>7</v>
      </c>
      <c r="C29" s="3" t="s">
        <v>60</v>
      </c>
      <c r="D29" s="3" t="s">
        <v>43</v>
      </c>
      <c r="E29" s="3" t="n">
        <v>4</v>
      </c>
      <c r="F29" s="3" t="s">
        <v>51</v>
      </c>
      <c r="G29" s="3" t="s">
        <v>52</v>
      </c>
      <c r="H29" s="3" t="s">
        <v>46</v>
      </c>
      <c r="I29" s="4" t="n">
        <v>0.18</v>
      </c>
      <c r="J29" s="4" t="n">
        <v>0.28</v>
      </c>
      <c r="K29" s="4" t="n">
        <v>2</v>
      </c>
      <c r="L29" s="4" t="n">
        <f aca="false">I29*J29</f>
        <v>0.0504</v>
      </c>
      <c r="M29" s="4" t="n">
        <f aca="false">MIN(1,I29*J29*K29)</f>
        <v>0.1008</v>
      </c>
      <c r="N29" s="4" t="n">
        <f aca="false">N28*M29</f>
        <v>5.64350976E-005</v>
      </c>
      <c r="O29" s="4" t="n">
        <f aca="false">'Settings '!$B$8</f>
        <v>0.1</v>
      </c>
      <c r="P29" s="4" t="n">
        <f aca="false">MIN(1,I29*O29*K29)</f>
        <v>0.036</v>
      </c>
      <c r="Q29" s="4" t="n">
        <f aca="false">Q28*P29</f>
        <v>2.0155392E-005</v>
      </c>
      <c r="R29" s="4" t="n">
        <f aca="false">'Settings '!$B$9</f>
        <v>0.9</v>
      </c>
      <c r="S29" s="4" t="n">
        <f aca="false">MIN(1,I29*R29*K29)</f>
        <v>0.324</v>
      </c>
      <c r="T29" s="4" t="n">
        <f aca="false">T28*S29</f>
        <v>0.102036672</v>
      </c>
      <c r="U29" s="4" t="n">
        <f aca="false">IF(E29=4,N29,"")</f>
        <v>5.64350976E-005</v>
      </c>
      <c r="V29" s="4" t="n">
        <f aca="false">IF(E29=4,Q29,"")</f>
        <v>2.0155392E-005</v>
      </c>
      <c r="W29" s="4" t="n">
        <f aca="false">IF(E29=4,T29,"")</f>
        <v>0.102036672</v>
      </c>
      <c r="X29" s="4" t="n">
        <f aca="false">IF(E29=4,IFERROR((LN(U29)-LN(V29))/(LN(W29)-LN(V29)),0),"")</f>
        <v>0.120711114312368</v>
      </c>
      <c r="Y29" s="3" t="str">
        <f aca="false">IF(E29=4,IF(X29&gt;='Settings '!$B$7,"Risk A",IF(X29&gt;='Settings '!$B$6,"Risk B","Risk C")),"")</f>
        <v>Risk C</v>
      </c>
      <c r="Z29" s="3" t="n">
        <f aca="false">IF(Y29="Risk B",1,0)</f>
        <v>0</v>
      </c>
      <c r="AA29" s="3" t="n">
        <f aca="false">IF(J29&gt;='Settings '!$B$10,1,0)</f>
        <v>1</v>
      </c>
      <c r="AB29" s="3" t="n">
        <f aca="false">IF(M29&gt;='Settings '!$B$11,1,0)</f>
        <v>0</v>
      </c>
      <c r="AC29" s="4" t="n">
        <f aca="false">ABS(M29-MIN(1,I29*J29*K29))</f>
        <v>0</v>
      </c>
    </row>
    <row r="30" customFormat="false" ht="25.5" hidden="false" customHeight="true" outlineLevel="0" collapsed="false">
      <c r="A30" s="3" t="s">
        <v>29</v>
      </c>
      <c r="B30" s="3" t="n">
        <v>8</v>
      </c>
      <c r="C30" s="3" t="s">
        <v>61</v>
      </c>
      <c r="D30" s="3" t="s">
        <v>31</v>
      </c>
      <c r="E30" s="3" t="n">
        <v>1</v>
      </c>
      <c r="F30" s="3" t="s">
        <v>32</v>
      </c>
      <c r="G30" s="3" t="s">
        <v>33</v>
      </c>
      <c r="H30" s="3" t="s">
        <v>34</v>
      </c>
      <c r="I30" s="4" t="n">
        <v>0.72</v>
      </c>
      <c r="J30" s="4" t="n">
        <v>0.1</v>
      </c>
      <c r="K30" s="4" t="n">
        <v>2</v>
      </c>
      <c r="L30" s="4" t="n">
        <f aca="false">I30*J30</f>
        <v>0.072</v>
      </c>
      <c r="M30" s="4" t="n">
        <f aca="false">MIN(1,I30*J30*K30)</f>
        <v>0.144</v>
      </c>
      <c r="N30" s="4" t="n">
        <f aca="false">M30</f>
        <v>0.144</v>
      </c>
      <c r="O30" s="4" t="n">
        <f aca="false">'Settings '!$B$8</f>
        <v>0.1</v>
      </c>
      <c r="P30" s="4" t="n">
        <f aca="false">MIN(1,I30*O30*K30)</f>
        <v>0.144</v>
      </c>
      <c r="Q30" s="4" t="n">
        <f aca="false">P30</f>
        <v>0.144</v>
      </c>
      <c r="R30" s="4" t="n">
        <f aca="false">'Settings '!$B$9</f>
        <v>0.9</v>
      </c>
      <c r="S30" s="4" t="n">
        <f aca="false">MIN(1,I30*R30*K30)</f>
        <v>1</v>
      </c>
      <c r="T30" s="4" t="n">
        <f aca="false">S30</f>
        <v>1</v>
      </c>
      <c r="U30" s="4" t="str">
        <f aca="false">IF(E30=4,N30,"")</f>
        <v/>
      </c>
      <c r="V30" s="4" t="str">
        <f aca="false">IF(E30=4,Q30,"")</f>
        <v/>
      </c>
      <c r="W30" s="4" t="str">
        <f aca="false">IF(E30=4,T30,"")</f>
        <v/>
      </c>
      <c r="X30" s="4" t="str">
        <f aca="false">IF(E30=4,IFERROR((LN(U30)-LN(V30))/(LN(W30)-LN(V30)),0),"")</f>
        <v/>
      </c>
      <c r="Y30" s="3" t="str">
        <f aca="false">IF(E30=4,IF(X30&gt;='Settings '!$B$7,"Risk A",IF(X30&gt;='Settings '!$B$6,"Risk B","Risk C")),"")</f>
        <v/>
      </c>
      <c r="Z30" s="3" t="n">
        <f aca="false">IF(Y30="Risk B",1,0)</f>
        <v>0</v>
      </c>
      <c r="AA30" s="3" t="n">
        <f aca="false">IF(J30&gt;='Settings '!$B$10,1,0)</f>
        <v>0</v>
      </c>
      <c r="AB30" s="3" t="n">
        <f aca="false">IF(M30&gt;='Settings '!$B$11,1,0)</f>
        <v>0</v>
      </c>
      <c r="AC30" s="4" t="n">
        <f aca="false">ABS(M30-MIN(1,I30*J30*K30))</f>
        <v>0</v>
      </c>
    </row>
    <row r="31" customFormat="false" ht="14.25" hidden="false" customHeight="true" outlineLevel="0" collapsed="false">
      <c r="A31" s="3" t="s">
        <v>29</v>
      </c>
      <c r="B31" s="3" t="n">
        <v>8</v>
      </c>
      <c r="C31" s="3" t="s">
        <v>61</v>
      </c>
      <c r="D31" s="3" t="s">
        <v>35</v>
      </c>
      <c r="E31" s="3" t="n">
        <v>2</v>
      </c>
      <c r="F31" s="3" t="s">
        <v>36</v>
      </c>
      <c r="G31" s="3" t="s">
        <v>37</v>
      </c>
      <c r="H31" s="3" t="s">
        <v>38</v>
      </c>
      <c r="I31" s="4" t="n">
        <v>0.36</v>
      </c>
      <c r="J31" s="4" t="n">
        <v>0.1</v>
      </c>
      <c r="K31" s="4" t="n">
        <v>1.5</v>
      </c>
      <c r="L31" s="4" t="n">
        <f aca="false">I31*J31</f>
        <v>0.036</v>
      </c>
      <c r="M31" s="4" t="n">
        <f aca="false">MIN(1,I31*J31*K31)</f>
        <v>0.054</v>
      </c>
      <c r="N31" s="4" t="n">
        <f aca="false">N30*M31</f>
        <v>0.007776</v>
      </c>
      <c r="O31" s="4" t="n">
        <f aca="false">'Settings '!$B$8</f>
        <v>0.1</v>
      </c>
      <c r="P31" s="4" t="n">
        <f aca="false">MIN(1,I31*O31*K31)</f>
        <v>0.054</v>
      </c>
      <c r="Q31" s="4" t="n">
        <f aca="false">Q30*P31</f>
        <v>0.007776</v>
      </c>
      <c r="R31" s="4" t="n">
        <f aca="false">'Settings '!$B$9</f>
        <v>0.9</v>
      </c>
      <c r="S31" s="4" t="n">
        <f aca="false">MIN(1,I31*R31*K31)</f>
        <v>0.486</v>
      </c>
      <c r="T31" s="4" t="n">
        <f aca="false">T30*S31</f>
        <v>0.486</v>
      </c>
      <c r="U31" s="4" t="str">
        <f aca="false">IF(E31=4,N31,"")</f>
        <v/>
      </c>
      <c r="V31" s="4" t="str">
        <f aca="false">IF(E31=4,Q31,"")</f>
        <v/>
      </c>
      <c r="W31" s="4" t="str">
        <f aca="false">IF(E31=4,T31,"")</f>
        <v/>
      </c>
      <c r="X31" s="4" t="str">
        <f aca="false">IF(E31=4,IFERROR((LN(U31)-LN(V31))/(LN(W31)-LN(V31)),0),"")</f>
        <v/>
      </c>
      <c r="Y31" s="3" t="str">
        <f aca="false">IF(E31=4,IF(X31&gt;='Settings '!$B$7,"Risk A",IF(X31&gt;='Settings '!$B$6,"Risk B","Risk C")),"")</f>
        <v/>
      </c>
      <c r="Z31" s="3" t="n">
        <f aca="false">IF(Y31="Risk B",1,0)</f>
        <v>0</v>
      </c>
      <c r="AA31" s="3" t="n">
        <f aca="false">IF(J31&gt;='Settings '!$B$10,1,0)</f>
        <v>0</v>
      </c>
      <c r="AB31" s="3" t="n">
        <f aca="false">IF(M31&gt;='Settings '!$B$11,1,0)</f>
        <v>0</v>
      </c>
      <c r="AC31" s="4" t="n">
        <f aca="false">ABS(M31-MIN(1,I31*J31*K31))</f>
        <v>0</v>
      </c>
    </row>
    <row r="32" customFormat="false" ht="14.25" hidden="false" customHeight="true" outlineLevel="0" collapsed="false">
      <c r="A32" s="3" t="s">
        <v>29</v>
      </c>
      <c r="B32" s="3" t="n">
        <v>8</v>
      </c>
      <c r="C32" s="3" t="s">
        <v>61</v>
      </c>
      <c r="D32" s="3" t="s">
        <v>39</v>
      </c>
      <c r="E32" s="3" t="n">
        <v>3</v>
      </c>
      <c r="F32" s="3" t="s">
        <v>57</v>
      </c>
      <c r="G32" s="3" t="s">
        <v>58</v>
      </c>
      <c r="H32" s="3" t="s">
        <v>42</v>
      </c>
      <c r="I32" s="4" t="n">
        <v>0.36</v>
      </c>
      <c r="J32" s="4" t="n">
        <v>0.1</v>
      </c>
      <c r="K32" s="4" t="n">
        <v>2</v>
      </c>
      <c r="L32" s="4" t="n">
        <f aca="false">I32*J32</f>
        <v>0.036</v>
      </c>
      <c r="M32" s="4" t="n">
        <f aca="false">MIN(1,I32*J32*K32)</f>
        <v>0.072</v>
      </c>
      <c r="N32" s="4" t="n">
        <f aca="false">N31*M32</f>
        <v>0.000559872</v>
      </c>
      <c r="O32" s="4" t="n">
        <f aca="false">'Settings '!$B$8</f>
        <v>0.1</v>
      </c>
      <c r="P32" s="4" t="n">
        <f aca="false">MIN(1,I32*O32*K32)</f>
        <v>0.072</v>
      </c>
      <c r="Q32" s="4" t="n">
        <f aca="false">Q31*P32</f>
        <v>0.000559872</v>
      </c>
      <c r="R32" s="4" t="n">
        <f aca="false">'Settings '!$B$9</f>
        <v>0.9</v>
      </c>
      <c r="S32" s="4" t="n">
        <f aca="false">MIN(1,I32*R32*K32)</f>
        <v>0.648</v>
      </c>
      <c r="T32" s="4" t="n">
        <f aca="false">T31*S32</f>
        <v>0.314928</v>
      </c>
      <c r="U32" s="4" t="str">
        <f aca="false">IF(E32=4,N32,"")</f>
        <v/>
      </c>
      <c r="V32" s="4" t="str">
        <f aca="false">IF(E32=4,Q32,"")</f>
        <v/>
      </c>
      <c r="W32" s="4" t="str">
        <f aca="false">IF(E32=4,T32,"")</f>
        <v/>
      </c>
      <c r="X32" s="4" t="str">
        <f aca="false">IF(E32=4,IFERROR((LN(U32)-LN(V32))/(LN(W32)-LN(V32)),0),"")</f>
        <v/>
      </c>
      <c r="Y32" s="3" t="str">
        <f aca="false">IF(E32=4,IF(X32&gt;='Settings '!$B$7,"Risk A",IF(X32&gt;='Settings '!$B$6,"Risk B","Risk C")),"")</f>
        <v/>
      </c>
      <c r="Z32" s="3" t="n">
        <f aca="false">IF(Y32="Risk B",1,0)</f>
        <v>0</v>
      </c>
      <c r="AA32" s="3" t="n">
        <f aca="false">IF(J32&gt;='Settings '!$B$10,1,0)</f>
        <v>0</v>
      </c>
      <c r="AB32" s="3" t="n">
        <f aca="false">IF(M32&gt;='Settings '!$B$11,1,0)</f>
        <v>0</v>
      </c>
      <c r="AC32" s="4" t="n">
        <f aca="false">ABS(M32-MIN(1,I32*J32*K32))</f>
        <v>0</v>
      </c>
    </row>
    <row r="33" customFormat="false" ht="14.25" hidden="false" customHeight="true" outlineLevel="0" collapsed="false">
      <c r="A33" s="3" t="s">
        <v>29</v>
      </c>
      <c r="B33" s="3" t="n">
        <v>8</v>
      </c>
      <c r="C33" s="3" t="s">
        <v>61</v>
      </c>
      <c r="D33" s="3" t="s">
        <v>43</v>
      </c>
      <c r="E33" s="3" t="n">
        <v>4</v>
      </c>
      <c r="F33" s="3" t="s">
        <v>54</v>
      </c>
      <c r="G33" s="3" t="s">
        <v>55</v>
      </c>
      <c r="H33" s="3" t="s">
        <v>46</v>
      </c>
      <c r="I33" s="4" t="n">
        <v>0.18</v>
      </c>
      <c r="J33" s="4" t="n">
        <v>0.28</v>
      </c>
      <c r="K33" s="4" t="n">
        <v>2</v>
      </c>
      <c r="L33" s="4" t="n">
        <f aca="false">I33*J33</f>
        <v>0.0504</v>
      </c>
      <c r="M33" s="4" t="n">
        <f aca="false">MIN(1,I33*J33*K33)</f>
        <v>0.1008</v>
      </c>
      <c r="N33" s="4" t="n">
        <f aca="false">N32*M33</f>
        <v>5.64350976E-005</v>
      </c>
      <c r="O33" s="4" t="n">
        <f aca="false">'Settings '!$B$8</f>
        <v>0.1</v>
      </c>
      <c r="P33" s="4" t="n">
        <f aca="false">MIN(1,I33*O33*K33)</f>
        <v>0.036</v>
      </c>
      <c r="Q33" s="4" t="n">
        <f aca="false">Q32*P33</f>
        <v>2.0155392E-005</v>
      </c>
      <c r="R33" s="4" t="n">
        <f aca="false">'Settings '!$B$9</f>
        <v>0.9</v>
      </c>
      <c r="S33" s="4" t="n">
        <f aca="false">MIN(1,I33*R33*K33)</f>
        <v>0.324</v>
      </c>
      <c r="T33" s="4" t="n">
        <f aca="false">T32*S33</f>
        <v>0.102036672</v>
      </c>
      <c r="U33" s="4" t="n">
        <f aca="false">IF(E33=4,N33,"")</f>
        <v>5.64350976E-005</v>
      </c>
      <c r="V33" s="4" t="n">
        <f aca="false">IF(E33=4,Q33,"")</f>
        <v>2.0155392E-005</v>
      </c>
      <c r="W33" s="4" t="n">
        <f aca="false">IF(E33=4,T33,"")</f>
        <v>0.102036672</v>
      </c>
      <c r="X33" s="4" t="n">
        <f aca="false">IF(E33=4,IFERROR((LN(U33)-LN(V33))/(LN(W33)-LN(V33)),0),"")</f>
        <v>0.120711114312368</v>
      </c>
      <c r="Y33" s="3" t="str">
        <f aca="false">IF(E33=4,IF(X33&gt;='Settings '!$B$7,"Risk A",IF(X33&gt;='Settings '!$B$6,"Risk B","Risk C")),"")</f>
        <v>Risk C</v>
      </c>
      <c r="Z33" s="3" t="n">
        <f aca="false">IF(Y33="Risk B",1,0)</f>
        <v>0</v>
      </c>
      <c r="AA33" s="3" t="n">
        <f aca="false">IF(J33&gt;='Settings '!$B$10,1,0)</f>
        <v>1</v>
      </c>
      <c r="AB33" s="3" t="n">
        <f aca="false">IF(M33&gt;='Settings '!$B$11,1,0)</f>
        <v>0</v>
      </c>
      <c r="AC33" s="4" t="n">
        <f aca="false">ABS(M33-MIN(1,I33*J33*K33))</f>
        <v>0</v>
      </c>
    </row>
    <row r="34" customFormat="false" ht="25.5" hidden="false" customHeight="true" outlineLevel="0" collapsed="false">
      <c r="A34" s="3" t="s">
        <v>29</v>
      </c>
      <c r="B34" s="3" t="n">
        <v>9</v>
      </c>
      <c r="C34" s="3" t="s">
        <v>62</v>
      </c>
      <c r="D34" s="3" t="s">
        <v>31</v>
      </c>
      <c r="E34" s="3" t="n">
        <v>1</v>
      </c>
      <c r="F34" s="3" t="s">
        <v>32</v>
      </c>
      <c r="G34" s="3" t="s">
        <v>33</v>
      </c>
      <c r="H34" s="3" t="s">
        <v>34</v>
      </c>
      <c r="I34" s="4" t="n">
        <v>0.72</v>
      </c>
      <c r="J34" s="4" t="n">
        <v>0.1</v>
      </c>
      <c r="K34" s="4" t="n">
        <v>2</v>
      </c>
      <c r="L34" s="4" t="n">
        <f aca="false">I34*J34</f>
        <v>0.072</v>
      </c>
      <c r="M34" s="4" t="n">
        <f aca="false">MIN(1,I34*J34*K34)</f>
        <v>0.144</v>
      </c>
      <c r="N34" s="4" t="n">
        <f aca="false">M34</f>
        <v>0.144</v>
      </c>
      <c r="O34" s="4" t="n">
        <f aca="false">'Settings '!$B$8</f>
        <v>0.1</v>
      </c>
      <c r="P34" s="4" t="n">
        <f aca="false">MIN(1,I34*O34*K34)</f>
        <v>0.144</v>
      </c>
      <c r="Q34" s="4" t="n">
        <f aca="false">P34</f>
        <v>0.144</v>
      </c>
      <c r="R34" s="4" t="n">
        <f aca="false">'Settings '!$B$9</f>
        <v>0.9</v>
      </c>
      <c r="S34" s="4" t="n">
        <f aca="false">MIN(1,I34*R34*K34)</f>
        <v>1</v>
      </c>
      <c r="T34" s="4" t="n">
        <f aca="false">S34</f>
        <v>1</v>
      </c>
      <c r="U34" s="4" t="str">
        <f aca="false">IF(E34=4,N34,"")</f>
        <v/>
      </c>
      <c r="V34" s="4" t="str">
        <f aca="false">IF(E34=4,Q34,"")</f>
        <v/>
      </c>
      <c r="W34" s="4" t="str">
        <f aca="false">IF(E34=4,T34,"")</f>
        <v/>
      </c>
      <c r="X34" s="4" t="str">
        <f aca="false">IF(E34=4,IFERROR((LN(U34)-LN(V34))/(LN(W34)-LN(V34)),0),"")</f>
        <v/>
      </c>
      <c r="Y34" s="3" t="str">
        <f aca="false">IF(E34=4,IF(X34&gt;='Settings '!$B$7,"Risk A",IF(X34&gt;='Settings '!$B$6,"Risk B","Risk C")),"")</f>
        <v/>
      </c>
      <c r="Z34" s="3" t="n">
        <f aca="false">IF(Y34="Risk B",1,0)</f>
        <v>0</v>
      </c>
      <c r="AA34" s="3" t="n">
        <f aca="false">IF(J34&gt;='Settings '!$B$10,1,0)</f>
        <v>0</v>
      </c>
      <c r="AB34" s="3" t="n">
        <f aca="false">IF(M34&gt;='Settings '!$B$11,1,0)</f>
        <v>0</v>
      </c>
      <c r="AC34" s="4" t="n">
        <f aca="false">ABS(M34-MIN(1,I34*J34*K34))</f>
        <v>0</v>
      </c>
    </row>
    <row r="35" customFormat="false" ht="14.25" hidden="false" customHeight="true" outlineLevel="0" collapsed="false">
      <c r="A35" s="3" t="s">
        <v>29</v>
      </c>
      <c r="B35" s="3" t="n">
        <v>9</v>
      </c>
      <c r="C35" s="3" t="s">
        <v>62</v>
      </c>
      <c r="D35" s="3" t="s">
        <v>35</v>
      </c>
      <c r="E35" s="3" t="n">
        <v>2</v>
      </c>
      <c r="F35" s="3" t="s">
        <v>36</v>
      </c>
      <c r="G35" s="3" t="s">
        <v>37</v>
      </c>
      <c r="H35" s="3" t="s">
        <v>38</v>
      </c>
      <c r="I35" s="4" t="n">
        <v>0.36</v>
      </c>
      <c r="J35" s="4" t="n">
        <v>0.1</v>
      </c>
      <c r="K35" s="4" t="n">
        <v>1.5</v>
      </c>
      <c r="L35" s="4" t="n">
        <f aca="false">I35*J35</f>
        <v>0.036</v>
      </c>
      <c r="M35" s="4" t="n">
        <f aca="false">MIN(1,I35*J35*K35)</f>
        <v>0.054</v>
      </c>
      <c r="N35" s="4" t="n">
        <f aca="false">N34*M35</f>
        <v>0.007776</v>
      </c>
      <c r="O35" s="4" t="n">
        <f aca="false">'Settings '!$B$8</f>
        <v>0.1</v>
      </c>
      <c r="P35" s="4" t="n">
        <f aca="false">MIN(1,I35*O35*K35)</f>
        <v>0.054</v>
      </c>
      <c r="Q35" s="4" t="n">
        <f aca="false">Q34*P35</f>
        <v>0.007776</v>
      </c>
      <c r="R35" s="4" t="n">
        <f aca="false">'Settings '!$B$9</f>
        <v>0.9</v>
      </c>
      <c r="S35" s="4" t="n">
        <f aca="false">MIN(1,I35*R35*K35)</f>
        <v>0.486</v>
      </c>
      <c r="T35" s="4" t="n">
        <f aca="false">T34*S35</f>
        <v>0.486</v>
      </c>
      <c r="U35" s="4" t="str">
        <f aca="false">IF(E35=4,N35,"")</f>
        <v/>
      </c>
      <c r="V35" s="4" t="str">
        <f aca="false">IF(E35=4,Q35,"")</f>
        <v/>
      </c>
      <c r="W35" s="4" t="str">
        <f aca="false">IF(E35=4,T35,"")</f>
        <v/>
      </c>
      <c r="X35" s="4" t="str">
        <f aca="false">IF(E35=4,IFERROR((LN(U35)-LN(V35))/(LN(W35)-LN(V35)),0),"")</f>
        <v/>
      </c>
      <c r="Y35" s="3" t="str">
        <f aca="false">IF(E35=4,IF(X35&gt;='Settings '!$B$7,"Risk A",IF(X35&gt;='Settings '!$B$6,"Risk B","Risk C")),"")</f>
        <v/>
      </c>
      <c r="Z35" s="3" t="n">
        <f aca="false">IF(Y35="Risk B",1,0)</f>
        <v>0</v>
      </c>
      <c r="AA35" s="3" t="n">
        <f aca="false">IF(J35&gt;='Settings '!$B$10,1,0)</f>
        <v>0</v>
      </c>
      <c r="AB35" s="3" t="n">
        <f aca="false">IF(M35&gt;='Settings '!$B$11,1,0)</f>
        <v>0</v>
      </c>
      <c r="AC35" s="4" t="n">
        <f aca="false">ABS(M35-MIN(1,I35*J35*K35))</f>
        <v>0</v>
      </c>
    </row>
    <row r="36" customFormat="false" ht="14.25" hidden="false" customHeight="true" outlineLevel="0" collapsed="false">
      <c r="A36" s="3" t="s">
        <v>29</v>
      </c>
      <c r="B36" s="3" t="n">
        <v>9</v>
      </c>
      <c r="C36" s="3" t="s">
        <v>62</v>
      </c>
      <c r="D36" s="3" t="s">
        <v>39</v>
      </c>
      <c r="E36" s="3" t="n">
        <v>3</v>
      </c>
      <c r="F36" s="3" t="s">
        <v>63</v>
      </c>
      <c r="G36" s="3" t="s">
        <v>64</v>
      </c>
      <c r="H36" s="3" t="s">
        <v>42</v>
      </c>
      <c r="I36" s="4" t="n">
        <v>0.36</v>
      </c>
      <c r="J36" s="4" t="n">
        <v>0.1</v>
      </c>
      <c r="K36" s="4" t="n">
        <v>2</v>
      </c>
      <c r="L36" s="4" t="n">
        <f aca="false">I36*J36</f>
        <v>0.036</v>
      </c>
      <c r="M36" s="4" t="n">
        <f aca="false">MIN(1,I36*J36*K36)</f>
        <v>0.072</v>
      </c>
      <c r="N36" s="4" t="n">
        <f aca="false">N35*M36</f>
        <v>0.000559872</v>
      </c>
      <c r="O36" s="4" t="n">
        <f aca="false">'Settings '!$B$8</f>
        <v>0.1</v>
      </c>
      <c r="P36" s="4" t="n">
        <f aca="false">MIN(1,I36*O36*K36)</f>
        <v>0.072</v>
      </c>
      <c r="Q36" s="4" t="n">
        <f aca="false">Q35*P36</f>
        <v>0.000559872</v>
      </c>
      <c r="R36" s="4" t="n">
        <f aca="false">'Settings '!$B$9</f>
        <v>0.9</v>
      </c>
      <c r="S36" s="4" t="n">
        <f aca="false">MIN(1,I36*R36*K36)</f>
        <v>0.648</v>
      </c>
      <c r="T36" s="4" t="n">
        <f aca="false">T35*S36</f>
        <v>0.314928</v>
      </c>
      <c r="U36" s="4" t="str">
        <f aca="false">IF(E36=4,N36,"")</f>
        <v/>
      </c>
      <c r="V36" s="4" t="str">
        <f aca="false">IF(E36=4,Q36,"")</f>
        <v/>
      </c>
      <c r="W36" s="4" t="str">
        <f aca="false">IF(E36=4,T36,"")</f>
        <v/>
      </c>
      <c r="X36" s="4" t="str">
        <f aca="false">IF(E36=4,IFERROR((LN(U36)-LN(V36))/(LN(W36)-LN(V36)),0),"")</f>
        <v/>
      </c>
      <c r="Y36" s="3" t="str">
        <f aca="false">IF(E36=4,IF(X36&gt;='Settings '!$B$7,"Risk A",IF(X36&gt;='Settings '!$B$6,"Risk B","Risk C")),"")</f>
        <v/>
      </c>
      <c r="Z36" s="3" t="n">
        <f aca="false">IF(Y36="Risk B",1,0)</f>
        <v>0</v>
      </c>
      <c r="AA36" s="3" t="n">
        <f aca="false">IF(J36&gt;='Settings '!$B$10,1,0)</f>
        <v>0</v>
      </c>
      <c r="AB36" s="3" t="n">
        <f aca="false">IF(M36&gt;='Settings '!$B$11,1,0)</f>
        <v>0</v>
      </c>
      <c r="AC36" s="4" t="n">
        <f aca="false">ABS(M36-MIN(1,I36*J36*K36))</f>
        <v>0</v>
      </c>
    </row>
    <row r="37" customFormat="false" ht="14.25" hidden="false" customHeight="true" outlineLevel="0" collapsed="false">
      <c r="A37" s="3" t="s">
        <v>29</v>
      </c>
      <c r="B37" s="3" t="n">
        <v>9</v>
      </c>
      <c r="C37" s="3" t="s">
        <v>62</v>
      </c>
      <c r="D37" s="3" t="s">
        <v>43</v>
      </c>
      <c r="E37" s="3" t="n">
        <v>4</v>
      </c>
      <c r="F37" s="3" t="s">
        <v>44</v>
      </c>
      <c r="G37" s="3" t="s">
        <v>45</v>
      </c>
      <c r="H37" s="3" t="s">
        <v>46</v>
      </c>
      <c r="I37" s="4" t="n">
        <v>0.9</v>
      </c>
      <c r="J37" s="4" t="n">
        <v>0.1</v>
      </c>
      <c r="K37" s="4" t="n">
        <v>2</v>
      </c>
      <c r="L37" s="4" t="n">
        <f aca="false">I37*J37</f>
        <v>0.09</v>
      </c>
      <c r="M37" s="4" t="n">
        <f aca="false">MIN(1,I37*J37*K37)</f>
        <v>0.18</v>
      </c>
      <c r="N37" s="4" t="n">
        <f aca="false">N36*M37</f>
        <v>0.00010077696</v>
      </c>
      <c r="O37" s="4" t="n">
        <f aca="false">'Settings '!$B$8</f>
        <v>0.1</v>
      </c>
      <c r="P37" s="4" t="n">
        <f aca="false">MIN(1,I37*O37*K37)</f>
        <v>0.18</v>
      </c>
      <c r="Q37" s="4" t="n">
        <f aca="false">Q36*P37</f>
        <v>0.00010077696</v>
      </c>
      <c r="R37" s="4" t="n">
        <f aca="false">'Settings '!$B$9</f>
        <v>0.9</v>
      </c>
      <c r="S37" s="4" t="n">
        <f aca="false">MIN(1,I37*R37*K37)</f>
        <v>1</v>
      </c>
      <c r="T37" s="4" t="n">
        <f aca="false">T36*S37</f>
        <v>0.314928</v>
      </c>
      <c r="U37" s="4" t="n">
        <f aca="false">IF(E37=4,N37,"")</f>
        <v>0.00010077696</v>
      </c>
      <c r="V37" s="4" t="n">
        <f aca="false">IF(E37=4,Q37,"")</f>
        <v>0.00010077696</v>
      </c>
      <c r="W37" s="4" t="n">
        <f aca="false">IF(E37=4,T37,"")</f>
        <v>0.314928</v>
      </c>
      <c r="X37" s="4" t="n">
        <f aca="false">IF(E37=4,IFERROR((LN(U37)-LN(V37))/(LN(W37)-LN(V37)),0),"")</f>
        <v>0</v>
      </c>
      <c r="Y37" s="3" t="str">
        <f aca="false">IF(E37=4,IF(X37&gt;='Settings '!$B$7,"Risk A",IF(X37&gt;='Settings '!$B$6,"Risk B","Risk C")),"")</f>
        <v>Risk C</v>
      </c>
      <c r="Z37" s="3" t="n">
        <f aca="false">IF(Y37="Risk B",1,0)</f>
        <v>0</v>
      </c>
      <c r="AA37" s="3" t="n">
        <f aca="false">IF(J37&gt;='Settings '!$B$10,1,0)</f>
        <v>0</v>
      </c>
      <c r="AB37" s="3" t="n">
        <f aca="false">IF(M37&gt;='Settings '!$B$11,1,0)</f>
        <v>0</v>
      </c>
      <c r="AC37" s="4" t="n">
        <f aca="false">ABS(M37-MIN(1,I37*J37*K37))</f>
        <v>0</v>
      </c>
    </row>
    <row r="38" customFormat="false" ht="25.5" hidden="false" customHeight="true" outlineLevel="0" collapsed="false">
      <c r="A38" s="3" t="s">
        <v>29</v>
      </c>
      <c r="B38" s="3" t="n">
        <v>10</v>
      </c>
      <c r="C38" s="3" t="s">
        <v>65</v>
      </c>
      <c r="D38" s="3" t="s">
        <v>31</v>
      </c>
      <c r="E38" s="3" t="n">
        <v>1</v>
      </c>
      <c r="F38" s="3" t="s">
        <v>32</v>
      </c>
      <c r="G38" s="3" t="s">
        <v>33</v>
      </c>
      <c r="H38" s="3" t="s">
        <v>34</v>
      </c>
      <c r="I38" s="4" t="n">
        <v>0.72</v>
      </c>
      <c r="J38" s="4" t="n">
        <v>0.1</v>
      </c>
      <c r="K38" s="4" t="n">
        <v>2</v>
      </c>
      <c r="L38" s="4" t="n">
        <f aca="false">I38*J38</f>
        <v>0.072</v>
      </c>
      <c r="M38" s="4" t="n">
        <f aca="false">MIN(1,I38*J38*K38)</f>
        <v>0.144</v>
      </c>
      <c r="N38" s="4" t="n">
        <f aca="false">M38</f>
        <v>0.144</v>
      </c>
      <c r="O38" s="4" t="n">
        <f aca="false">'Settings '!$B$8</f>
        <v>0.1</v>
      </c>
      <c r="P38" s="4" t="n">
        <f aca="false">MIN(1,I38*O38*K38)</f>
        <v>0.144</v>
      </c>
      <c r="Q38" s="4" t="n">
        <f aca="false">P38</f>
        <v>0.144</v>
      </c>
      <c r="R38" s="4" t="n">
        <f aca="false">'Settings '!$B$9</f>
        <v>0.9</v>
      </c>
      <c r="S38" s="4" t="n">
        <f aca="false">MIN(1,I38*R38*K38)</f>
        <v>1</v>
      </c>
      <c r="T38" s="4" t="n">
        <f aca="false">S38</f>
        <v>1</v>
      </c>
      <c r="U38" s="4" t="str">
        <f aca="false">IF(E38=4,N38,"")</f>
        <v/>
      </c>
      <c r="V38" s="4" t="str">
        <f aca="false">IF(E38=4,Q38,"")</f>
        <v/>
      </c>
      <c r="W38" s="4" t="str">
        <f aca="false">IF(E38=4,T38,"")</f>
        <v/>
      </c>
      <c r="X38" s="4" t="str">
        <f aca="false">IF(E38=4,IFERROR((LN(U38)-LN(V38))/(LN(W38)-LN(V38)),0),"")</f>
        <v/>
      </c>
      <c r="Y38" s="3" t="str">
        <f aca="false">IF(E38=4,IF(X38&gt;='Settings '!$B$7,"Risk A",IF(X38&gt;='Settings '!$B$6,"Risk B","Risk C")),"")</f>
        <v/>
      </c>
      <c r="Z38" s="3" t="n">
        <f aca="false">IF(Y38="Risk B",1,0)</f>
        <v>0</v>
      </c>
      <c r="AA38" s="3" t="n">
        <f aca="false">IF(J38&gt;='Settings '!$B$10,1,0)</f>
        <v>0</v>
      </c>
      <c r="AB38" s="3" t="n">
        <f aca="false">IF(M38&gt;='Settings '!$B$11,1,0)</f>
        <v>0</v>
      </c>
      <c r="AC38" s="4" t="n">
        <f aca="false">ABS(M38-MIN(1,I38*J38*K38))</f>
        <v>0</v>
      </c>
    </row>
    <row r="39" customFormat="false" ht="14.25" hidden="false" customHeight="true" outlineLevel="0" collapsed="false">
      <c r="A39" s="3" t="s">
        <v>29</v>
      </c>
      <c r="B39" s="3" t="n">
        <v>10</v>
      </c>
      <c r="C39" s="3" t="s">
        <v>65</v>
      </c>
      <c r="D39" s="3" t="s">
        <v>35</v>
      </c>
      <c r="E39" s="3" t="n">
        <v>2</v>
      </c>
      <c r="F39" s="3" t="s">
        <v>36</v>
      </c>
      <c r="G39" s="3" t="s">
        <v>37</v>
      </c>
      <c r="H39" s="3" t="s">
        <v>38</v>
      </c>
      <c r="I39" s="4" t="n">
        <v>0.36</v>
      </c>
      <c r="J39" s="4" t="n">
        <v>0.1</v>
      </c>
      <c r="K39" s="4" t="n">
        <v>1.5</v>
      </c>
      <c r="L39" s="4" t="n">
        <f aca="false">I39*J39</f>
        <v>0.036</v>
      </c>
      <c r="M39" s="4" t="n">
        <f aca="false">MIN(1,I39*J39*K39)</f>
        <v>0.054</v>
      </c>
      <c r="N39" s="4" t="n">
        <f aca="false">N38*M39</f>
        <v>0.007776</v>
      </c>
      <c r="O39" s="4" t="n">
        <f aca="false">'Settings '!$B$8</f>
        <v>0.1</v>
      </c>
      <c r="P39" s="4" t="n">
        <f aca="false">MIN(1,I39*O39*K39)</f>
        <v>0.054</v>
      </c>
      <c r="Q39" s="4" t="n">
        <f aca="false">Q38*P39</f>
        <v>0.007776</v>
      </c>
      <c r="R39" s="4" t="n">
        <f aca="false">'Settings '!$B$9</f>
        <v>0.9</v>
      </c>
      <c r="S39" s="4" t="n">
        <f aca="false">MIN(1,I39*R39*K39)</f>
        <v>0.486</v>
      </c>
      <c r="T39" s="4" t="n">
        <f aca="false">T38*S39</f>
        <v>0.486</v>
      </c>
      <c r="U39" s="4" t="str">
        <f aca="false">IF(E39=4,N39,"")</f>
        <v/>
      </c>
      <c r="V39" s="4" t="str">
        <f aca="false">IF(E39=4,Q39,"")</f>
        <v/>
      </c>
      <c r="W39" s="4" t="str">
        <f aca="false">IF(E39=4,T39,"")</f>
        <v/>
      </c>
      <c r="X39" s="4" t="str">
        <f aca="false">IF(E39=4,IFERROR((LN(U39)-LN(V39))/(LN(W39)-LN(V39)),0),"")</f>
        <v/>
      </c>
      <c r="Y39" s="3" t="str">
        <f aca="false">IF(E39=4,IF(X39&gt;='Settings '!$B$7,"Risk A",IF(X39&gt;='Settings '!$B$6,"Risk B","Risk C")),"")</f>
        <v/>
      </c>
      <c r="Z39" s="3" t="n">
        <f aca="false">IF(Y39="Risk B",1,0)</f>
        <v>0</v>
      </c>
      <c r="AA39" s="3" t="n">
        <f aca="false">IF(J39&gt;='Settings '!$B$10,1,0)</f>
        <v>0</v>
      </c>
      <c r="AB39" s="3" t="n">
        <f aca="false">IF(M39&gt;='Settings '!$B$11,1,0)</f>
        <v>0</v>
      </c>
      <c r="AC39" s="4" t="n">
        <f aca="false">ABS(M39-MIN(1,I39*J39*K39))</f>
        <v>0</v>
      </c>
    </row>
    <row r="40" customFormat="false" ht="14.25" hidden="false" customHeight="true" outlineLevel="0" collapsed="false">
      <c r="A40" s="3" t="s">
        <v>29</v>
      </c>
      <c r="B40" s="3" t="n">
        <v>10</v>
      </c>
      <c r="C40" s="3" t="s">
        <v>65</v>
      </c>
      <c r="D40" s="3" t="s">
        <v>39</v>
      </c>
      <c r="E40" s="3" t="n">
        <v>3</v>
      </c>
      <c r="F40" s="3" t="s">
        <v>63</v>
      </c>
      <c r="G40" s="3" t="s">
        <v>64</v>
      </c>
      <c r="H40" s="3" t="s">
        <v>42</v>
      </c>
      <c r="I40" s="4" t="n">
        <v>0.36</v>
      </c>
      <c r="J40" s="4" t="n">
        <v>0.1</v>
      </c>
      <c r="K40" s="4" t="n">
        <v>2</v>
      </c>
      <c r="L40" s="4" t="n">
        <f aca="false">I40*J40</f>
        <v>0.036</v>
      </c>
      <c r="M40" s="4" t="n">
        <f aca="false">MIN(1,I40*J40*K40)</f>
        <v>0.072</v>
      </c>
      <c r="N40" s="4" t="n">
        <f aca="false">N39*M40</f>
        <v>0.000559872</v>
      </c>
      <c r="O40" s="4" t="n">
        <f aca="false">'Settings '!$B$8</f>
        <v>0.1</v>
      </c>
      <c r="P40" s="4" t="n">
        <f aca="false">MIN(1,I40*O40*K40)</f>
        <v>0.072</v>
      </c>
      <c r="Q40" s="4" t="n">
        <f aca="false">Q39*P40</f>
        <v>0.000559872</v>
      </c>
      <c r="R40" s="4" t="n">
        <f aca="false">'Settings '!$B$9</f>
        <v>0.9</v>
      </c>
      <c r="S40" s="4" t="n">
        <f aca="false">MIN(1,I40*R40*K40)</f>
        <v>0.648</v>
      </c>
      <c r="T40" s="4" t="n">
        <f aca="false">T39*S40</f>
        <v>0.314928</v>
      </c>
      <c r="U40" s="4" t="str">
        <f aca="false">IF(E40=4,N40,"")</f>
        <v/>
      </c>
      <c r="V40" s="4" t="str">
        <f aca="false">IF(E40=4,Q40,"")</f>
        <v/>
      </c>
      <c r="W40" s="4" t="str">
        <f aca="false">IF(E40=4,T40,"")</f>
        <v/>
      </c>
      <c r="X40" s="4" t="str">
        <f aca="false">IF(E40=4,IFERROR((LN(U40)-LN(V40))/(LN(W40)-LN(V40)),0),"")</f>
        <v/>
      </c>
      <c r="Y40" s="3" t="str">
        <f aca="false">IF(E40=4,IF(X40&gt;='Settings '!$B$7,"Risk A",IF(X40&gt;='Settings '!$B$6,"Risk B","Risk C")),"")</f>
        <v/>
      </c>
      <c r="Z40" s="3" t="n">
        <f aca="false">IF(Y40="Risk B",1,0)</f>
        <v>0</v>
      </c>
      <c r="AA40" s="3" t="n">
        <f aca="false">IF(J40&gt;='Settings '!$B$10,1,0)</f>
        <v>0</v>
      </c>
      <c r="AB40" s="3" t="n">
        <f aca="false">IF(M40&gt;='Settings '!$B$11,1,0)</f>
        <v>0</v>
      </c>
      <c r="AC40" s="4" t="n">
        <f aca="false">ABS(M40-MIN(1,I40*J40*K40))</f>
        <v>0</v>
      </c>
    </row>
    <row r="41" customFormat="false" ht="14.25" hidden="false" customHeight="true" outlineLevel="0" collapsed="false">
      <c r="A41" s="3" t="s">
        <v>29</v>
      </c>
      <c r="B41" s="3" t="n">
        <v>10</v>
      </c>
      <c r="C41" s="3" t="s">
        <v>65</v>
      </c>
      <c r="D41" s="3" t="s">
        <v>43</v>
      </c>
      <c r="E41" s="3" t="n">
        <v>4</v>
      </c>
      <c r="F41" s="3" t="s">
        <v>48</v>
      </c>
      <c r="G41" s="3" t="s">
        <v>49</v>
      </c>
      <c r="H41" s="3" t="s">
        <v>46</v>
      </c>
      <c r="I41" s="4" t="n">
        <v>0.72</v>
      </c>
      <c r="J41" s="4" t="n">
        <v>0.28</v>
      </c>
      <c r="K41" s="4" t="n">
        <v>2</v>
      </c>
      <c r="L41" s="4" t="n">
        <f aca="false">I41*J41</f>
        <v>0.2016</v>
      </c>
      <c r="M41" s="4" t="n">
        <f aca="false">MIN(1,I41*J41*K41)</f>
        <v>0.4032</v>
      </c>
      <c r="N41" s="4" t="n">
        <f aca="false">N40*M41</f>
        <v>0.0002257403904</v>
      </c>
      <c r="O41" s="4" t="n">
        <f aca="false">'Settings '!$B$8</f>
        <v>0.1</v>
      </c>
      <c r="P41" s="4" t="n">
        <f aca="false">MIN(1,I41*O41*K41)</f>
        <v>0.144</v>
      </c>
      <c r="Q41" s="4" t="n">
        <f aca="false">Q40*P41</f>
        <v>8.0621568E-005</v>
      </c>
      <c r="R41" s="4" t="n">
        <f aca="false">'Settings '!$B$9</f>
        <v>0.9</v>
      </c>
      <c r="S41" s="4" t="n">
        <f aca="false">MIN(1,I41*R41*K41)</f>
        <v>1</v>
      </c>
      <c r="T41" s="4" t="n">
        <f aca="false">T40*S41</f>
        <v>0.314928</v>
      </c>
      <c r="U41" s="4" t="n">
        <f aca="false">IF(E41=4,N41,"")</f>
        <v>0.0002257403904</v>
      </c>
      <c r="V41" s="4" t="n">
        <f aca="false">IF(E41=4,Q41,"")</f>
        <v>8.0621568E-005</v>
      </c>
      <c r="W41" s="4" t="n">
        <f aca="false">IF(E41=4,T41,"")</f>
        <v>0.314928</v>
      </c>
      <c r="X41" s="4" t="n">
        <f aca="false">IF(E41=4,IFERROR((LN(U41)-LN(V41))/(LN(W41)-LN(V41)),0),"")</f>
        <v>0.124495519473378</v>
      </c>
      <c r="Y41" s="3" t="str">
        <f aca="false">IF(E41=4,IF(X41&gt;='Settings '!$B$7,"Risk A",IF(X41&gt;='Settings '!$B$6,"Risk B","Risk C")),"")</f>
        <v>Risk C</v>
      </c>
      <c r="Z41" s="3" t="n">
        <f aca="false">IF(Y41="Risk B",1,0)</f>
        <v>0</v>
      </c>
      <c r="AA41" s="3" t="n">
        <f aca="false">IF(J41&gt;='Settings '!$B$10,1,0)</f>
        <v>1</v>
      </c>
      <c r="AB41" s="3" t="n">
        <f aca="false">IF(M41&gt;='Settings '!$B$11,1,0)</f>
        <v>1</v>
      </c>
      <c r="AC41" s="4" t="n">
        <f aca="false">ABS(M41-MIN(1,I41*J41*K41))</f>
        <v>0</v>
      </c>
    </row>
    <row r="42" customFormat="false" ht="25.5" hidden="false" customHeight="true" outlineLevel="0" collapsed="false">
      <c r="A42" s="3" t="s">
        <v>29</v>
      </c>
      <c r="B42" s="3" t="n">
        <v>11</v>
      </c>
      <c r="C42" s="3" t="s">
        <v>66</v>
      </c>
      <c r="D42" s="3" t="s">
        <v>31</v>
      </c>
      <c r="E42" s="3" t="n">
        <v>1</v>
      </c>
      <c r="F42" s="3" t="s">
        <v>32</v>
      </c>
      <c r="G42" s="3" t="s">
        <v>33</v>
      </c>
      <c r="H42" s="3" t="s">
        <v>34</v>
      </c>
      <c r="I42" s="4" t="n">
        <v>0.72</v>
      </c>
      <c r="J42" s="4" t="n">
        <v>0.1</v>
      </c>
      <c r="K42" s="4" t="n">
        <v>2</v>
      </c>
      <c r="L42" s="4" t="n">
        <f aca="false">I42*J42</f>
        <v>0.072</v>
      </c>
      <c r="M42" s="4" t="n">
        <f aca="false">MIN(1,I42*J42*K42)</f>
        <v>0.144</v>
      </c>
      <c r="N42" s="4" t="n">
        <f aca="false">M42</f>
        <v>0.144</v>
      </c>
      <c r="O42" s="4" t="n">
        <f aca="false">'Settings '!$B$8</f>
        <v>0.1</v>
      </c>
      <c r="P42" s="4" t="n">
        <f aca="false">MIN(1,I42*O42*K42)</f>
        <v>0.144</v>
      </c>
      <c r="Q42" s="4" t="n">
        <f aca="false">P42</f>
        <v>0.144</v>
      </c>
      <c r="R42" s="4" t="n">
        <f aca="false">'Settings '!$B$9</f>
        <v>0.9</v>
      </c>
      <c r="S42" s="4" t="n">
        <f aca="false">MIN(1,I42*R42*K42)</f>
        <v>1</v>
      </c>
      <c r="T42" s="4" t="n">
        <f aca="false">S42</f>
        <v>1</v>
      </c>
      <c r="U42" s="4" t="str">
        <f aca="false">IF(E42=4,N42,"")</f>
        <v/>
      </c>
      <c r="V42" s="4" t="str">
        <f aca="false">IF(E42=4,Q42,"")</f>
        <v/>
      </c>
      <c r="W42" s="4" t="str">
        <f aca="false">IF(E42=4,T42,"")</f>
        <v/>
      </c>
      <c r="X42" s="4" t="str">
        <f aca="false">IF(E42=4,IFERROR((LN(U42)-LN(V42))/(LN(W42)-LN(V42)),0),"")</f>
        <v/>
      </c>
      <c r="Y42" s="3" t="str">
        <f aca="false">IF(E42=4,IF(X42&gt;='Settings '!$B$7,"Risk A",IF(X42&gt;='Settings '!$B$6,"Risk B","Risk C")),"")</f>
        <v/>
      </c>
      <c r="Z42" s="3" t="n">
        <f aca="false">IF(Y42="Risk B",1,0)</f>
        <v>0</v>
      </c>
      <c r="AA42" s="3" t="n">
        <f aca="false">IF(J42&gt;='Settings '!$B$10,1,0)</f>
        <v>0</v>
      </c>
      <c r="AB42" s="3" t="n">
        <f aca="false">IF(M42&gt;='Settings '!$B$11,1,0)</f>
        <v>0</v>
      </c>
      <c r="AC42" s="4" t="n">
        <f aca="false">ABS(M42-MIN(1,I42*J42*K42))</f>
        <v>0</v>
      </c>
    </row>
    <row r="43" customFormat="false" ht="14.25" hidden="false" customHeight="true" outlineLevel="0" collapsed="false">
      <c r="A43" s="3" t="s">
        <v>29</v>
      </c>
      <c r="B43" s="3" t="n">
        <v>11</v>
      </c>
      <c r="C43" s="3" t="s">
        <v>66</v>
      </c>
      <c r="D43" s="3" t="s">
        <v>35</v>
      </c>
      <c r="E43" s="3" t="n">
        <v>2</v>
      </c>
      <c r="F43" s="3" t="s">
        <v>36</v>
      </c>
      <c r="G43" s="3" t="s">
        <v>37</v>
      </c>
      <c r="H43" s="3" t="s">
        <v>38</v>
      </c>
      <c r="I43" s="4" t="n">
        <v>0.36</v>
      </c>
      <c r="J43" s="4" t="n">
        <v>0.1</v>
      </c>
      <c r="K43" s="4" t="n">
        <v>1.5</v>
      </c>
      <c r="L43" s="4" t="n">
        <f aca="false">I43*J43</f>
        <v>0.036</v>
      </c>
      <c r="M43" s="4" t="n">
        <f aca="false">MIN(1,I43*J43*K43)</f>
        <v>0.054</v>
      </c>
      <c r="N43" s="4" t="n">
        <f aca="false">N42*M43</f>
        <v>0.007776</v>
      </c>
      <c r="O43" s="4" t="n">
        <f aca="false">'Settings '!$B$8</f>
        <v>0.1</v>
      </c>
      <c r="P43" s="4" t="n">
        <f aca="false">MIN(1,I43*O43*K43)</f>
        <v>0.054</v>
      </c>
      <c r="Q43" s="4" t="n">
        <f aca="false">Q42*P43</f>
        <v>0.007776</v>
      </c>
      <c r="R43" s="4" t="n">
        <f aca="false">'Settings '!$B$9</f>
        <v>0.9</v>
      </c>
      <c r="S43" s="4" t="n">
        <f aca="false">MIN(1,I43*R43*K43)</f>
        <v>0.486</v>
      </c>
      <c r="T43" s="4" t="n">
        <f aca="false">T42*S43</f>
        <v>0.486</v>
      </c>
      <c r="U43" s="4" t="str">
        <f aca="false">IF(E43=4,N43,"")</f>
        <v/>
      </c>
      <c r="V43" s="4" t="str">
        <f aca="false">IF(E43=4,Q43,"")</f>
        <v/>
      </c>
      <c r="W43" s="4" t="str">
        <f aca="false">IF(E43=4,T43,"")</f>
        <v/>
      </c>
      <c r="X43" s="4" t="str">
        <f aca="false">IF(E43=4,IFERROR((LN(U43)-LN(V43))/(LN(W43)-LN(V43)),0),"")</f>
        <v/>
      </c>
      <c r="Y43" s="3" t="str">
        <f aca="false">IF(E43=4,IF(X43&gt;='Settings '!$B$7,"Risk A",IF(X43&gt;='Settings '!$B$6,"Risk B","Risk C")),"")</f>
        <v/>
      </c>
      <c r="Z43" s="3" t="n">
        <f aca="false">IF(Y43="Risk B",1,0)</f>
        <v>0</v>
      </c>
      <c r="AA43" s="3" t="n">
        <f aca="false">IF(J43&gt;='Settings '!$B$10,1,0)</f>
        <v>0</v>
      </c>
      <c r="AB43" s="3" t="n">
        <f aca="false">IF(M43&gt;='Settings '!$B$11,1,0)</f>
        <v>0</v>
      </c>
      <c r="AC43" s="4" t="n">
        <f aca="false">ABS(M43-MIN(1,I43*J43*K43))</f>
        <v>0</v>
      </c>
    </row>
    <row r="44" customFormat="false" ht="14.25" hidden="false" customHeight="true" outlineLevel="0" collapsed="false">
      <c r="A44" s="3" t="s">
        <v>29</v>
      </c>
      <c r="B44" s="3" t="n">
        <v>11</v>
      </c>
      <c r="C44" s="3" t="s">
        <v>66</v>
      </c>
      <c r="D44" s="3" t="s">
        <v>39</v>
      </c>
      <c r="E44" s="3" t="n">
        <v>3</v>
      </c>
      <c r="F44" s="3" t="s">
        <v>63</v>
      </c>
      <c r="G44" s="3" t="s">
        <v>64</v>
      </c>
      <c r="H44" s="3" t="s">
        <v>42</v>
      </c>
      <c r="I44" s="4" t="n">
        <v>0.36</v>
      </c>
      <c r="J44" s="4" t="n">
        <v>0.1</v>
      </c>
      <c r="K44" s="4" t="n">
        <v>2</v>
      </c>
      <c r="L44" s="4" t="n">
        <f aca="false">I44*J44</f>
        <v>0.036</v>
      </c>
      <c r="M44" s="4" t="n">
        <f aca="false">MIN(1,I44*J44*K44)</f>
        <v>0.072</v>
      </c>
      <c r="N44" s="4" t="n">
        <f aca="false">N43*M44</f>
        <v>0.000559872</v>
      </c>
      <c r="O44" s="4" t="n">
        <f aca="false">'Settings '!$B$8</f>
        <v>0.1</v>
      </c>
      <c r="P44" s="4" t="n">
        <f aca="false">MIN(1,I44*O44*K44)</f>
        <v>0.072</v>
      </c>
      <c r="Q44" s="4" t="n">
        <f aca="false">Q43*P44</f>
        <v>0.000559872</v>
      </c>
      <c r="R44" s="4" t="n">
        <f aca="false">'Settings '!$B$9</f>
        <v>0.9</v>
      </c>
      <c r="S44" s="4" t="n">
        <f aca="false">MIN(1,I44*R44*K44)</f>
        <v>0.648</v>
      </c>
      <c r="T44" s="4" t="n">
        <f aca="false">T43*S44</f>
        <v>0.314928</v>
      </c>
      <c r="U44" s="4" t="str">
        <f aca="false">IF(E44=4,N44,"")</f>
        <v/>
      </c>
      <c r="V44" s="4" t="str">
        <f aca="false">IF(E44=4,Q44,"")</f>
        <v/>
      </c>
      <c r="W44" s="4" t="str">
        <f aca="false">IF(E44=4,T44,"")</f>
        <v/>
      </c>
      <c r="X44" s="4" t="str">
        <f aca="false">IF(E44=4,IFERROR((LN(U44)-LN(V44))/(LN(W44)-LN(V44)),0),"")</f>
        <v/>
      </c>
      <c r="Y44" s="3" t="str">
        <f aca="false">IF(E44=4,IF(X44&gt;='Settings '!$B$7,"Risk A",IF(X44&gt;='Settings '!$B$6,"Risk B","Risk C")),"")</f>
        <v/>
      </c>
      <c r="Z44" s="3" t="n">
        <f aca="false">IF(Y44="Risk B",1,0)</f>
        <v>0</v>
      </c>
      <c r="AA44" s="3" t="n">
        <f aca="false">IF(J44&gt;='Settings '!$B$10,1,0)</f>
        <v>0</v>
      </c>
      <c r="AB44" s="3" t="n">
        <f aca="false">IF(M44&gt;='Settings '!$B$11,1,0)</f>
        <v>0</v>
      </c>
      <c r="AC44" s="4" t="n">
        <f aca="false">ABS(M44-MIN(1,I44*J44*K44))</f>
        <v>0</v>
      </c>
    </row>
    <row r="45" customFormat="false" ht="14.25" hidden="false" customHeight="true" outlineLevel="0" collapsed="false">
      <c r="A45" s="3" t="s">
        <v>29</v>
      </c>
      <c r="B45" s="3" t="n">
        <v>11</v>
      </c>
      <c r="C45" s="3" t="s">
        <v>66</v>
      </c>
      <c r="D45" s="3" t="s">
        <v>43</v>
      </c>
      <c r="E45" s="3" t="n">
        <v>4</v>
      </c>
      <c r="F45" s="3" t="s">
        <v>51</v>
      </c>
      <c r="G45" s="3" t="s">
        <v>52</v>
      </c>
      <c r="H45" s="3" t="s">
        <v>46</v>
      </c>
      <c r="I45" s="4" t="n">
        <v>0.18</v>
      </c>
      <c r="J45" s="4" t="n">
        <v>0.28</v>
      </c>
      <c r="K45" s="4" t="n">
        <v>2</v>
      </c>
      <c r="L45" s="4" t="n">
        <f aca="false">I45*J45</f>
        <v>0.0504</v>
      </c>
      <c r="M45" s="4" t="n">
        <f aca="false">MIN(1,I45*J45*K45)</f>
        <v>0.1008</v>
      </c>
      <c r="N45" s="4" t="n">
        <f aca="false">N44*M45</f>
        <v>5.64350976E-005</v>
      </c>
      <c r="O45" s="4" t="n">
        <f aca="false">'Settings '!$B$8</f>
        <v>0.1</v>
      </c>
      <c r="P45" s="4" t="n">
        <f aca="false">MIN(1,I45*O45*K45)</f>
        <v>0.036</v>
      </c>
      <c r="Q45" s="4" t="n">
        <f aca="false">Q44*P45</f>
        <v>2.0155392E-005</v>
      </c>
      <c r="R45" s="4" t="n">
        <f aca="false">'Settings '!$B$9</f>
        <v>0.9</v>
      </c>
      <c r="S45" s="4" t="n">
        <f aca="false">MIN(1,I45*R45*K45)</f>
        <v>0.324</v>
      </c>
      <c r="T45" s="4" t="n">
        <f aca="false">T44*S45</f>
        <v>0.102036672</v>
      </c>
      <c r="U45" s="4" t="n">
        <f aca="false">IF(E45=4,N45,"")</f>
        <v>5.64350976E-005</v>
      </c>
      <c r="V45" s="4" t="n">
        <f aca="false">IF(E45=4,Q45,"")</f>
        <v>2.0155392E-005</v>
      </c>
      <c r="W45" s="4" t="n">
        <f aca="false">IF(E45=4,T45,"")</f>
        <v>0.102036672</v>
      </c>
      <c r="X45" s="4" t="n">
        <f aca="false">IF(E45=4,IFERROR((LN(U45)-LN(V45))/(LN(W45)-LN(V45)),0),"")</f>
        <v>0.120711114312368</v>
      </c>
      <c r="Y45" s="3" t="str">
        <f aca="false">IF(E45=4,IF(X45&gt;='Settings '!$B$7,"Risk A",IF(X45&gt;='Settings '!$B$6,"Risk B","Risk C")),"")</f>
        <v>Risk C</v>
      </c>
      <c r="Z45" s="3" t="n">
        <f aca="false">IF(Y45="Risk B",1,0)</f>
        <v>0</v>
      </c>
      <c r="AA45" s="3" t="n">
        <f aca="false">IF(J45&gt;='Settings '!$B$10,1,0)</f>
        <v>1</v>
      </c>
      <c r="AB45" s="3" t="n">
        <f aca="false">IF(M45&gt;='Settings '!$B$11,1,0)</f>
        <v>0</v>
      </c>
      <c r="AC45" s="4" t="n">
        <f aca="false">ABS(M45-MIN(1,I45*J45*K45))</f>
        <v>0</v>
      </c>
    </row>
    <row r="46" customFormat="false" ht="25.5" hidden="false" customHeight="true" outlineLevel="0" collapsed="false">
      <c r="A46" s="3" t="s">
        <v>29</v>
      </c>
      <c r="B46" s="3" t="n">
        <v>12</v>
      </c>
      <c r="C46" s="3" t="s">
        <v>67</v>
      </c>
      <c r="D46" s="3" t="s">
        <v>31</v>
      </c>
      <c r="E46" s="3" t="n">
        <v>1</v>
      </c>
      <c r="F46" s="3" t="s">
        <v>32</v>
      </c>
      <c r="G46" s="3" t="s">
        <v>33</v>
      </c>
      <c r="H46" s="3" t="s">
        <v>34</v>
      </c>
      <c r="I46" s="4" t="n">
        <v>0.72</v>
      </c>
      <c r="J46" s="4" t="n">
        <v>0.1</v>
      </c>
      <c r="K46" s="4" t="n">
        <v>2</v>
      </c>
      <c r="L46" s="4" t="n">
        <f aca="false">I46*J46</f>
        <v>0.072</v>
      </c>
      <c r="M46" s="4" t="n">
        <f aca="false">MIN(1,I46*J46*K46)</f>
        <v>0.144</v>
      </c>
      <c r="N46" s="4" t="n">
        <f aca="false">M46</f>
        <v>0.144</v>
      </c>
      <c r="O46" s="4" t="n">
        <f aca="false">'Settings '!$B$8</f>
        <v>0.1</v>
      </c>
      <c r="P46" s="4" t="n">
        <f aca="false">MIN(1,I46*O46*K46)</f>
        <v>0.144</v>
      </c>
      <c r="Q46" s="4" t="n">
        <f aca="false">P46</f>
        <v>0.144</v>
      </c>
      <c r="R46" s="4" t="n">
        <f aca="false">'Settings '!$B$9</f>
        <v>0.9</v>
      </c>
      <c r="S46" s="4" t="n">
        <f aca="false">MIN(1,I46*R46*K46)</f>
        <v>1</v>
      </c>
      <c r="T46" s="4" t="n">
        <f aca="false">S46</f>
        <v>1</v>
      </c>
      <c r="U46" s="4" t="str">
        <f aca="false">IF(E46=4,N46,"")</f>
        <v/>
      </c>
      <c r="V46" s="4" t="str">
        <f aca="false">IF(E46=4,Q46,"")</f>
        <v/>
      </c>
      <c r="W46" s="4" t="str">
        <f aca="false">IF(E46=4,T46,"")</f>
        <v/>
      </c>
      <c r="X46" s="4" t="str">
        <f aca="false">IF(E46=4,IFERROR((LN(U46)-LN(V46))/(LN(W46)-LN(V46)),0),"")</f>
        <v/>
      </c>
      <c r="Y46" s="3" t="str">
        <f aca="false">IF(E46=4,IF(X46&gt;='Settings '!$B$7,"Risk A",IF(X46&gt;='Settings '!$B$6,"Risk B","Risk C")),"")</f>
        <v/>
      </c>
      <c r="Z46" s="3" t="n">
        <f aca="false">IF(Y46="Risk B",1,0)</f>
        <v>0</v>
      </c>
      <c r="AA46" s="3" t="n">
        <f aca="false">IF(J46&gt;='Settings '!$B$10,1,0)</f>
        <v>0</v>
      </c>
      <c r="AB46" s="3" t="n">
        <f aca="false">IF(M46&gt;='Settings '!$B$11,1,0)</f>
        <v>0</v>
      </c>
      <c r="AC46" s="4" t="n">
        <f aca="false">ABS(M46-MIN(1,I46*J46*K46))</f>
        <v>0</v>
      </c>
    </row>
    <row r="47" customFormat="false" ht="14.25" hidden="false" customHeight="true" outlineLevel="0" collapsed="false">
      <c r="A47" s="3" t="s">
        <v>29</v>
      </c>
      <c r="B47" s="3" t="n">
        <v>12</v>
      </c>
      <c r="C47" s="3" t="s">
        <v>67</v>
      </c>
      <c r="D47" s="3" t="s">
        <v>35</v>
      </c>
      <c r="E47" s="3" t="n">
        <v>2</v>
      </c>
      <c r="F47" s="3" t="s">
        <v>36</v>
      </c>
      <c r="G47" s="3" t="s">
        <v>37</v>
      </c>
      <c r="H47" s="3" t="s">
        <v>38</v>
      </c>
      <c r="I47" s="4" t="n">
        <v>0.36</v>
      </c>
      <c r="J47" s="4" t="n">
        <v>0.1</v>
      </c>
      <c r="K47" s="4" t="n">
        <v>1.5</v>
      </c>
      <c r="L47" s="4" t="n">
        <f aca="false">I47*J47</f>
        <v>0.036</v>
      </c>
      <c r="M47" s="4" t="n">
        <f aca="false">MIN(1,I47*J47*K47)</f>
        <v>0.054</v>
      </c>
      <c r="N47" s="4" t="n">
        <f aca="false">N46*M47</f>
        <v>0.007776</v>
      </c>
      <c r="O47" s="4" t="n">
        <f aca="false">'Settings '!$B$8</f>
        <v>0.1</v>
      </c>
      <c r="P47" s="4" t="n">
        <f aca="false">MIN(1,I47*O47*K47)</f>
        <v>0.054</v>
      </c>
      <c r="Q47" s="4" t="n">
        <f aca="false">Q46*P47</f>
        <v>0.007776</v>
      </c>
      <c r="R47" s="4" t="n">
        <f aca="false">'Settings '!$B$9</f>
        <v>0.9</v>
      </c>
      <c r="S47" s="4" t="n">
        <f aca="false">MIN(1,I47*R47*K47)</f>
        <v>0.486</v>
      </c>
      <c r="T47" s="4" t="n">
        <f aca="false">T46*S47</f>
        <v>0.486</v>
      </c>
      <c r="U47" s="4" t="str">
        <f aca="false">IF(E47=4,N47,"")</f>
        <v/>
      </c>
      <c r="V47" s="4" t="str">
        <f aca="false">IF(E47=4,Q47,"")</f>
        <v/>
      </c>
      <c r="W47" s="4" t="str">
        <f aca="false">IF(E47=4,T47,"")</f>
        <v/>
      </c>
      <c r="X47" s="4" t="str">
        <f aca="false">IF(E47=4,IFERROR((LN(U47)-LN(V47))/(LN(W47)-LN(V47)),0),"")</f>
        <v/>
      </c>
      <c r="Y47" s="3" t="str">
        <f aca="false">IF(E47=4,IF(X47&gt;='Settings '!$B$7,"Risk A",IF(X47&gt;='Settings '!$B$6,"Risk B","Risk C")),"")</f>
        <v/>
      </c>
      <c r="Z47" s="3" t="n">
        <f aca="false">IF(Y47="Risk B",1,0)</f>
        <v>0</v>
      </c>
      <c r="AA47" s="3" t="n">
        <f aca="false">IF(J47&gt;='Settings '!$B$10,1,0)</f>
        <v>0</v>
      </c>
      <c r="AB47" s="3" t="n">
        <f aca="false">IF(M47&gt;='Settings '!$B$11,1,0)</f>
        <v>0</v>
      </c>
      <c r="AC47" s="4" t="n">
        <f aca="false">ABS(M47-MIN(1,I47*J47*K47))</f>
        <v>0</v>
      </c>
    </row>
    <row r="48" customFormat="false" ht="14.25" hidden="false" customHeight="true" outlineLevel="0" collapsed="false">
      <c r="A48" s="3" t="s">
        <v>29</v>
      </c>
      <c r="B48" s="3" t="n">
        <v>12</v>
      </c>
      <c r="C48" s="3" t="s">
        <v>67</v>
      </c>
      <c r="D48" s="3" t="s">
        <v>39</v>
      </c>
      <c r="E48" s="3" t="n">
        <v>3</v>
      </c>
      <c r="F48" s="3" t="s">
        <v>63</v>
      </c>
      <c r="G48" s="3" t="s">
        <v>64</v>
      </c>
      <c r="H48" s="3" t="s">
        <v>42</v>
      </c>
      <c r="I48" s="4" t="n">
        <v>0.36</v>
      </c>
      <c r="J48" s="4" t="n">
        <v>0.1</v>
      </c>
      <c r="K48" s="4" t="n">
        <v>2</v>
      </c>
      <c r="L48" s="4" t="n">
        <f aca="false">I48*J48</f>
        <v>0.036</v>
      </c>
      <c r="M48" s="4" t="n">
        <f aca="false">MIN(1,I48*J48*K48)</f>
        <v>0.072</v>
      </c>
      <c r="N48" s="4" t="n">
        <f aca="false">N47*M48</f>
        <v>0.000559872</v>
      </c>
      <c r="O48" s="4" t="n">
        <f aca="false">'Settings '!$B$8</f>
        <v>0.1</v>
      </c>
      <c r="P48" s="4" t="n">
        <f aca="false">MIN(1,I48*O48*K48)</f>
        <v>0.072</v>
      </c>
      <c r="Q48" s="4" t="n">
        <f aca="false">Q47*P48</f>
        <v>0.000559872</v>
      </c>
      <c r="R48" s="4" t="n">
        <f aca="false">'Settings '!$B$9</f>
        <v>0.9</v>
      </c>
      <c r="S48" s="4" t="n">
        <f aca="false">MIN(1,I48*R48*K48)</f>
        <v>0.648</v>
      </c>
      <c r="T48" s="4" t="n">
        <f aca="false">T47*S48</f>
        <v>0.314928</v>
      </c>
      <c r="U48" s="4" t="str">
        <f aca="false">IF(E48=4,N48,"")</f>
        <v/>
      </c>
      <c r="V48" s="4" t="str">
        <f aca="false">IF(E48=4,Q48,"")</f>
        <v/>
      </c>
      <c r="W48" s="4" t="str">
        <f aca="false">IF(E48=4,T48,"")</f>
        <v/>
      </c>
      <c r="X48" s="4" t="str">
        <f aca="false">IF(E48=4,IFERROR((LN(U48)-LN(V48))/(LN(W48)-LN(V48)),0),"")</f>
        <v/>
      </c>
      <c r="Y48" s="3" t="str">
        <f aca="false">IF(E48=4,IF(X48&gt;='Settings '!$B$7,"Risk A",IF(X48&gt;='Settings '!$B$6,"Risk B","Risk C")),"")</f>
        <v/>
      </c>
      <c r="Z48" s="3" t="n">
        <f aca="false">IF(Y48="Risk B",1,0)</f>
        <v>0</v>
      </c>
      <c r="AA48" s="3" t="n">
        <f aca="false">IF(J48&gt;='Settings '!$B$10,1,0)</f>
        <v>0</v>
      </c>
      <c r="AB48" s="3" t="n">
        <f aca="false">IF(M48&gt;='Settings '!$B$11,1,0)</f>
        <v>0</v>
      </c>
      <c r="AC48" s="4" t="n">
        <f aca="false">ABS(M48-MIN(1,I48*J48*K48))</f>
        <v>0</v>
      </c>
    </row>
    <row r="49" customFormat="false" ht="14.25" hidden="false" customHeight="true" outlineLevel="0" collapsed="false">
      <c r="A49" s="3" t="s">
        <v>29</v>
      </c>
      <c r="B49" s="3" t="n">
        <v>12</v>
      </c>
      <c r="C49" s="3" t="s">
        <v>67</v>
      </c>
      <c r="D49" s="3" t="s">
        <v>43</v>
      </c>
      <c r="E49" s="3" t="n">
        <v>4</v>
      </c>
      <c r="F49" s="3" t="s">
        <v>54</v>
      </c>
      <c r="G49" s="3" t="s">
        <v>55</v>
      </c>
      <c r="H49" s="3" t="s">
        <v>46</v>
      </c>
      <c r="I49" s="4" t="n">
        <v>0.18</v>
      </c>
      <c r="J49" s="4" t="n">
        <v>0.28</v>
      </c>
      <c r="K49" s="4" t="n">
        <v>2</v>
      </c>
      <c r="L49" s="4" t="n">
        <f aca="false">I49*J49</f>
        <v>0.0504</v>
      </c>
      <c r="M49" s="4" t="n">
        <f aca="false">MIN(1,I49*J49*K49)</f>
        <v>0.1008</v>
      </c>
      <c r="N49" s="4" t="n">
        <f aca="false">N48*M49</f>
        <v>5.64350976E-005</v>
      </c>
      <c r="O49" s="4" t="n">
        <f aca="false">'Settings '!$B$8</f>
        <v>0.1</v>
      </c>
      <c r="P49" s="4" t="n">
        <f aca="false">MIN(1,I49*O49*K49)</f>
        <v>0.036</v>
      </c>
      <c r="Q49" s="4" t="n">
        <f aca="false">Q48*P49</f>
        <v>2.0155392E-005</v>
      </c>
      <c r="R49" s="4" t="n">
        <f aca="false">'Settings '!$B$9</f>
        <v>0.9</v>
      </c>
      <c r="S49" s="4" t="n">
        <f aca="false">MIN(1,I49*R49*K49)</f>
        <v>0.324</v>
      </c>
      <c r="T49" s="4" t="n">
        <f aca="false">T48*S49</f>
        <v>0.102036672</v>
      </c>
      <c r="U49" s="4" t="n">
        <f aca="false">IF(E49=4,N49,"")</f>
        <v>5.64350976E-005</v>
      </c>
      <c r="V49" s="4" t="n">
        <f aca="false">IF(E49=4,Q49,"")</f>
        <v>2.0155392E-005</v>
      </c>
      <c r="W49" s="4" t="n">
        <f aca="false">IF(E49=4,T49,"")</f>
        <v>0.102036672</v>
      </c>
      <c r="X49" s="4" t="n">
        <f aca="false">IF(E49=4,IFERROR((LN(U49)-LN(V49))/(LN(W49)-LN(V49)),0),"")</f>
        <v>0.120711114312368</v>
      </c>
      <c r="Y49" s="3" t="str">
        <f aca="false">IF(E49=4,IF(X49&gt;='Settings '!$B$7,"Risk A",IF(X49&gt;='Settings '!$B$6,"Risk B","Risk C")),"")</f>
        <v>Risk C</v>
      </c>
      <c r="Z49" s="3" t="n">
        <f aca="false">IF(Y49="Risk B",1,0)</f>
        <v>0</v>
      </c>
      <c r="AA49" s="3" t="n">
        <f aca="false">IF(J49&gt;='Settings '!$B$10,1,0)</f>
        <v>1</v>
      </c>
      <c r="AB49" s="3" t="n">
        <f aca="false">IF(M49&gt;='Settings '!$B$11,1,0)</f>
        <v>0</v>
      </c>
      <c r="AC49" s="4" t="n">
        <f aca="false">ABS(M49-MIN(1,I49*J49*K49))</f>
        <v>0</v>
      </c>
    </row>
    <row r="50" customFormat="false" ht="25.5" hidden="false" customHeight="true" outlineLevel="0" collapsed="false">
      <c r="A50" s="3" t="s">
        <v>29</v>
      </c>
      <c r="B50" s="3" t="n">
        <v>13</v>
      </c>
      <c r="C50" s="3" t="s">
        <v>68</v>
      </c>
      <c r="D50" s="3" t="s">
        <v>31</v>
      </c>
      <c r="E50" s="3" t="n">
        <v>1</v>
      </c>
      <c r="F50" s="3" t="s">
        <v>32</v>
      </c>
      <c r="G50" s="3" t="s">
        <v>33</v>
      </c>
      <c r="H50" s="3" t="s">
        <v>34</v>
      </c>
      <c r="I50" s="4" t="n">
        <v>0.72</v>
      </c>
      <c r="J50" s="4" t="n">
        <v>0.1</v>
      </c>
      <c r="K50" s="4" t="n">
        <v>2</v>
      </c>
      <c r="L50" s="4" t="n">
        <f aca="false">I50*J50</f>
        <v>0.072</v>
      </c>
      <c r="M50" s="4" t="n">
        <f aca="false">MIN(1,I50*J50*K50)</f>
        <v>0.144</v>
      </c>
      <c r="N50" s="4" t="n">
        <f aca="false">M50</f>
        <v>0.144</v>
      </c>
      <c r="O50" s="4" t="n">
        <f aca="false">'Settings '!$B$8</f>
        <v>0.1</v>
      </c>
      <c r="P50" s="4" t="n">
        <f aca="false">MIN(1,I50*O50*K50)</f>
        <v>0.144</v>
      </c>
      <c r="Q50" s="4" t="n">
        <f aca="false">P50</f>
        <v>0.144</v>
      </c>
      <c r="R50" s="4" t="n">
        <f aca="false">'Settings '!$B$9</f>
        <v>0.9</v>
      </c>
      <c r="S50" s="4" t="n">
        <f aca="false">MIN(1,I50*R50*K50)</f>
        <v>1</v>
      </c>
      <c r="T50" s="4" t="n">
        <f aca="false">S50</f>
        <v>1</v>
      </c>
      <c r="U50" s="4" t="str">
        <f aca="false">IF(E50=4,N50,"")</f>
        <v/>
      </c>
      <c r="V50" s="4" t="str">
        <f aca="false">IF(E50=4,Q50,"")</f>
        <v/>
      </c>
      <c r="W50" s="4" t="str">
        <f aca="false">IF(E50=4,T50,"")</f>
        <v/>
      </c>
      <c r="X50" s="4" t="str">
        <f aca="false">IF(E50=4,IFERROR((LN(U50)-LN(V50))/(LN(W50)-LN(V50)),0),"")</f>
        <v/>
      </c>
      <c r="Y50" s="3" t="str">
        <f aca="false">IF(E50=4,IF(X50&gt;='Settings '!$B$7,"Risk A",IF(X50&gt;='Settings '!$B$6,"Risk B","Risk C")),"")</f>
        <v/>
      </c>
      <c r="Z50" s="3" t="n">
        <f aca="false">IF(Y50="Risk B",1,0)</f>
        <v>0</v>
      </c>
      <c r="AA50" s="3" t="n">
        <f aca="false">IF(J50&gt;='Settings '!$B$10,1,0)</f>
        <v>0</v>
      </c>
      <c r="AB50" s="3" t="n">
        <f aca="false">IF(M50&gt;='Settings '!$B$11,1,0)</f>
        <v>0</v>
      </c>
      <c r="AC50" s="4" t="n">
        <f aca="false">ABS(M50-MIN(1,I50*J50*K50))</f>
        <v>0</v>
      </c>
    </row>
    <row r="51" customFormat="false" ht="14.25" hidden="false" customHeight="true" outlineLevel="0" collapsed="false">
      <c r="A51" s="3" t="s">
        <v>29</v>
      </c>
      <c r="B51" s="3" t="n">
        <v>13</v>
      </c>
      <c r="C51" s="3" t="s">
        <v>68</v>
      </c>
      <c r="D51" s="3" t="s">
        <v>35</v>
      </c>
      <c r="E51" s="3" t="n">
        <v>2</v>
      </c>
      <c r="F51" s="3" t="s">
        <v>36</v>
      </c>
      <c r="G51" s="3" t="s">
        <v>37</v>
      </c>
      <c r="H51" s="3" t="s">
        <v>38</v>
      </c>
      <c r="I51" s="4" t="n">
        <v>0.36</v>
      </c>
      <c r="J51" s="4" t="n">
        <v>0.1</v>
      </c>
      <c r="K51" s="4" t="n">
        <v>1.5</v>
      </c>
      <c r="L51" s="4" t="n">
        <f aca="false">I51*J51</f>
        <v>0.036</v>
      </c>
      <c r="M51" s="4" t="n">
        <f aca="false">MIN(1,I51*J51*K51)</f>
        <v>0.054</v>
      </c>
      <c r="N51" s="4" t="n">
        <f aca="false">N50*M51</f>
        <v>0.007776</v>
      </c>
      <c r="O51" s="4" t="n">
        <f aca="false">'Settings '!$B$8</f>
        <v>0.1</v>
      </c>
      <c r="P51" s="4" t="n">
        <f aca="false">MIN(1,I51*O51*K51)</f>
        <v>0.054</v>
      </c>
      <c r="Q51" s="4" t="n">
        <f aca="false">Q50*P51</f>
        <v>0.007776</v>
      </c>
      <c r="R51" s="4" t="n">
        <f aca="false">'Settings '!$B$9</f>
        <v>0.9</v>
      </c>
      <c r="S51" s="4" t="n">
        <f aca="false">MIN(1,I51*R51*K51)</f>
        <v>0.486</v>
      </c>
      <c r="T51" s="4" t="n">
        <f aca="false">T50*S51</f>
        <v>0.486</v>
      </c>
      <c r="U51" s="4" t="str">
        <f aca="false">IF(E51=4,N51,"")</f>
        <v/>
      </c>
      <c r="V51" s="4" t="str">
        <f aca="false">IF(E51=4,Q51,"")</f>
        <v/>
      </c>
      <c r="W51" s="4" t="str">
        <f aca="false">IF(E51=4,T51,"")</f>
        <v/>
      </c>
      <c r="X51" s="4" t="str">
        <f aca="false">IF(E51=4,IFERROR((LN(U51)-LN(V51))/(LN(W51)-LN(V51)),0),"")</f>
        <v/>
      </c>
      <c r="Y51" s="3" t="str">
        <f aca="false">IF(E51=4,IF(X51&gt;='Settings '!$B$7,"Risk A",IF(X51&gt;='Settings '!$B$6,"Risk B","Risk C")),"")</f>
        <v/>
      </c>
      <c r="Z51" s="3" t="n">
        <f aca="false">IF(Y51="Risk B",1,0)</f>
        <v>0</v>
      </c>
      <c r="AA51" s="3" t="n">
        <f aca="false">IF(J51&gt;='Settings '!$B$10,1,0)</f>
        <v>0</v>
      </c>
      <c r="AB51" s="3" t="n">
        <f aca="false">IF(M51&gt;='Settings '!$B$11,1,0)</f>
        <v>0</v>
      </c>
      <c r="AC51" s="4" t="n">
        <f aca="false">ABS(M51-MIN(1,I51*J51*K51))</f>
        <v>0</v>
      </c>
    </row>
    <row r="52" customFormat="false" ht="14.25" hidden="false" customHeight="true" outlineLevel="0" collapsed="false">
      <c r="A52" s="3" t="s">
        <v>29</v>
      </c>
      <c r="B52" s="3" t="n">
        <v>13</v>
      </c>
      <c r="C52" s="3" t="s">
        <v>68</v>
      </c>
      <c r="D52" s="3" t="s">
        <v>39</v>
      </c>
      <c r="E52" s="3" t="n">
        <v>3</v>
      </c>
      <c r="F52" s="3" t="s">
        <v>69</v>
      </c>
      <c r="G52" s="3" t="s">
        <v>70</v>
      </c>
      <c r="H52" s="3" t="s">
        <v>42</v>
      </c>
      <c r="I52" s="4" t="n">
        <v>0.36</v>
      </c>
      <c r="J52" s="4" t="n">
        <v>0.1</v>
      </c>
      <c r="K52" s="4" t="n">
        <v>2</v>
      </c>
      <c r="L52" s="4" t="n">
        <f aca="false">I52*J52</f>
        <v>0.036</v>
      </c>
      <c r="M52" s="4" t="n">
        <f aca="false">MIN(1,I52*J52*K52)</f>
        <v>0.072</v>
      </c>
      <c r="N52" s="4" t="n">
        <f aca="false">N51*M52</f>
        <v>0.000559872</v>
      </c>
      <c r="O52" s="4" t="n">
        <f aca="false">'Settings '!$B$8</f>
        <v>0.1</v>
      </c>
      <c r="P52" s="4" t="n">
        <f aca="false">MIN(1,I52*O52*K52)</f>
        <v>0.072</v>
      </c>
      <c r="Q52" s="4" t="n">
        <f aca="false">Q51*P52</f>
        <v>0.000559872</v>
      </c>
      <c r="R52" s="4" t="n">
        <f aca="false">'Settings '!$B$9</f>
        <v>0.9</v>
      </c>
      <c r="S52" s="4" t="n">
        <f aca="false">MIN(1,I52*R52*K52)</f>
        <v>0.648</v>
      </c>
      <c r="T52" s="4" t="n">
        <f aca="false">T51*S52</f>
        <v>0.314928</v>
      </c>
      <c r="U52" s="4" t="str">
        <f aca="false">IF(E52=4,N52,"")</f>
        <v/>
      </c>
      <c r="V52" s="4" t="str">
        <f aca="false">IF(E52=4,Q52,"")</f>
        <v/>
      </c>
      <c r="W52" s="4" t="str">
        <f aca="false">IF(E52=4,T52,"")</f>
        <v/>
      </c>
      <c r="X52" s="4" t="str">
        <f aca="false">IF(E52=4,IFERROR((LN(U52)-LN(V52))/(LN(W52)-LN(V52)),0),"")</f>
        <v/>
      </c>
      <c r="Y52" s="3" t="str">
        <f aca="false">IF(E52=4,IF(X52&gt;='Settings '!$B$7,"Risk A",IF(X52&gt;='Settings '!$B$6,"Risk B","Risk C")),"")</f>
        <v/>
      </c>
      <c r="Z52" s="3" t="n">
        <f aca="false">IF(Y52="Risk B",1,0)</f>
        <v>0</v>
      </c>
      <c r="AA52" s="3" t="n">
        <f aca="false">IF(J52&gt;='Settings '!$B$10,1,0)</f>
        <v>0</v>
      </c>
      <c r="AB52" s="3" t="n">
        <f aca="false">IF(M52&gt;='Settings '!$B$11,1,0)</f>
        <v>0</v>
      </c>
      <c r="AC52" s="4" t="n">
        <f aca="false">ABS(M52-MIN(1,I52*J52*K52))</f>
        <v>0</v>
      </c>
    </row>
    <row r="53" customFormat="false" ht="14.25" hidden="false" customHeight="true" outlineLevel="0" collapsed="false">
      <c r="A53" s="3" t="s">
        <v>29</v>
      </c>
      <c r="B53" s="3" t="n">
        <v>13</v>
      </c>
      <c r="C53" s="3" t="s">
        <v>68</v>
      </c>
      <c r="D53" s="3" t="s">
        <v>43</v>
      </c>
      <c r="E53" s="3" t="n">
        <v>4</v>
      </c>
      <c r="F53" s="3" t="s">
        <v>44</v>
      </c>
      <c r="G53" s="3" t="s">
        <v>45</v>
      </c>
      <c r="H53" s="3" t="s">
        <v>46</v>
      </c>
      <c r="I53" s="4" t="n">
        <v>0.9</v>
      </c>
      <c r="J53" s="4" t="n">
        <v>0.1</v>
      </c>
      <c r="K53" s="4" t="n">
        <v>2</v>
      </c>
      <c r="L53" s="4" t="n">
        <f aca="false">I53*J53</f>
        <v>0.09</v>
      </c>
      <c r="M53" s="4" t="n">
        <f aca="false">MIN(1,I53*J53*K53)</f>
        <v>0.18</v>
      </c>
      <c r="N53" s="4" t="n">
        <f aca="false">N52*M53</f>
        <v>0.00010077696</v>
      </c>
      <c r="O53" s="4" t="n">
        <f aca="false">'Settings '!$B$8</f>
        <v>0.1</v>
      </c>
      <c r="P53" s="4" t="n">
        <f aca="false">MIN(1,I53*O53*K53)</f>
        <v>0.18</v>
      </c>
      <c r="Q53" s="4" t="n">
        <f aca="false">Q52*P53</f>
        <v>0.00010077696</v>
      </c>
      <c r="R53" s="4" t="n">
        <f aca="false">'Settings '!$B$9</f>
        <v>0.9</v>
      </c>
      <c r="S53" s="4" t="n">
        <f aca="false">MIN(1,I53*R53*K53)</f>
        <v>1</v>
      </c>
      <c r="T53" s="4" t="n">
        <f aca="false">T52*S53</f>
        <v>0.314928</v>
      </c>
      <c r="U53" s="4" t="n">
        <f aca="false">IF(E53=4,N53,"")</f>
        <v>0.00010077696</v>
      </c>
      <c r="V53" s="4" t="n">
        <f aca="false">IF(E53=4,Q53,"")</f>
        <v>0.00010077696</v>
      </c>
      <c r="W53" s="4" t="n">
        <f aca="false">IF(E53=4,T53,"")</f>
        <v>0.314928</v>
      </c>
      <c r="X53" s="4" t="n">
        <f aca="false">IF(E53=4,IFERROR((LN(U53)-LN(V53))/(LN(W53)-LN(V53)),0),"")</f>
        <v>0</v>
      </c>
      <c r="Y53" s="3" t="str">
        <f aca="false">IF(E53=4,IF(X53&gt;='Settings '!$B$7,"Risk A",IF(X53&gt;='Settings '!$B$6,"Risk B","Risk C")),"")</f>
        <v>Risk C</v>
      </c>
      <c r="Z53" s="3" t="n">
        <f aca="false">IF(Y53="Risk B",1,0)</f>
        <v>0</v>
      </c>
      <c r="AA53" s="3" t="n">
        <f aca="false">IF(J53&gt;='Settings '!$B$10,1,0)</f>
        <v>0</v>
      </c>
      <c r="AB53" s="3" t="n">
        <f aca="false">IF(M53&gt;='Settings '!$B$11,1,0)</f>
        <v>0</v>
      </c>
      <c r="AC53" s="4" t="n">
        <f aca="false">ABS(M53-MIN(1,I53*J53*K53))</f>
        <v>0</v>
      </c>
    </row>
    <row r="54" customFormat="false" ht="25.5" hidden="false" customHeight="true" outlineLevel="0" collapsed="false">
      <c r="A54" s="3" t="s">
        <v>29</v>
      </c>
      <c r="B54" s="3" t="n">
        <v>14</v>
      </c>
      <c r="C54" s="3" t="s">
        <v>71</v>
      </c>
      <c r="D54" s="3" t="s">
        <v>31</v>
      </c>
      <c r="E54" s="3" t="n">
        <v>1</v>
      </c>
      <c r="F54" s="3" t="s">
        <v>32</v>
      </c>
      <c r="G54" s="3" t="s">
        <v>33</v>
      </c>
      <c r="H54" s="3" t="s">
        <v>34</v>
      </c>
      <c r="I54" s="4" t="n">
        <v>0.72</v>
      </c>
      <c r="J54" s="4" t="n">
        <v>0.1</v>
      </c>
      <c r="K54" s="4" t="n">
        <v>2</v>
      </c>
      <c r="L54" s="4" t="n">
        <f aca="false">I54*J54</f>
        <v>0.072</v>
      </c>
      <c r="M54" s="4" t="n">
        <f aca="false">MIN(1,I54*J54*K54)</f>
        <v>0.144</v>
      </c>
      <c r="N54" s="4" t="n">
        <f aca="false">M54</f>
        <v>0.144</v>
      </c>
      <c r="O54" s="4" t="n">
        <f aca="false">'Settings '!$B$8</f>
        <v>0.1</v>
      </c>
      <c r="P54" s="4" t="n">
        <f aca="false">MIN(1,I54*O54*K54)</f>
        <v>0.144</v>
      </c>
      <c r="Q54" s="4" t="n">
        <f aca="false">P54</f>
        <v>0.144</v>
      </c>
      <c r="R54" s="4" t="n">
        <f aca="false">'Settings '!$B$9</f>
        <v>0.9</v>
      </c>
      <c r="S54" s="4" t="n">
        <f aca="false">MIN(1,I54*R54*K54)</f>
        <v>1</v>
      </c>
      <c r="T54" s="4" t="n">
        <f aca="false">S54</f>
        <v>1</v>
      </c>
      <c r="U54" s="4" t="str">
        <f aca="false">IF(E54=4,N54,"")</f>
        <v/>
      </c>
      <c r="V54" s="4" t="str">
        <f aca="false">IF(E54=4,Q54,"")</f>
        <v/>
      </c>
      <c r="W54" s="4" t="str">
        <f aca="false">IF(E54=4,T54,"")</f>
        <v/>
      </c>
      <c r="X54" s="4" t="str">
        <f aca="false">IF(E54=4,IFERROR((LN(U54)-LN(V54))/(LN(W54)-LN(V54)),0),"")</f>
        <v/>
      </c>
      <c r="Y54" s="3" t="str">
        <f aca="false">IF(E54=4,IF(X54&gt;='Settings '!$B$7,"Risk A",IF(X54&gt;='Settings '!$B$6,"Risk B","Risk C")),"")</f>
        <v/>
      </c>
      <c r="Z54" s="3" t="n">
        <f aca="false">IF(Y54="Risk B",1,0)</f>
        <v>0</v>
      </c>
      <c r="AA54" s="3" t="n">
        <f aca="false">IF(J54&gt;='Settings '!$B$10,1,0)</f>
        <v>0</v>
      </c>
      <c r="AB54" s="3" t="n">
        <f aca="false">IF(M54&gt;='Settings '!$B$11,1,0)</f>
        <v>0</v>
      </c>
      <c r="AC54" s="4" t="n">
        <f aca="false">ABS(M54-MIN(1,I54*J54*K54))</f>
        <v>0</v>
      </c>
    </row>
    <row r="55" customFormat="false" ht="14.25" hidden="false" customHeight="true" outlineLevel="0" collapsed="false">
      <c r="A55" s="3" t="s">
        <v>29</v>
      </c>
      <c r="B55" s="3" t="n">
        <v>14</v>
      </c>
      <c r="C55" s="3" t="s">
        <v>71</v>
      </c>
      <c r="D55" s="3" t="s">
        <v>35</v>
      </c>
      <c r="E55" s="3" t="n">
        <v>2</v>
      </c>
      <c r="F55" s="3" t="s">
        <v>36</v>
      </c>
      <c r="G55" s="3" t="s">
        <v>37</v>
      </c>
      <c r="H55" s="3" t="s">
        <v>38</v>
      </c>
      <c r="I55" s="4" t="n">
        <v>0.36</v>
      </c>
      <c r="J55" s="4" t="n">
        <v>0.1</v>
      </c>
      <c r="K55" s="4" t="n">
        <v>1.5</v>
      </c>
      <c r="L55" s="4" t="n">
        <f aca="false">I55*J55</f>
        <v>0.036</v>
      </c>
      <c r="M55" s="4" t="n">
        <f aca="false">MIN(1,I55*J55*K55)</f>
        <v>0.054</v>
      </c>
      <c r="N55" s="4" t="n">
        <f aca="false">N54*M55</f>
        <v>0.007776</v>
      </c>
      <c r="O55" s="4" t="n">
        <f aca="false">'Settings '!$B$8</f>
        <v>0.1</v>
      </c>
      <c r="P55" s="4" t="n">
        <f aca="false">MIN(1,I55*O55*K55)</f>
        <v>0.054</v>
      </c>
      <c r="Q55" s="4" t="n">
        <f aca="false">Q54*P55</f>
        <v>0.007776</v>
      </c>
      <c r="R55" s="4" t="n">
        <f aca="false">'Settings '!$B$9</f>
        <v>0.9</v>
      </c>
      <c r="S55" s="4" t="n">
        <f aca="false">MIN(1,I55*R55*K55)</f>
        <v>0.486</v>
      </c>
      <c r="T55" s="4" t="n">
        <f aca="false">T54*S55</f>
        <v>0.486</v>
      </c>
      <c r="U55" s="4" t="str">
        <f aca="false">IF(E55=4,N55,"")</f>
        <v/>
      </c>
      <c r="V55" s="4" t="str">
        <f aca="false">IF(E55=4,Q55,"")</f>
        <v/>
      </c>
      <c r="W55" s="4" t="str">
        <f aca="false">IF(E55=4,T55,"")</f>
        <v/>
      </c>
      <c r="X55" s="4" t="str">
        <f aca="false">IF(E55=4,IFERROR((LN(U55)-LN(V55))/(LN(W55)-LN(V55)),0),"")</f>
        <v/>
      </c>
      <c r="Y55" s="3" t="str">
        <f aca="false">IF(E55=4,IF(X55&gt;='Settings '!$B$7,"Risk A",IF(X55&gt;='Settings '!$B$6,"Risk B","Risk C")),"")</f>
        <v/>
      </c>
      <c r="Z55" s="3" t="n">
        <f aca="false">IF(Y55="Risk B",1,0)</f>
        <v>0</v>
      </c>
      <c r="AA55" s="3" t="n">
        <f aca="false">IF(J55&gt;='Settings '!$B$10,1,0)</f>
        <v>0</v>
      </c>
      <c r="AB55" s="3" t="n">
        <f aca="false">IF(M55&gt;='Settings '!$B$11,1,0)</f>
        <v>0</v>
      </c>
      <c r="AC55" s="4" t="n">
        <f aca="false">ABS(M55-MIN(1,I55*J55*K55))</f>
        <v>0</v>
      </c>
    </row>
    <row r="56" customFormat="false" ht="14.25" hidden="false" customHeight="true" outlineLevel="0" collapsed="false">
      <c r="A56" s="3" t="s">
        <v>29</v>
      </c>
      <c r="B56" s="3" t="n">
        <v>14</v>
      </c>
      <c r="C56" s="3" t="s">
        <v>71</v>
      </c>
      <c r="D56" s="3" t="s">
        <v>39</v>
      </c>
      <c r="E56" s="3" t="n">
        <v>3</v>
      </c>
      <c r="F56" s="3" t="s">
        <v>69</v>
      </c>
      <c r="G56" s="3" t="s">
        <v>70</v>
      </c>
      <c r="H56" s="3" t="s">
        <v>42</v>
      </c>
      <c r="I56" s="4" t="n">
        <v>0.36</v>
      </c>
      <c r="J56" s="4" t="n">
        <v>0.1</v>
      </c>
      <c r="K56" s="4" t="n">
        <v>2</v>
      </c>
      <c r="L56" s="4" t="n">
        <f aca="false">I56*J56</f>
        <v>0.036</v>
      </c>
      <c r="M56" s="4" t="n">
        <f aca="false">MIN(1,I56*J56*K56)</f>
        <v>0.072</v>
      </c>
      <c r="N56" s="4" t="n">
        <f aca="false">N55*M56</f>
        <v>0.000559872</v>
      </c>
      <c r="O56" s="4" t="n">
        <f aca="false">'Settings '!$B$8</f>
        <v>0.1</v>
      </c>
      <c r="P56" s="4" t="n">
        <f aca="false">MIN(1,I56*O56*K56)</f>
        <v>0.072</v>
      </c>
      <c r="Q56" s="4" t="n">
        <f aca="false">Q55*P56</f>
        <v>0.000559872</v>
      </c>
      <c r="R56" s="4" t="n">
        <f aca="false">'Settings '!$B$9</f>
        <v>0.9</v>
      </c>
      <c r="S56" s="4" t="n">
        <f aca="false">MIN(1,I56*R56*K56)</f>
        <v>0.648</v>
      </c>
      <c r="T56" s="4" t="n">
        <f aca="false">T55*S56</f>
        <v>0.314928</v>
      </c>
      <c r="U56" s="4" t="str">
        <f aca="false">IF(E56=4,N56,"")</f>
        <v/>
      </c>
      <c r="V56" s="4" t="str">
        <f aca="false">IF(E56=4,Q56,"")</f>
        <v/>
      </c>
      <c r="W56" s="4" t="str">
        <f aca="false">IF(E56=4,T56,"")</f>
        <v/>
      </c>
      <c r="X56" s="4" t="str">
        <f aca="false">IF(E56=4,IFERROR((LN(U56)-LN(V56))/(LN(W56)-LN(V56)),0),"")</f>
        <v/>
      </c>
      <c r="Y56" s="3" t="str">
        <f aca="false">IF(E56=4,IF(X56&gt;='Settings '!$B$7,"Risk A",IF(X56&gt;='Settings '!$B$6,"Risk B","Risk C")),"")</f>
        <v/>
      </c>
      <c r="Z56" s="3" t="n">
        <f aca="false">IF(Y56="Risk B",1,0)</f>
        <v>0</v>
      </c>
      <c r="AA56" s="3" t="n">
        <f aca="false">IF(J56&gt;='Settings '!$B$10,1,0)</f>
        <v>0</v>
      </c>
      <c r="AB56" s="3" t="n">
        <f aca="false">IF(M56&gt;='Settings '!$B$11,1,0)</f>
        <v>0</v>
      </c>
      <c r="AC56" s="4" t="n">
        <f aca="false">ABS(M56-MIN(1,I56*J56*K56))</f>
        <v>0</v>
      </c>
    </row>
    <row r="57" customFormat="false" ht="14.25" hidden="false" customHeight="true" outlineLevel="0" collapsed="false">
      <c r="A57" s="3" t="s">
        <v>29</v>
      </c>
      <c r="B57" s="3" t="n">
        <v>14</v>
      </c>
      <c r="C57" s="3" t="s">
        <v>71</v>
      </c>
      <c r="D57" s="3" t="s">
        <v>43</v>
      </c>
      <c r="E57" s="3" t="n">
        <v>4</v>
      </c>
      <c r="F57" s="3" t="s">
        <v>48</v>
      </c>
      <c r="G57" s="3" t="s">
        <v>49</v>
      </c>
      <c r="H57" s="3" t="s">
        <v>46</v>
      </c>
      <c r="I57" s="4" t="n">
        <v>0.72</v>
      </c>
      <c r="J57" s="4" t="n">
        <v>0.28</v>
      </c>
      <c r="K57" s="4" t="n">
        <v>2</v>
      </c>
      <c r="L57" s="4" t="n">
        <f aca="false">I57*J57</f>
        <v>0.2016</v>
      </c>
      <c r="M57" s="4" t="n">
        <f aca="false">MIN(1,I57*J57*K57)</f>
        <v>0.4032</v>
      </c>
      <c r="N57" s="4" t="n">
        <f aca="false">N56*M57</f>
        <v>0.0002257403904</v>
      </c>
      <c r="O57" s="4" t="n">
        <f aca="false">'Settings '!$B$8</f>
        <v>0.1</v>
      </c>
      <c r="P57" s="4" t="n">
        <f aca="false">MIN(1,I57*O57*K57)</f>
        <v>0.144</v>
      </c>
      <c r="Q57" s="4" t="n">
        <f aca="false">Q56*P57</f>
        <v>8.0621568E-005</v>
      </c>
      <c r="R57" s="4" t="n">
        <f aca="false">'Settings '!$B$9</f>
        <v>0.9</v>
      </c>
      <c r="S57" s="4" t="n">
        <f aca="false">MIN(1,I57*R57*K57)</f>
        <v>1</v>
      </c>
      <c r="T57" s="4" t="n">
        <f aca="false">T56*S57</f>
        <v>0.314928</v>
      </c>
      <c r="U57" s="4" t="n">
        <f aca="false">IF(E57=4,N57,"")</f>
        <v>0.0002257403904</v>
      </c>
      <c r="V57" s="4" t="n">
        <f aca="false">IF(E57=4,Q57,"")</f>
        <v>8.0621568E-005</v>
      </c>
      <c r="W57" s="4" t="n">
        <f aca="false">IF(E57=4,T57,"")</f>
        <v>0.314928</v>
      </c>
      <c r="X57" s="4" t="n">
        <f aca="false">IF(E57=4,IFERROR((LN(U57)-LN(V57))/(LN(W57)-LN(V57)),0),"")</f>
        <v>0.124495519473378</v>
      </c>
      <c r="Y57" s="3" t="str">
        <f aca="false">IF(E57=4,IF(X57&gt;='Settings '!$B$7,"Risk A",IF(X57&gt;='Settings '!$B$6,"Risk B","Risk C")),"")</f>
        <v>Risk C</v>
      </c>
      <c r="Z57" s="3" t="n">
        <f aca="false">IF(Y57="Risk B",1,0)</f>
        <v>0</v>
      </c>
      <c r="AA57" s="3" t="n">
        <f aca="false">IF(J57&gt;='Settings '!$B$10,1,0)</f>
        <v>1</v>
      </c>
      <c r="AB57" s="3" t="n">
        <f aca="false">IF(M57&gt;='Settings '!$B$11,1,0)</f>
        <v>1</v>
      </c>
      <c r="AC57" s="4" t="n">
        <f aca="false">ABS(M57-MIN(1,I57*J57*K57))</f>
        <v>0</v>
      </c>
    </row>
    <row r="58" customFormat="false" ht="25.5" hidden="false" customHeight="true" outlineLevel="0" collapsed="false">
      <c r="A58" s="3" t="s">
        <v>29</v>
      </c>
      <c r="B58" s="3" t="n">
        <v>15</v>
      </c>
      <c r="C58" s="3" t="s">
        <v>72</v>
      </c>
      <c r="D58" s="3" t="s">
        <v>31</v>
      </c>
      <c r="E58" s="3" t="n">
        <v>1</v>
      </c>
      <c r="F58" s="3" t="s">
        <v>32</v>
      </c>
      <c r="G58" s="3" t="s">
        <v>33</v>
      </c>
      <c r="H58" s="3" t="s">
        <v>34</v>
      </c>
      <c r="I58" s="4" t="n">
        <v>0.72</v>
      </c>
      <c r="J58" s="4" t="n">
        <v>0.1</v>
      </c>
      <c r="K58" s="4" t="n">
        <v>2</v>
      </c>
      <c r="L58" s="4" t="n">
        <f aca="false">I58*J58</f>
        <v>0.072</v>
      </c>
      <c r="M58" s="4" t="n">
        <f aca="false">MIN(1,I58*J58*K58)</f>
        <v>0.144</v>
      </c>
      <c r="N58" s="4" t="n">
        <f aca="false">M58</f>
        <v>0.144</v>
      </c>
      <c r="O58" s="4" t="n">
        <f aca="false">'Settings '!$B$8</f>
        <v>0.1</v>
      </c>
      <c r="P58" s="4" t="n">
        <f aca="false">MIN(1,I58*O58*K58)</f>
        <v>0.144</v>
      </c>
      <c r="Q58" s="4" t="n">
        <f aca="false">P58</f>
        <v>0.144</v>
      </c>
      <c r="R58" s="4" t="n">
        <f aca="false">'Settings '!$B$9</f>
        <v>0.9</v>
      </c>
      <c r="S58" s="4" t="n">
        <f aca="false">MIN(1,I58*R58*K58)</f>
        <v>1</v>
      </c>
      <c r="T58" s="4" t="n">
        <f aca="false">S58</f>
        <v>1</v>
      </c>
      <c r="U58" s="4" t="str">
        <f aca="false">IF(E58=4,N58,"")</f>
        <v/>
      </c>
      <c r="V58" s="4" t="str">
        <f aca="false">IF(E58=4,Q58,"")</f>
        <v/>
      </c>
      <c r="W58" s="4" t="str">
        <f aca="false">IF(E58=4,T58,"")</f>
        <v/>
      </c>
      <c r="X58" s="4" t="str">
        <f aca="false">IF(E58=4,IFERROR((LN(U58)-LN(V58))/(LN(W58)-LN(V58)),0),"")</f>
        <v/>
      </c>
      <c r="Y58" s="3" t="str">
        <f aca="false">IF(E58=4,IF(X58&gt;='Settings '!$B$7,"Risk A",IF(X58&gt;='Settings '!$B$6,"Risk B","Risk C")),"")</f>
        <v/>
      </c>
      <c r="Z58" s="3" t="n">
        <f aca="false">IF(Y58="Risk B",1,0)</f>
        <v>0</v>
      </c>
      <c r="AA58" s="3" t="n">
        <f aca="false">IF(J58&gt;='Settings '!$B$10,1,0)</f>
        <v>0</v>
      </c>
      <c r="AB58" s="3" t="n">
        <f aca="false">IF(M58&gt;='Settings '!$B$11,1,0)</f>
        <v>0</v>
      </c>
      <c r="AC58" s="4" t="n">
        <f aca="false">ABS(M58-MIN(1,I58*J58*K58))</f>
        <v>0</v>
      </c>
    </row>
    <row r="59" customFormat="false" ht="14.25" hidden="false" customHeight="true" outlineLevel="0" collapsed="false">
      <c r="A59" s="3" t="s">
        <v>29</v>
      </c>
      <c r="B59" s="3" t="n">
        <v>15</v>
      </c>
      <c r="C59" s="3" t="s">
        <v>72</v>
      </c>
      <c r="D59" s="3" t="s">
        <v>35</v>
      </c>
      <c r="E59" s="3" t="n">
        <v>2</v>
      </c>
      <c r="F59" s="3" t="s">
        <v>36</v>
      </c>
      <c r="G59" s="3" t="s">
        <v>37</v>
      </c>
      <c r="H59" s="3" t="s">
        <v>38</v>
      </c>
      <c r="I59" s="4" t="n">
        <v>0.36</v>
      </c>
      <c r="J59" s="4" t="n">
        <v>0.1</v>
      </c>
      <c r="K59" s="4" t="n">
        <v>1.5</v>
      </c>
      <c r="L59" s="4" t="n">
        <f aca="false">I59*J59</f>
        <v>0.036</v>
      </c>
      <c r="M59" s="4" t="n">
        <f aca="false">MIN(1,I59*J59*K59)</f>
        <v>0.054</v>
      </c>
      <c r="N59" s="4" t="n">
        <f aca="false">N58*M59</f>
        <v>0.007776</v>
      </c>
      <c r="O59" s="4" t="n">
        <f aca="false">'Settings '!$B$8</f>
        <v>0.1</v>
      </c>
      <c r="P59" s="4" t="n">
        <f aca="false">MIN(1,I59*O59*K59)</f>
        <v>0.054</v>
      </c>
      <c r="Q59" s="4" t="n">
        <f aca="false">Q58*P59</f>
        <v>0.007776</v>
      </c>
      <c r="R59" s="4" t="n">
        <f aca="false">'Settings '!$B$9</f>
        <v>0.9</v>
      </c>
      <c r="S59" s="4" t="n">
        <f aca="false">MIN(1,I59*R59*K59)</f>
        <v>0.486</v>
      </c>
      <c r="T59" s="4" t="n">
        <f aca="false">T58*S59</f>
        <v>0.486</v>
      </c>
      <c r="U59" s="4" t="str">
        <f aca="false">IF(E59=4,N59,"")</f>
        <v/>
      </c>
      <c r="V59" s="4" t="str">
        <f aca="false">IF(E59=4,Q59,"")</f>
        <v/>
      </c>
      <c r="W59" s="4" t="str">
        <f aca="false">IF(E59=4,T59,"")</f>
        <v/>
      </c>
      <c r="X59" s="4" t="str">
        <f aca="false">IF(E59=4,IFERROR((LN(U59)-LN(V59))/(LN(W59)-LN(V59)),0),"")</f>
        <v/>
      </c>
      <c r="Y59" s="3" t="str">
        <f aca="false">IF(E59=4,IF(X59&gt;='Settings '!$B$7,"Risk A",IF(X59&gt;='Settings '!$B$6,"Risk B","Risk C")),"")</f>
        <v/>
      </c>
      <c r="Z59" s="3" t="n">
        <f aca="false">IF(Y59="Risk B",1,0)</f>
        <v>0</v>
      </c>
      <c r="AA59" s="3" t="n">
        <f aca="false">IF(J59&gt;='Settings '!$B$10,1,0)</f>
        <v>0</v>
      </c>
      <c r="AB59" s="3" t="n">
        <f aca="false">IF(M59&gt;='Settings '!$B$11,1,0)</f>
        <v>0</v>
      </c>
      <c r="AC59" s="4" t="n">
        <f aca="false">ABS(M59-MIN(1,I59*J59*K59))</f>
        <v>0</v>
      </c>
    </row>
    <row r="60" customFormat="false" ht="14.25" hidden="false" customHeight="true" outlineLevel="0" collapsed="false">
      <c r="A60" s="3" t="s">
        <v>29</v>
      </c>
      <c r="B60" s="3" t="n">
        <v>15</v>
      </c>
      <c r="C60" s="3" t="s">
        <v>72</v>
      </c>
      <c r="D60" s="3" t="s">
        <v>39</v>
      </c>
      <c r="E60" s="3" t="n">
        <v>3</v>
      </c>
      <c r="F60" s="3" t="s">
        <v>69</v>
      </c>
      <c r="G60" s="3" t="s">
        <v>70</v>
      </c>
      <c r="H60" s="3" t="s">
        <v>42</v>
      </c>
      <c r="I60" s="4" t="n">
        <v>0.36</v>
      </c>
      <c r="J60" s="4" t="n">
        <v>0.1</v>
      </c>
      <c r="K60" s="4" t="n">
        <v>2</v>
      </c>
      <c r="L60" s="4" t="n">
        <f aca="false">I60*J60</f>
        <v>0.036</v>
      </c>
      <c r="M60" s="4" t="n">
        <f aca="false">MIN(1,I60*J60*K60)</f>
        <v>0.072</v>
      </c>
      <c r="N60" s="4" t="n">
        <f aca="false">N59*M60</f>
        <v>0.000559872</v>
      </c>
      <c r="O60" s="4" t="n">
        <f aca="false">'Settings '!$B$8</f>
        <v>0.1</v>
      </c>
      <c r="P60" s="4" t="n">
        <f aca="false">MIN(1,I60*O60*K60)</f>
        <v>0.072</v>
      </c>
      <c r="Q60" s="4" t="n">
        <f aca="false">Q59*P60</f>
        <v>0.000559872</v>
      </c>
      <c r="R60" s="4" t="n">
        <f aca="false">'Settings '!$B$9</f>
        <v>0.9</v>
      </c>
      <c r="S60" s="4" t="n">
        <f aca="false">MIN(1,I60*R60*K60)</f>
        <v>0.648</v>
      </c>
      <c r="T60" s="4" t="n">
        <f aca="false">T59*S60</f>
        <v>0.314928</v>
      </c>
      <c r="U60" s="4" t="str">
        <f aca="false">IF(E60=4,N60,"")</f>
        <v/>
      </c>
      <c r="V60" s="4" t="str">
        <f aca="false">IF(E60=4,Q60,"")</f>
        <v/>
      </c>
      <c r="W60" s="4" t="str">
        <f aca="false">IF(E60=4,T60,"")</f>
        <v/>
      </c>
      <c r="X60" s="4" t="str">
        <f aca="false">IF(E60=4,IFERROR((LN(U60)-LN(V60))/(LN(W60)-LN(V60)),0),"")</f>
        <v/>
      </c>
      <c r="Y60" s="3" t="str">
        <f aca="false">IF(E60=4,IF(X60&gt;='Settings '!$B$7,"Risk A",IF(X60&gt;='Settings '!$B$6,"Risk B","Risk C")),"")</f>
        <v/>
      </c>
      <c r="Z60" s="3" t="n">
        <f aca="false">IF(Y60="Risk B",1,0)</f>
        <v>0</v>
      </c>
      <c r="AA60" s="3" t="n">
        <f aca="false">IF(J60&gt;='Settings '!$B$10,1,0)</f>
        <v>0</v>
      </c>
      <c r="AB60" s="3" t="n">
        <f aca="false">IF(M60&gt;='Settings '!$B$11,1,0)</f>
        <v>0</v>
      </c>
      <c r="AC60" s="4" t="n">
        <f aca="false">ABS(M60-MIN(1,I60*J60*K60))</f>
        <v>0</v>
      </c>
    </row>
    <row r="61" customFormat="false" ht="14.25" hidden="false" customHeight="true" outlineLevel="0" collapsed="false">
      <c r="A61" s="3" t="s">
        <v>29</v>
      </c>
      <c r="B61" s="3" t="n">
        <v>15</v>
      </c>
      <c r="C61" s="3" t="s">
        <v>72</v>
      </c>
      <c r="D61" s="3" t="s">
        <v>43</v>
      </c>
      <c r="E61" s="3" t="n">
        <v>4</v>
      </c>
      <c r="F61" s="3" t="s">
        <v>51</v>
      </c>
      <c r="G61" s="3" t="s">
        <v>52</v>
      </c>
      <c r="H61" s="3" t="s">
        <v>46</v>
      </c>
      <c r="I61" s="4" t="n">
        <v>0.18</v>
      </c>
      <c r="J61" s="4" t="n">
        <v>0.28</v>
      </c>
      <c r="K61" s="4" t="n">
        <v>2</v>
      </c>
      <c r="L61" s="4" t="n">
        <f aca="false">I61*J61</f>
        <v>0.0504</v>
      </c>
      <c r="M61" s="4" t="n">
        <f aca="false">MIN(1,I61*J61*K61)</f>
        <v>0.1008</v>
      </c>
      <c r="N61" s="4" t="n">
        <f aca="false">N60*M61</f>
        <v>5.64350976E-005</v>
      </c>
      <c r="O61" s="4" t="n">
        <f aca="false">'Settings '!$B$8</f>
        <v>0.1</v>
      </c>
      <c r="P61" s="4" t="n">
        <f aca="false">MIN(1,I61*O61*K61)</f>
        <v>0.036</v>
      </c>
      <c r="Q61" s="4" t="n">
        <f aca="false">Q60*P61</f>
        <v>2.0155392E-005</v>
      </c>
      <c r="R61" s="4" t="n">
        <f aca="false">'Settings '!$B$9</f>
        <v>0.9</v>
      </c>
      <c r="S61" s="4" t="n">
        <f aca="false">MIN(1,I61*R61*K61)</f>
        <v>0.324</v>
      </c>
      <c r="T61" s="4" t="n">
        <f aca="false">T60*S61</f>
        <v>0.102036672</v>
      </c>
      <c r="U61" s="4" t="n">
        <f aca="false">IF(E61=4,N61,"")</f>
        <v>5.64350976E-005</v>
      </c>
      <c r="V61" s="4" t="n">
        <f aca="false">IF(E61=4,Q61,"")</f>
        <v>2.0155392E-005</v>
      </c>
      <c r="W61" s="4" t="n">
        <f aca="false">IF(E61=4,T61,"")</f>
        <v>0.102036672</v>
      </c>
      <c r="X61" s="4" t="n">
        <f aca="false">IF(E61=4,IFERROR((LN(U61)-LN(V61))/(LN(W61)-LN(V61)),0),"")</f>
        <v>0.120711114312368</v>
      </c>
      <c r="Y61" s="3" t="str">
        <f aca="false">IF(E61=4,IF(X61&gt;='Settings '!$B$7,"Risk A",IF(X61&gt;='Settings '!$B$6,"Risk B","Risk C")),"")</f>
        <v>Risk C</v>
      </c>
      <c r="Z61" s="3" t="n">
        <f aca="false">IF(Y61="Risk B",1,0)</f>
        <v>0</v>
      </c>
      <c r="AA61" s="3" t="n">
        <f aca="false">IF(J61&gt;='Settings '!$B$10,1,0)</f>
        <v>1</v>
      </c>
      <c r="AB61" s="3" t="n">
        <f aca="false">IF(M61&gt;='Settings '!$B$11,1,0)</f>
        <v>0</v>
      </c>
      <c r="AC61" s="4" t="n">
        <f aca="false">ABS(M61-MIN(1,I61*J61*K61))</f>
        <v>0</v>
      </c>
    </row>
    <row r="62" customFormat="false" ht="25.5" hidden="false" customHeight="true" outlineLevel="0" collapsed="false">
      <c r="A62" s="3" t="s">
        <v>29</v>
      </c>
      <c r="B62" s="3" t="n">
        <v>16</v>
      </c>
      <c r="C62" s="3" t="s">
        <v>73</v>
      </c>
      <c r="D62" s="3" t="s">
        <v>31</v>
      </c>
      <c r="E62" s="3" t="n">
        <v>1</v>
      </c>
      <c r="F62" s="3" t="s">
        <v>32</v>
      </c>
      <c r="G62" s="3" t="s">
        <v>33</v>
      </c>
      <c r="H62" s="3" t="s">
        <v>34</v>
      </c>
      <c r="I62" s="4" t="n">
        <v>0.72</v>
      </c>
      <c r="J62" s="4" t="n">
        <v>0.1</v>
      </c>
      <c r="K62" s="4" t="n">
        <v>2</v>
      </c>
      <c r="L62" s="4" t="n">
        <f aca="false">I62*J62</f>
        <v>0.072</v>
      </c>
      <c r="M62" s="4" t="n">
        <f aca="false">MIN(1,I62*J62*K62)</f>
        <v>0.144</v>
      </c>
      <c r="N62" s="4" t="n">
        <f aca="false">M62</f>
        <v>0.144</v>
      </c>
      <c r="O62" s="4" t="n">
        <f aca="false">'Settings '!$B$8</f>
        <v>0.1</v>
      </c>
      <c r="P62" s="4" t="n">
        <f aca="false">MIN(1,I62*O62*K62)</f>
        <v>0.144</v>
      </c>
      <c r="Q62" s="4" t="n">
        <f aca="false">P62</f>
        <v>0.144</v>
      </c>
      <c r="R62" s="4" t="n">
        <f aca="false">'Settings '!$B$9</f>
        <v>0.9</v>
      </c>
      <c r="S62" s="4" t="n">
        <f aca="false">MIN(1,I62*R62*K62)</f>
        <v>1</v>
      </c>
      <c r="T62" s="4" t="n">
        <f aca="false">S62</f>
        <v>1</v>
      </c>
      <c r="U62" s="4" t="str">
        <f aca="false">IF(E62=4,N62,"")</f>
        <v/>
      </c>
      <c r="V62" s="4" t="str">
        <f aca="false">IF(E62=4,Q62,"")</f>
        <v/>
      </c>
      <c r="W62" s="4" t="str">
        <f aca="false">IF(E62=4,T62,"")</f>
        <v/>
      </c>
      <c r="X62" s="4" t="str">
        <f aca="false">IF(E62=4,IFERROR((LN(U62)-LN(V62))/(LN(W62)-LN(V62)),0),"")</f>
        <v/>
      </c>
      <c r="Y62" s="3" t="str">
        <f aca="false">IF(E62=4,IF(X62&gt;='Settings '!$B$7,"Risk A",IF(X62&gt;='Settings '!$B$6,"Risk B","Risk C")),"")</f>
        <v/>
      </c>
      <c r="Z62" s="3" t="n">
        <f aca="false">IF(Y62="Risk B",1,0)</f>
        <v>0</v>
      </c>
      <c r="AA62" s="3" t="n">
        <f aca="false">IF(J62&gt;='Settings '!$B$10,1,0)</f>
        <v>0</v>
      </c>
      <c r="AB62" s="3" t="n">
        <f aca="false">IF(M62&gt;='Settings '!$B$11,1,0)</f>
        <v>0</v>
      </c>
      <c r="AC62" s="4" t="n">
        <f aca="false">ABS(M62-MIN(1,I62*J62*K62))</f>
        <v>0</v>
      </c>
    </row>
    <row r="63" customFormat="false" ht="14.25" hidden="false" customHeight="true" outlineLevel="0" collapsed="false">
      <c r="A63" s="3" t="s">
        <v>29</v>
      </c>
      <c r="B63" s="3" t="n">
        <v>16</v>
      </c>
      <c r="C63" s="3" t="s">
        <v>73</v>
      </c>
      <c r="D63" s="3" t="s">
        <v>35</v>
      </c>
      <c r="E63" s="3" t="n">
        <v>2</v>
      </c>
      <c r="F63" s="3" t="s">
        <v>36</v>
      </c>
      <c r="G63" s="3" t="s">
        <v>37</v>
      </c>
      <c r="H63" s="3" t="s">
        <v>38</v>
      </c>
      <c r="I63" s="4" t="n">
        <v>0.36</v>
      </c>
      <c r="J63" s="4" t="n">
        <v>0.1</v>
      </c>
      <c r="K63" s="4" t="n">
        <v>1.5</v>
      </c>
      <c r="L63" s="4" t="n">
        <f aca="false">I63*J63</f>
        <v>0.036</v>
      </c>
      <c r="M63" s="4" t="n">
        <f aca="false">MIN(1,I63*J63*K63)</f>
        <v>0.054</v>
      </c>
      <c r="N63" s="4" t="n">
        <f aca="false">N62*M63</f>
        <v>0.007776</v>
      </c>
      <c r="O63" s="4" t="n">
        <f aca="false">'Settings '!$B$8</f>
        <v>0.1</v>
      </c>
      <c r="P63" s="4" t="n">
        <f aca="false">MIN(1,I63*O63*K63)</f>
        <v>0.054</v>
      </c>
      <c r="Q63" s="4" t="n">
        <f aca="false">Q62*P63</f>
        <v>0.007776</v>
      </c>
      <c r="R63" s="4" t="n">
        <f aca="false">'Settings '!$B$9</f>
        <v>0.9</v>
      </c>
      <c r="S63" s="4" t="n">
        <f aca="false">MIN(1,I63*R63*K63)</f>
        <v>0.486</v>
      </c>
      <c r="T63" s="4" t="n">
        <f aca="false">T62*S63</f>
        <v>0.486</v>
      </c>
      <c r="U63" s="4" t="str">
        <f aca="false">IF(E63=4,N63,"")</f>
        <v/>
      </c>
      <c r="V63" s="4" t="str">
        <f aca="false">IF(E63=4,Q63,"")</f>
        <v/>
      </c>
      <c r="W63" s="4" t="str">
        <f aca="false">IF(E63=4,T63,"")</f>
        <v/>
      </c>
      <c r="X63" s="4" t="str">
        <f aca="false">IF(E63=4,IFERROR((LN(U63)-LN(V63))/(LN(W63)-LN(V63)),0),"")</f>
        <v/>
      </c>
      <c r="Y63" s="3" t="str">
        <f aca="false">IF(E63=4,IF(X63&gt;='Settings '!$B$7,"Risk A",IF(X63&gt;='Settings '!$B$6,"Risk B","Risk C")),"")</f>
        <v/>
      </c>
      <c r="Z63" s="3" t="n">
        <f aca="false">IF(Y63="Risk B",1,0)</f>
        <v>0</v>
      </c>
      <c r="AA63" s="3" t="n">
        <f aca="false">IF(J63&gt;='Settings '!$B$10,1,0)</f>
        <v>0</v>
      </c>
      <c r="AB63" s="3" t="n">
        <f aca="false">IF(M63&gt;='Settings '!$B$11,1,0)</f>
        <v>0</v>
      </c>
      <c r="AC63" s="4" t="n">
        <f aca="false">ABS(M63-MIN(1,I63*J63*K63))</f>
        <v>0</v>
      </c>
    </row>
    <row r="64" customFormat="false" ht="14.25" hidden="false" customHeight="true" outlineLevel="0" collapsed="false">
      <c r="A64" s="3" t="s">
        <v>29</v>
      </c>
      <c r="B64" s="3" t="n">
        <v>16</v>
      </c>
      <c r="C64" s="3" t="s">
        <v>73</v>
      </c>
      <c r="D64" s="3" t="s">
        <v>39</v>
      </c>
      <c r="E64" s="3" t="n">
        <v>3</v>
      </c>
      <c r="F64" s="3" t="s">
        <v>69</v>
      </c>
      <c r="G64" s="3" t="s">
        <v>70</v>
      </c>
      <c r="H64" s="3" t="s">
        <v>42</v>
      </c>
      <c r="I64" s="4" t="n">
        <v>0.36</v>
      </c>
      <c r="J64" s="4" t="n">
        <v>0.1</v>
      </c>
      <c r="K64" s="4" t="n">
        <v>2</v>
      </c>
      <c r="L64" s="4" t="n">
        <f aca="false">I64*J64</f>
        <v>0.036</v>
      </c>
      <c r="M64" s="4" t="n">
        <f aca="false">MIN(1,I64*J64*K64)</f>
        <v>0.072</v>
      </c>
      <c r="N64" s="4" t="n">
        <f aca="false">N63*M64</f>
        <v>0.000559872</v>
      </c>
      <c r="O64" s="4" t="n">
        <f aca="false">'Settings '!$B$8</f>
        <v>0.1</v>
      </c>
      <c r="P64" s="4" t="n">
        <f aca="false">MIN(1,I64*O64*K64)</f>
        <v>0.072</v>
      </c>
      <c r="Q64" s="4" t="n">
        <f aca="false">Q63*P64</f>
        <v>0.000559872</v>
      </c>
      <c r="R64" s="4" t="n">
        <f aca="false">'Settings '!$B$9</f>
        <v>0.9</v>
      </c>
      <c r="S64" s="4" t="n">
        <f aca="false">MIN(1,I64*R64*K64)</f>
        <v>0.648</v>
      </c>
      <c r="T64" s="4" t="n">
        <f aca="false">T63*S64</f>
        <v>0.314928</v>
      </c>
      <c r="U64" s="4" t="str">
        <f aca="false">IF(E64=4,N64,"")</f>
        <v/>
      </c>
      <c r="V64" s="4" t="str">
        <f aca="false">IF(E64=4,Q64,"")</f>
        <v/>
      </c>
      <c r="W64" s="4" t="str">
        <f aca="false">IF(E64=4,T64,"")</f>
        <v/>
      </c>
      <c r="X64" s="4" t="str">
        <f aca="false">IF(E64=4,IFERROR((LN(U64)-LN(V64))/(LN(W64)-LN(V64)),0),"")</f>
        <v/>
      </c>
      <c r="Y64" s="3" t="str">
        <f aca="false">IF(E64=4,IF(X64&gt;='Settings '!$B$7,"Risk A",IF(X64&gt;='Settings '!$B$6,"Risk B","Risk C")),"")</f>
        <v/>
      </c>
      <c r="Z64" s="3" t="n">
        <f aca="false">IF(Y64="Risk B",1,0)</f>
        <v>0</v>
      </c>
      <c r="AA64" s="3" t="n">
        <f aca="false">IF(J64&gt;='Settings '!$B$10,1,0)</f>
        <v>0</v>
      </c>
      <c r="AB64" s="3" t="n">
        <f aca="false">IF(M64&gt;='Settings '!$B$11,1,0)</f>
        <v>0</v>
      </c>
      <c r="AC64" s="4" t="n">
        <f aca="false">ABS(M64-MIN(1,I64*J64*K64))</f>
        <v>0</v>
      </c>
    </row>
    <row r="65" customFormat="false" ht="14.25" hidden="false" customHeight="true" outlineLevel="0" collapsed="false">
      <c r="A65" s="3" t="s">
        <v>29</v>
      </c>
      <c r="B65" s="3" t="n">
        <v>16</v>
      </c>
      <c r="C65" s="3" t="s">
        <v>73</v>
      </c>
      <c r="D65" s="3" t="s">
        <v>43</v>
      </c>
      <c r="E65" s="3" t="n">
        <v>4</v>
      </c>
      <c r="F65" s="3" t="s">
        <v>54</v>
      </c>
      <c r="G65" s="3" t="s">
        <v>55</v>
      </c>
      <c r="H65" s="3" t="s">
        <v>46</v>
      </c>
      <c r="I65" s="4" t="n">
        <v>0.18</v>
      </c>
      <c r="J65" s="4" t="n">
        <v>0.28</v>
      </c>
      <c r="K65" s="4" t="n">
        <v>2</v>
      </c>
      <c r="L65" s="4" t="n">
        <f aca="false">I65*J65</f>
        <v>0.0504</v>
      </c>
      <c r="M65" s="4" t="n">
        <f aca="false">MIN(1,I65*J65*K65)</f>
        <v>0.1008</v>
      </c>
      <c r="N65" s="4" t="n">
        <f aca="false">N64*M65</f>
        <v>5.64350976E-005</v>
      </c>
      <c r="O65" s="4" t="n">
        <f aca="false">'Settings '!$B$8</f>
        <v>0.1</v>
      </c>
      <c r="P65" s="4" t="n">
        <f aca="false">MIN(1,I65*O65*K65)</f>
        <v>0.036</v>
      </c>
      <c r="Q65" s="4" t="n">
        <f aca="false">Q64*P65</f>
        <v>2.0155392E-005</v>
      </c>
      <c r="R65" s="4" t="n">
        <f aca="false">'Settings '!$B$9</f>
        <v>0.9</v>
      </c>
      <c r="S65" s="4" t="n">
        <f aca="false">MIN(1,I65*R65*K65)</f>
        <v>0.324</v>
      </c>
      <c r="T65" s="4" t="n">
        <f aca="false">T64*S65</f>
        <v>0.102036672</v>
      </c>
      <c r="U65" s="4" t="n">
        <f aca="false">IF(E65=4,N65,"")</f>
        <v>5.64350976E-005</v>
      </c>
      <c r="V65" s="4" t="n">
        <f aca="false">IF(E65=4,Q65,"")</f>
        <v>2.0155392E-005</v>
      </c>
      <c r="W65" s="4" t="n">
        <f aca="false">IF(E65=4,T65,"")</f>
        <v>0.102036672</v>
      </c>
      <c r="X65" s="4" t="n">
        <f aca="false">IF(E65=4,IFERROR((LN(U65)-LN(V65))/(LN(W65)-LN(V65)),0),"")</f>
        <v>0.120711114312368</v>
      </c>
      <c r="Y65" s="3" t="str">
        <f aca="false">IF(E65=4,IF(X65&gt;='Settings '!$B$7,"Risk A",IF(X65&gt;='Settings '!$B$6,"Risk B","Risk C")),"")</f>
        <v>Risk C</v>
      </c>
      <c r="Z65" s="3" t="n">
        <f aca="false">IF(Y65="Risk B",1,0)</f>
        <v>0</v>
      </c>
      <c r="AA65" s="3" t="n">
        <f aca="false">IF(J65&gt;='Settings '!$B$10,1,0)</f>
        <v>1</v>
      </c>
      <c r="AB65" s="3" t="n">
        <f aca="false">IF(M65&gt;='Settings '!$B$11,1,0)</f>
        <v>0</v>
      </c>
      <c r="AC65" s="4" t="n">
        <f aca="false">ABS(M65-MIN(1,I65*J65*K65))</f>
        <v>0</v>
      </c>
    </row>
    <row r="66" customFormat="false" ht="25.5" hidden="false" customHeight="true" outlineLevel="0" collapsed="false">
      <c r="A66" s="3" t="s">
        <v>29</v>
      </c>
      <c r="B66" s="3" t="n">
        <v>17</v>
      </c>
      <c r="C66" s="3" t="s">
        <v>74</v>
      </c>
      <c r="D66" s="3" t="s">
        <v>31</v>
      </c>
      <c r="E66" s="3" t="n">
        <v>1</v>
      </c>
      <c r="F66" s="3" t="s">
        <v>32</v>
      </c>
      <c r="G66" s="3" t="s">
        <v>33</v>
      </c>
      <c r="H66" s="3" t="s">
        <v>34</v>
      </c>
      <c r="I66" s="4" t="n">
        <v>0.72</v>
      </c>
      <c r="J66" s="4" t="n">
        <v>0.1</v>
      </c>
      <c r="K66" s="4" t="n">
        <v>2</v>
      </c>
      <c r="L66" s="4" t="n">
        <f aca="false">I66*J66</f>
        <v>0.072</v>
      </c>
      <c r="M66" s="4" t="n">
        <f aca="false">MIN(1,I66*J66*K66)</f>
        <v>0.144</v>
      </c>
      <c r="N66" s="4" t="n">
        <f aca="false">M66</f>
        <v>0.144</v>
      </c>
      <c r="O66" s="4" t="n">
        <f aca="false">'Settings '!$B$8</f>
        <v>0.1</v>
      </c>
      <c r="P66" s="4" t="n">
        <f aca="false">MIN(1,I66*O66*K66)</f>
        <v>0.144</v>
      </c>
      <c r="Q66" s="4" t="n">
        <f aca="false">P66</f>
        <v>0.144</v>
      </c>
      <c r="R66" s="4" t="n">
        <f aca="false">'Settings '!$B$9</f>
        <v>0.9</v>
      </c>
      <c r="S66" s="4" t="n">
        <f aca="false">MIN(1,I66*R66*K66)</f>
        <v>1</v>
      </c>
      <c r="T66" s="4" t="n">
        <f aca="false">S66</f>
        <v>1</v>
      </c>
      <c r="U66" s="4" t="str">
        <f aca="false">IF(E66=4,N66,"")</f>
        <v/>
      </c>
      <c r="V66" s="4" t="str">
        <f aca="false">IF(E66=4,Q66,"")</f>
        <v/>
      </c>
      <c r="W66" s="4" t="str">
        <f aca="false">IF(E66=4,T66,"")</f>
        <v/>
      </c>
      <c r="X66" s="4" t="str">
        <f aca="false">IF(E66=4,IFERROR((LN(U66)-LN(V66))/(LN(W66)-LN(V66)),0),"")</f>
        <v/>
      </c>
      <c r="Y66" s="3" t="str">
        <f aca="false">IF(E66=4,IF(X66&gt;='Settings '!$B$7,"Risk A",IF(X66&gt;='Settings '!$B$6,"Risk B","Risk C")),"")</f>
        <v/>
      </c>
      <c r="Z66" s="3" t="n">
        <f aca="false">IF(Y66="Risk B",1,0)</f>
        <v>0</v>
      </c>
      <c r="AA66" s="3" t="n">
        <f aca="false">IF(J66&gt;='Settings '!$B$10,1,0)</f>
        <v>0</v>
      </c>
      <c r="AB66" s="3" t="n">
        <f aca="false">IF(M66&gt;='Settings '!$B$11,1,0)</f>
        <v>0</v>
      </c>
      <c r="AC66" s="4" t="n">
        <f aca="false">ABS(M66-MIN(1,I66*J66*K66))</f>
        <v>0</v>
      </c>
    </row>
    <row r="67" customFormat="false" ht="14.25" hidden="false" customHeight="true" outlineLevel="0" collapsed="false">
      <c r="A67" s="3" t="s">
        <v>29</v>
      </c>
      <c r="B67" s="3" t="n">
        <v>17</v>
      </c>
      <c r="C67" s="3" t="s">
        <v>74</v>
      </c>
      <c r="D67" s="3" t="s">
        <v>35</v>
      </c>
      <c r="E67" s="3" t="n">
        <v>2</v>
      </c>
      <c r="F67" s="3" t="s">
        <v>40</v>
      </c>
      <c r="G67" s="3" t="s">
        <v>41</v>
      </c>
      <c r="H67" s="3" t="s">
        <v>38</v>
      </c>
      <c r="I67" s="4" t="n">
        <v>0.36</v>
      </c>
      <c r="J67" s="4" t="n">
        <v>0.1</v>
      </c>
      <c r="K67" s="4" t="n">
        <v>1.5</v>
      </c>
      <c r="L67" s="4" t="n">
        <f aca="false">I67*J67</f>
        <v>0.036</v>
      </c>
      <c r="M67" s="4" t="n">
        <f aca="false">MIN(1,I67*J67*K67)</f>
        <v>0.054</v>
      </c>
      <c r="N67" s="4" t="n">
        <f aca="false">N66*M67</f>
        <v>0.007776</v>
      </c>
      <c r="O67" s="4" t="n">
        <f aca="false">'Settings '!$B$8</f>
        <v>0.1</v>
      </c>
      <c r="P67" s="4" t="n">
        <f aca="false">MIN(1,I67*O67*K67)</f>
        <v>0.054</v>
      </c>
      <c r="Q67" s="4" t="n">
        <f aca="false">Q66*P67</f>
        <v>0.007776</v>
      </c>
      <c r="R67" s="4" t="n">
        <f aca="false">'Settings '!$B$9</f>
        <v>0.9</v>
      </c>
      <c r="S67" s="4" t="n">
        <f aca="false">MIN(1,I67*R67*K67)</f>
        <v>0.486</v>
      </c>
      <c r="T67" s="4" t="n">
        <f aca="false">T66*S67</f>
        <v>0.486</v>
      </c>
      <c r="U67" s="4" t="str">
        <f aca="false">IF(E67=4,N67,"")</f>
        <v/>
      </c>
      <c r="V67" s="4" t="str">
        <f aca="false">IF(E67=4,Q67,"")</f>
        <v/>
      </c>
      <c r="W67" s="4" t="str">
        <f aca="false">IF(E67=4,T67,"")</f>
        <v/>
      </c>
      <c r="X67" s="4" t="str">
        <f aca="false">IF(E67=4,IFERROR((LN(U67)-LN(V67))/(LN(W67)-LN(V67)),0),"")</f>
        <v/>
      </c>
      <c r="Y67" s="3" t="str">
        <f aca="false">IF(E67=4,IF(X67&gt;='Settings '!$B$7,"Risk A",IF(X67&gt;='Settings '!$B$6,"Risk B","Risk C")),"")</f>
        <v/>
      </c>
      <c r="Z67" s="3" t="n">
        <f aca="false">IF(Y67="Risk B",1,0)</f>
        <v>0</v>
      </c>
      <c r="AA67" s="3" t="n">
        <f aca="false">IF(J67&gt;='Settings '!$B$10,1,0)</f>
        <v>0</v>
      </c>
      <c r="AB67" s="3" t="n">
        <f aca="false">IF(M67&gt;='Settings '!$B$11,1,0)</f>
        <v>0</v>
      </c>
      <c r="AC67" s="4" t="n">
        <f aca="false">ABS(M67-MIN(1,I67*J67*K67))</f>
        <v>0</v>
      </c>
    </row>
    <row r="68" customFormat="false" ht="14.25" hidden="false" customHeight="true" outlineLevel="0" collapsed="false">
      <c r="A68" s="3" t="s">
        <v>29</v>
      </c>
      <c r="B68" s="3" t="n">
        <v>17</v>
      </c>
      <c r="C68" s="3" t="s">
        <v>74</v>
      </c>
      <c r="D68" s="3" t="s">
        <v>39</v>
      </c>
      <c r="E68" s="3" t="n">
        <v>3</v>
      </c>
      <c r="F68" s="3" t="s">
        <v>40</v>
      </c>
      <c r="G68" s="3" t="s">
        <v>41</v>
      </c>
      <c r="H68" s="3" t="s">
        <v>42</v>
      </c>
      <c r="I68" s="4" t="n">
        <v>0.36</v>
      </c>
      <c r="J68" s="4" t="n">
        <v>0.1</v>
      </c>
      <c r="K68" s="4" t="n">
        <v>2</v>
      </c>
      <c r="L68" s="4" t="n">
        <f aca="false">I68*J68</f>
        <v>0.036</v>
      </c>
      <c r="M68" s="4" t="n">
        <f aca="false">MIN(1,I68*J68*K68)</f>
        <v>0.072</v>
      </c>
      <c r="N68" s="4" t="n">
        <f aca="false">N67*M68</f>
        <v>0.000559872</v>
      </c>
      <c r="O68" s="4" t="n">
        <f aca="false">'Settings '!$B$8</f>
        <v>0.1</v>
      </c>
      <c r="P68" s="4" t="n">
        <f aca="false">MIN(1,I68*O68*K68)</f>
        <v>0.072</v>
      </c>
      <c r="Q68" s="4" t="n">
        <f aca="false">Q67*P68</f>
        <v>0.000559872</v>
      </c>
      <c r="R68" s="4" t="n">
        <f aca="false">'Settings '!$B$9</f>
        <v>0.9</v>
      </c>
      <c r="S68" s="4" t="n">
        <f aca="false">MIN(1,I68*R68*K68)</f>
        <v>0.648</v>
      </c>
      <c r="T68" s="4" t="n">
        <f aca="false">T67*S68</f>
        <v>0.314928</v>
      </c>
      <c r="U68" s="4" t="str">
        <f aca="false">IF(E68=4,N68,"")</f>
        <v/>
      </c>
      <c r="V68" s="4" t="str">
        <f aca="false">IF(E68=4,Q68,"")</f>
        <v/>
      </c>
      <c r="W68" s="4" t="str">
        <f aca="false">IF(E68=4,T68,"")</f>
        <v/>
      </c>
      <c r="X68" s="4" t="str">
        <f aca="false">IF(E68=4,IFERROR((LN(U68)-LN(V68))/(LN(W68)-LN(V68)),0),"")</f>
        <v/>
      </c>
      <c r="Y68" s="3" t="str">
        <f aca="false">IF(E68=4,IF(X68&gt;='Settings '!$B$7,"Risk A",IF(X68&gt;='Settings '!$B$6,"Risk B","Risk C")),"")</f>
        <v/>
      </c>
      <c r="Z68" s="3" t="n">
        <f aca="false">IF(Y68="Risk B",1,0)</f>
        <v>0</v>
      </c>
      <c r="AA68" s="3" t="n">
        <f aca="false">IF(J68&gt;='Settings '!$B$10,1,0)</f>
        <v>0</v>
      </c>
      <c r="AB68" s="3" t="n">
        <f aca="false">IF(M68&gt;='Settings '!$B$11,1,0)</f>
        <v>0</v>
      </c>
      <c r="AC68" s="4" t="n">
        <f aca="false">ABS(M68-MIN(1,I68*J68*K68))</f>
        <v>0</v>
      </c>
    </row>
    <row r="69" customFormat="false" ht="14.25" hidden="false" customHeight="true" outlineLevel="0" collapsed="false">
      <c r="A69" s="3" t="s">
        <v>29</v>
      </c>
      <c r="B69" s="3" t="n">
        <v>17</v>
      </c>
      <c r="C69" s="3" t="s">
        <v>74</v>
      </c>
      <c r="D69" s="3" t="s">
        <v>43</v>
      </c>
      <c r="E69" s="3" t="n">
        <v>4</v>
      </c>
      <c r="F69" s="3" t="s">
        <v>44</v>
      </c>
      <c r="G69" s="3" t="s">
        <v>45</v>
      </c>
      <c r="H69" s="3" t="s">
        <v>46</v>
      </c>
      <c r="I69" s="4" t="n">
        <v>0.9</v>
      </c>
      <c r="J69" s="4" t="n">
        <v>0.1</v>
      </c>
      <c r="K69" s="4" t="n">
        <v>2</v>
      </c>
      <c r="L69" s="4" t="n">
        <f aca="false">I69*J69</f>
        <v>0.09</v>
      </c>
      <c r="M69" s="4" t="n">
        <f aca="false">MIN(1,I69*J69*K69)</f>
        <v>0.18</v>
      </c>
      <c r="N69" s="4" t="n">
        <f aca="false">N68*M69</f>
        <v>0.00010077696</v>
      </c>
      <c r="O69" s="4" t="n">
        <f aca="false">'Settings '!$B$8</f>
        <v>0.1</v>
      </c>
      <c r="P69" s="4" t="n">
        <f aca="false">MIN(1,I69*O69*K69)</f>
        <v>0.18</v>
      </c>
      <c r="Q69" s="4" t="n">
        <f aca="false">Q68*P69</f>
        <v>0.00010077696</v>
      </c>
      <c r="R69" s="4" t="n">
        <f aca="false">'Settings '!$B$9</f>
        <v>0.9</v>
      </c>
      <c r="S69" s="4" t="n">
        <f aca="false">MIN(1,I69*R69*K69)</f>
        <v>1</v>
      </c>
      <c r="T69" s="4" t="n">
        <f aca="false">T68*S69</f>
        <v>0.314928</v>
      </c>
      <c r="U69" s="4" t="n">
        <f aca="false">IF(E69=4,N69,"")</f>
        <v>0.00010077696</v>
      </c>
      <c r="V69" s="4" t="n">
        <f aca="false">IF(E69=4,Q69,"")</f>
        <v>0.00010077696</v>
      </c>
      <c r="W69" s="4" t="n">
        <f aca="false">IF(E69=4,T69,"")</f>
        <v>0.314928</v>
      </c>
      <c r="X69" s="4" t="n">
        <f aca="false">IF(E69=4,IFERROR((LN(U69)-LN(V69))/(LN(W69)-LN(V69)),0),"")</f>
        <v>0</v>
      </c>
      <c r="Y69" s="3" t="str">
        <f aca="false">IF(E69=4,IF(X69&gt;='Settings '!$B$7,"Risk A",IF(X69&gt;='Settings '!$B$6,"Risk B","Risk C")),"")</f>
        <v>Risk C</v>
      </c>
      <c r="Z69" s="3" t="n">
        <f aca="false">IF(Y69="Risk B",1,0)</f>
        <v>0</v>
      </c>
      <c r="AA69" s="3" t="n">
        <f aca="false">IF(J69&gt;='Settings '!$B$10,1,0)</f>
        <v>0</v>
      </c>
      <c r="AB69" s="3" t="n">
        <f aca="false">IF(M69&gt;='Settings '!$B$11,1,0)</f>
        <v>0</v>
      </c>
      <c r="AC69" s="4" t="n">
        <f aca="false">ABS(M69-MIN(1,I69*J69*K69))</f>
        <v>0</v>
      </c>
    </row>
    <row r="70" customFormat="false" ht="25.5" hidden="false" customHeight="true" outlineLevel="0" collapsed="false">
      <c r="A70" s="3" t="s">
        <v>29</v>
      </c>
      <c r="B70" s="3" t="n">
        <v>18</v>
      </c>
      <c r="C70" s="3" t="s">
        <v>75</v>
      </c>
      <c r="D70" s="3" t="s">
        <v>31</v>
      </c>
      <c r="E70" s="3" t="n">
        <v>1</v>
      </c>
      <c r="F70" s="3" t="s">
        <v>32</v>
      </c>
      <c r="G70" s="3" t="s">
        <v>33</v>
      </c>
      <c r="H70" s="3" t="s">
        <v>34</v>
      </c>
      <c r="I70" s="4" t="n">
        <v>0.72</v>
      </c>
      <c r="J70" s="4" t="n">
        <v>0.1</v>
      </c>
      <c r="K70" s="4" t="n">
        <v>2</v>
      </c>
      <c r="L70" s="4" t="n">
        <f aca="false">I70*J70</f>
        <v>0.072</v>
      </c>
      <c r="M70" s="4" t="n">
        <f aca="false">MIN(1,I70*J70*K70)</f>
        <v>0.144</v>
      </c>
      <c r="N70" s="4" t="n">
        <f aca="false">M70</f>
        <v>0.144</v>
      </c>
      <c r="O70" s="4" t="n">
        <f aca="false">'Settings '!$B$8</f>
        <v>0.1</v>
      </c>
      <c r="P70" s="4" t="n">
        <f aca="false">MIN(1,I70*O70*K70)</f>
        <v>0.144</v>
      </c>
      <c r="Q70" s="4" t="n">
        <f aca="false">P70</f>
        <v>0.144</v>
      </c>
      <c r="R70" s="4" t="n">
        <f aca="false">'Settings '!$B$9</f>
        <v>0.9</v>
      </c>
      <c r="S70" s="4" t="n">
        <f aca="false">MIN(1,I70*R70*K70)</f>
        <v>1</v>
      </c>
      <c r="T70" s="4" t="n">
        <f aca="false">S70</f>
        <v>1</v>
      </c>
      <c r="U70" s="4" t="str">
        <f aca="false">IF(E70=4,N70,"")</f>
        <v/>
      </c>
      <c r="V70" s="4" t="str">
        <f aca="false">IF(E70=4,Q70,"")</f>
        <v/>
      </c>
      <c r="W70" s="4" t="str">
        <f aca="false">IF(E70=4,T70,"")</f>
        <v/>
      </c>
      <c r="X70" s="4" t="str">
        <f aca="false">IF(E70=4,IFERROR((LN(U70)-LN(V70))/(LN(W70)-LN(V70)),0),"")</f>
        <v/>
      </c>
      <c r="Y70" s="3" t="str">
        <f aca="false">IF(E70=4,IF(X70&gt;='Settings '!$B$7,"Risk A",IF(X70&gt;='Settings '!$B$6,"Risk B","Risk C")),"")</f>
        <v/>
      </c>
      <c r="Z70" s="3" t="n">
        <f aca="false">IF(Y70="Risk B",1,0)</f>
        <v>0</v>
      </c>
      <c r="AA70" s="3" t="n">
        <f aca="false">IF(J70&gt;='Settings '!$B$10,1,0)</f>
        <v>0</v>
      </c>
      <c r="AB70" s="3" t="n">
        <f aca="false">IF(M70&gt;='Settings '!$B$11,1,0)</f>
        <v>0</v>
      </c>
      <c r="AC70" s="4" t="n">
        <f aca="false">ABS(M70-MIN(1,I70*J70*K70))</f>
        <v>0</v>
      </c>
    </row>
    <row r="71" customFormat="false" ht="14.25" hidden="false" customHeight="true" outlineLevel="0" collapsed="false">
      <c r="A71" s="3" t="s">
        <v>29</v>
      </c>
      <c r="B71" s="3" t="n">
        <v>18</v>
      </c>
      <c r="C71" s="3" t="s">
        <v>75</v>
      </c>
      <c r="D71" s="3" t="s">
        <v>35</v>
      </c>
      <c r="E71" s="3" t="n">
        <v>2</v>
      </c>
      <c r="F71" s="3" t="s">
        <v>40</v>
      </c>
      <c r="G71" s="3" t="s">
        <v>41</v>
      </c>
      <c r="H71" s="3" t="s">
        <v>38</v>
      </c>
      <c r="I71" s="4" t="n">
        <v>0.36</v>
      </c>
      <c r="J71" s="4" t="n">
        <v>0.1</v>
      </c>
      <c r="K71" s="4" t="n">
        <v>1.5</v>
      </c>
      <c r="L71" s="4" t="n">
        <f aca="false">I71*J71</f>
        <v>0.036</v>
      </c>
      <c r="M71" s="4" t="n">
        <f aca="false">MIN(1,I71*J71*K71)</f>
        <v>0.054</v>
      </c>
      <c r="N71" s="4" t="n">
        <f aca="false">N70*M71</f>
        <v>0.007776</v>
      </c>
      <c r="O71" s="4" t="n">
        <f aca="false">'Settings '!$B$8</f>
        <v>0.1</v>
      </c>
      <c r="P71" s="4" t="n">
        <f aca="false">MIN(1,I71*O71*K71)</f>
        <v>0.054</v>
      </c>
      <c r="Q71" s="4" t="n">
        <f aca="false">Q70*P71</f>
        <v>0.007776</v>
      </c>
      <c r="R71" s="4" t="n">
        <f aca="false">'Settings '!$B$9</f>
        <v>0.9</v>
      </c>
      <c r="S71" s="4" t="n">
        <f aca="false">MIN(1,I71*R71*K71)</f>
        <v>0.486</v>
      </c>
      <c r="T71" s="4" t="n">
        <f aca="false">T70*S71</f>
        <v>0.486</v>
      </c>
      <c r="U71" s="4" t="str">
        <f aca="false">IF(E71=4,N71,"")</f>
        <v/>
      </c>
      <c r="V71" s="4" t="str">
        <f aca="false">IF(E71=4,Q71,"")</f>
        <v/>
      </c>
      <c r="W71" s="4" t="str">
        <f aca="false">IF(E71=4,T71,"")</f>
        <v/>
      </c>
      <c r="X71" s="4" t="str">
        <f aca="false">IF(E71=4,IFERROR((LN(U71)-LN(V71))/(LN(W71)-LN(V71)),0),"")</f>
        <v/>
      </c>
      <c r="Y71" s="3" t="str">
        <f aca="false">IF(E71=4,IF(X71&gt;='Settings '!$B$7,"Risk A",IF(X71&gt;='Settings '!$B$6,"Risk B","Risk C")),"")</f>
        <v/>
      </c>
      <c r="Z71" s="3" t="n">
        <f aca="false">IF(Y71="Risk B",1,0)</f>
        <v>0</v>
      </c>
      <c r="AA71" s="3" t="n">
        <f aca="false">IF(J71&gt;='Settings '!$B$10,1,0)</f>
        <v>0</v>
      </c>
      <c r="AB71" s="3" t="n">
        <f aca="false">IF(M71&gt;='Settings '!$B$11,1,0)</f>
        <v>0</v>
      </c>
      <c r="AC71" s="4" t="n">
        <f aca="false">ABS(M71-MIN(1,I71*J71*K71))</f>
        <v>0</v>
      </c>
    </row>
    <row r="72" customFormat="false" ht="14.25" hidden="false" customHeight="true" outlineLevel="0" collapsed="false">
      <c r="A72" s="3" t="s">
        <v>29</v>
      </c>
      <c r="B72" s="3" t="n">
        <v>18</v>
      </c>
      <c r="C72" s="3" t="s">
        <v>75</v>
      </c>
      <c r="D72" s="3" t="s">
        <v>39</v>
      </c>
      <c r="E72" s="3" t="n">
        <v>3</v>
      </c>
      <c r="F72" s="3" t="s">
        <v>40</v>
      </c>
      <c r="G72" s="3" t="s">
        <v>41</v>
      </c>
      <c r="H72" s="3" t="s">
        <v>42</v>
      </c>
      <c r="I72" s="4" t="n">
        <v>0.36</v>
      </c>
      <c r="J72" s="4" t="n">
        <v>0.1</v>
      </c>
      <c r="K72" s="4" t="n">
        <v>2</v>
      </c>
      <c r="L72" s="4" t="n">
        <f aca="false">I72*J72</f>
        <v>0.036</v>
      </c>
      <c r="M72" s="4" t="n">
        <f aca="false">MIN(1,I72*J72*K72)</f>
        <v>0.072</v>
      </c>
      <c r="N72" s="4" t="n">
        <f aca="false">N71*M72</f>
        <v>0.000559872</v>
      </c>
      <c r="O72" s="4" t="n">
        <f aca="false">'Settings '!$B$8</f>
        <v>0.1</v>
      </c>
      <c r="P72" s="4" t="n">
        <f aca="false">MIN(1,I72*O72*K72)</f>
        <v>0.072</v>
      </c>
      <c r="Q72" s="4" t="n">
        <f aca="false">Q71*P72</f>
        <v>0.000559872</v>
      </c>
      <c r="R72" s="4" t="n">
        <f aca="false">'Settings '!$B$9</f>
        <v>0.9</v>
      </c>
      <c r="S72" s="4" t="n">
        <f aca="false">MIN(1,I72*R72*K72)</f>
        <v>0.648</v>
      </c>
      <c r="T72" s="4" t="n">
        <f aca="false">T71*S72</f>
        <v>0.314928</v>
      </c>
      <c r="U72" s="4" t="str">
        <f aca="false">IF(E72=4,N72,"")</f>
        <v/>
      </c>
      <c r="V72" s="4" t="str">
        <f aca="false">IF(E72=4,Q72,"")</f>
        <v/>
      </c>
      <c r="W72" s="4" t="str">
        <f aca="false">IF(E72=4,T72,"")</f>
        <v/>
      </c>
      <c r="X72" s="4" t="str">
        <f aca="false">IF(E72=4,IFERROR((LN(U72)-LN(V72))/(LN(W72)-LN(V72)),0),"")</f>
        <v/>
      </c>
      <c r="Y72" s="3" t="str">
        <f aca="false">IF(E72=4,IF(X72&gt;='Settings '!$B$7,"Risk A",IF(X72&gt;='Settings '!$B$6,"Risk B","Risk C")),"")</f>
        <v/>
      </c>
      <c r="Z72" s="3" t="n">
        <f aca="false">IF(Y72="Risk B",1,0)</f>
        <v>0</v>
      </c>
      <c r="AA72" s="3" t="n">
        <f aca="false">IF(J72&gt;='Settings '!$B$10,1,0)</f>
        <v>0</v>
      </c>
      <c r="AB72" s="3" t="n">
        <f aca="false">IF(M72&gt;='Settings '!$B$11,1,0)</f>
        <v>0</v>
      </c>
      <c r="AC72" s="4" t="n">
        <f aca="false">ABS(M72-MIN(1,I72*J72*K72))</f>
        <v>0</v>
      </c>
    </row>
    <row r="73" customFormat="false" ht="14.25" hidden="false" customHeight="true" outlineLevel="0" collapsed="false">
      <c r="A73" s="3" t="s">
        <v>29</v>
      </c>
      <c r="B73" s="3" t="n">
        <v>18</v>
      </c>
      <c r="C73" s="3" t="s">
        <v>75</v>
      </c>
      <c r="D73" s="3" t="s">
        <v>43</v>
      </c>
      <c r="E73" s="3" t="n">
        <v>4</v>
      </c>
      <c r="F73" s="3" t="s">
        <v>48</v>
      </c>
      <c r="G73" s="3" t="s">
        <v>49</v>
      </c>
      <c r="H73" s="3" t="s">
        <v>46</v>
      </c>
      <c r="I73" s="4" t="n">
        <v>0.72</v>
      </c>
      <c r="J73" s="4" t="n">
        <v>0.28</v>
      </c>
      <c r="K73" s="4" t="n">
        <v>2</v>
      </c>
      <c r="L73" s="4" t="n">
        <f aca="false">I73*J73</f>
        <v>0.2016</v>
      </c>
      <c r="M73" s="4" t="n">
        <f aca="false">MIN(1,I73*J73*K73)</f>
        <v>0.4032</v>
      </c>
      <c r="N73" s="4" t="n">
        <f aca="false">N72*M73</f>
        <v>0.0002257403904</v>
      </c>
      <c r="O73" s="4" t="n">
        <f aca="false">'Settings '!$B$8</f>
        <v>0.1</v>
      </c>
      <c r="P73" s="4" t="n">
        <f aca="false">MIN(1,I73*O73*K73)</f>
        <v>0.144</v>
      </c>
      <c r="Q73" s="4" t="n">
        <f aca="false">Q72*P73</f>
        <v>8.0621568E-005</v>
      </c>
      <c r="R73" s="4" t="n">
        <f aca="false">'Settings '!$B$9</f>
        <v>0.9</v>
      </c>
      <c r="S73" s="4" t="n">
        <f aca="false">MIN(1,I73*R73*K73)</f>
        <v>1</v>
      </c>
      <c r="T73" s="4" t="n">
        <f aca="false">T72*S73</f>
        <v>0.314928</v>
      </c>
      <c r="U73" s="4" t="n">
        <f aca="false">IF(E73=4,N73,"")</f>
        <v>0.0002257403904</v>
      </c>
      <c r="V73" s="4" t="n">
        <f aca="false">IF(E73=4,Q73,"")</f>
        <v>8.0621568E-005</v>
      </c>
      <c r="W73" s="4" t="n">
        <f aca="false">IF(E73=4,T73,"")</f>
        <v>0.314928</v>
      </c>
      <c r="X73" s="4" t="n">
        <f aca="false">IF(E73=4,IFERROR((LN(U73)-LN(V73))/(LN(W73)-LN(V73)),0),"")</f>
        <v>0.124495519473378</v>
      </c>
      <c r="Y73" s="3" t="str">
        <f aca="false">IF(E73=4,IF(X73&gt;='Settings '!$B$7,"Risk A",IF(X73&gt;='Settings '!$B$6,"Risk B","Risk C")),"")</f>
        <v>Risk C</v>
      </c>
      <c r="Z73" s="3" t="n">
        <f aca="false">IF(Y73="Risk B",1,0)</f>
        <v>0</v>
      </c>
      <c r="AA73" s="3" t="n">
        <f aca="false">IF(J73&gt;='Settings '!$B$10,1,0)</f>
        <v>1</v>
      </c>
      <c r="AB73" s="3" t="n">
        <f aca="false">IF(M73&gt;='Settings '!$B$11,1,0)</f>
        <v>1</v>
      </c>
      <c r="AC73" s="4" t="n">
        <f aca="false">ABS(M73-MIN(1,I73*J73*K73))</f>
        <v>0</v>
      </c>
    </row>
    <row r="74" customFormat="false" ht="25.5" hidden="false" customHeight="true" outlineLevel="0" collapsed="false">
      <c r="A74" s="3" t="s">
        <v>29</v>
      </c>
      <c r="B74" s="3" t="n">
        <v>19</v>
      </c>
      <c r="C74" s="3" t="s">
        <v>76</v>
      </c>
      <c r="D74" s="3" t="s">
        <v>31</v>
      </c>
      <c r="E74" s="3" t="n">
        <v>1</v>
      </c>
      <c r="F74" s="3" t="s">
        <v>32</v>
      </c>
      <c r="G74" s="3" t="s">
        <v>33</v>
      </c>
      <c r="H74" s="3" t="s">
        <v>34</v>
      </c>
      <c r="I74" s="4" t="n">
        <v>0.72</v>
      </c>
      <c r="J74" s="4" t="n">
        <v>0.1</v>
      </c>
      <c r="K74" s="4" t="n">
        <v>2</v>
      </c>
      <c r="L74" s="4" t="n">
        <f aca="false">I74*J74</f>
        <v>0.072</v>
      </c>
      <c r="M74" s="4" t="n">
        <f aca="false">MIN(1,I74*J74*K74)</f>
        <v>0.144</v>
      </c>
      <c r="N74" s="4" t="n">
        <f aca="false">M74</f>
        <v>0.144</v>
      </c>
      <c r="O74" s="4" t="n">
        <f aca="false">'Settings '!$B$8</f>
        <v>0.1</v>
      </c>
      <c r="P74" s="4" t="n">
        <f aca="false">MIN(1,I74*O74*K74)</f>
        <v>0.144</v>
      </c>
      <c r="Q74" s="4" t="n">
        <f aca="false">P74</f>
        <v>0.144</v>
      </c>
      <c r="R74" s="4" t="n">
        <f aca="false">'Settings '!$B$9</f>
        <v>0.9</v>
      </c>
      <c r="S74" s="4" t="n">
        <f aca="false">MIN(1,I74*R74*K74)</f>
        <v>1</v>
      </c>
      <c r="T74" s="4" t="n">
        <f aca="false">S74</f>
        <v>1</v>
      </c>
      <c r="U74" s="4" t="str">
        <f aca="false">IF(E74=4,N74,"")</f>
        <v/>
      </c>
      <c r="V74" s="4" t="str">
        <f aca="false">IF(E74=4,Q74,"")</f>
        <v/>
      </c>
      <c r="W74" s="4" t="str">
        <f aca="false">IF(E74=4,T74,"")</f>
        <v/>
      </c>
      <c r="X74" s="4" t="str">
        <f aca="false">IF(E74=4,IFERROR((LN(U74)-LN(V74))/(LN(W74)-LN(V74)),0),"")</f>
        <v/>
      </c>
      <c r="Y74" s="3" t="str">
        <f aca="false">IF(E74=4,IF(X74&gt;='Settings '!$B$7,"Risk A",IF(X74&gt;='Settings '!$B$6,"Risk B","Risk C")),"")</f>
        <v/>
      </c>
      <c r="Z74" s="3" t="n">
        <f aca="false">IF(Y74="Risk B",1,0)</f>
        <v>0</v>
      </c>
      <c r="AA74" s="3" t="n">
        <f aca="false">IF(J74&gt;='Settings '!$B$10,1,0)</f>
        <v>0</v>
      </c>
      <c r="AB74" s="3" t="n">
        <f aca="false">IF(M74&gt;='Settings '!$B$11,1,0)</f>
        <v>0</v>
      </c>
      <c r="AC74" s="4" t="n">
        <f aca="false">ABS(M74-MIN(1,I74*J74*K74))</f>
        <v>0</v>
      </c>
    </row>
    <row r="75" customFormat="false" ht="14.25" hidden="false" customHeight="true" outlineLevel="0" collapsed="false">
      <c r="A75" s="3" t="s">
        <v>29</v>
      </c>
      <c r="B75" s="3" t="n">
        <v>19</v>
      </c>
      <c r="C75" s="3" t="s">
        <v>76</v>
      </c>
      <c r="D75" s="3" t="s">
        <v>35</v>
      </c>
      <c r="E75" s="3" t="n">
        <v>2</v>
      </c>
      <c r="F75" s="3" t="s">
        <v>40</v>
      </c>
      <c r="G75" s="3" t="s">
        <v>41</v>
      </c>
      <c r="H75" s="3" t="s">
        <v>38</v>
      </c>
      <c r="I75" s="4" t="n">
        <v>0.36</v>
      </c>
      <c r="J75" s="4" t="n">
        <v>0.1</v>
      </c>
      <c r="K75" s="4" t="n">
        <v>1.5</v>
      </c>
      <c r="L75" s="4" t="n">
        <f aca="false">I75*J75</f>
        <v>0.036</v>
      </c>
      <c r="M75" s="4" t="n">
        <f aca="false">MIN(1,I75*J75*K75)</f>
        <v>0.054</v>
      </c>
      <c r="N75" s="4" t="n">
        <f aca="false">N74*M75</f>
        <v>0.007776</v>
      </c>
      <c r="O75" s="4" t="n">
        <f aca="false">'Settings '!$B$8</f>
        <v>0.1</v>
      </c>
      <c r="P75" s="4" t="n">
        <f aca="false">MIN(1,I75*O75*K75)</f>
        <v>0.054</v>
      </c>
      <c r="Q75" s="4" t="n">
        <f aca="false">Q74*P75</f>
        <v>0.007776</v>
      </c>
      <c r="R75" s="4" t="n">
        <f aca="false">'Settings '!$B$9</f>
        <v>0.9</v>
      </c>
      <c r="S75" s="4" t="n">
        <f aca="false">MIN(1,I75*R75*K75)</f>
        <v>0.486</v>
      </c>
      <c r="T75" s="4" t="n">
        <f aca="false">T74*S75</f>
        <v>0.486</v>
      </c>
      <c r="U75" s="4" t="str">
        <f aca="false">IF(E75=4,N75,"")</f>
        <v/>
      </c>
      <c r="V75" s="4" t="str">
        <f aca="false">IF(E75=4,Q75,"")</f>
        <v/>
      </c>
      <c r="W75" s="4" t="str">
        <f aca="false">IF(E75=4,T75,"")</f>
        <v/>
      </c>
      <c r="X75" s="4" t="str">
        <f aca="false">IF(E75=4,IFERROR((LN(U75)-LN(V75))/(LN(W75)-LN(V75)),0),"")</f>
        <v/>
      </c>
      <c r="Y75" s="3" t="str">
        <f aca="false">IF(E75=4,IF(X75&gt;='Settings '!$B$7,"Risk A",IF(X75&gt;='Settings '!$B$6,"Risk B","Risk C")),"")</f>
        <v/>
      </c>
      <c r="Z75" s="3" t="n">
        <f aca="false">IF(Y75="Risk B",1,0)</f>
        <v>0</v>
      </c>
      <c r="AA75" s="3" t="n">
        <f aca="false">IF(J75&gt;='Settings '!$B$10,1,0)</f>
        <v>0</v>
      </c>
      <c r="AB75" s="3" t="n">
        <f aca="false">IF(M75&gt;='Settings '!$B$11,1,0)</f>
        <v>0</v>
      </c>
      <c r="AC75" s="4" t="n">
        <f aca="false">ABS(M75-MIN(1,I75*J75*K75))</f>
        <v>0</v>
      </c>
    </row>
    <row r="76" customFormat="false" ht="14.25" hidden="false" customHeight="true" outlineLevel="0" collapsed="false">
      <c r="A76" s="3" t="s">
        <v>29</v>
      </c>
      <c r="B76" s="3" t="n">
        <v>19</v>
      </c>
      <c r="C76" s="3" t="s">
        <v>76</v>
      </c>
      <c r="D76" s="3" t="s">
        <v>39</v>
      </c>
      <c r="E76" s="3" t="n">
        <v>3</v>
      </c>
      <c r="F76" s="3" t="s">
        <v>40</v>
      </c>
      <c r="G76" s="3" t="s">
        <v>41</v>
      </c>
      <c r="H76" s="3" t="s">
        <v>42</v>
      </c>
      <c r="I76" s="4" t="n">
        <v>0.36</v>
      </c>
      <c r="J76" s="4" t="n">
        <v>0.1</v>
      </c>
      <c r="K76" s="4" t="n">
        <v>2</v>
      </c>
      <c r="L76" s="4" t="n">
        <f aca="false">I76*J76</f>
        <v>0.036</v>
      </c>
      <c r="M76" s="4" t="n">
        <f aca="false">MIN(1,I76*J76*K76)</f>
        <v>0.072</v>
      </c>
      <c r="N76" s="4" t="n">
        <f aca="false">N75*M76</f>
        <v>0.000559872</v>
      </c>
      <c r="O76" s="4" t="n">
        <f aca="false">'Settings '!$B$8</f>
        <v>0.1</v>
      </c>
      <c r="P76" s="4" t="n">
        <f aca="false">MIN(1,I76*O76*K76)</f>
        <v>0.072</v>
      </c>
      <c r="Q76" s="4" t="n">
        <f aca="false">Q75*P76</f>
        <v>0.000559872</v>
      </c>
      <c r="R76" s="4" t="n">
        <f aca="false">'Settings '!$B$9</f>
        <v>0.9</v>
      </c>
      <c r="S76" s="4" t="n">
        <f aca="false">MIN(1,I76*R76*K76)</f>
        <v>0.648</v>
      </c>
      <c r="T76" s="4" t="n">
        <f aca="false">T75*S76</f>
        <v>0.314928</v>
      </c>
      <c r="U76" s="4" t="str">
        <f aca="false">IF(E76=4,N76,"")</f>
        <v/>
      </c>
      <c r="V76" s="4" t="str">
        <f aca="false">IF(E76=4,Q76,"")</f>
        <v/>
      </c>
      <c r="W76" s="4" t="str">
        <f aca="false">IF(E76=4,T76,"")</f>
        <v/>
      </c>
      <c r="X76" s="4" t="str">
        <f aca="false">IF(E76=4,IFERROR((LN(U76)-LN(V76))/(LN(W76)-LN(V76)),0),"")</f>
        <v/>
      </c>
      <c r="Y76" s="3" t="str">
        <f aca="false">IF(E76=4,IF(X76&gt;='Settings '!$B$7,"Risk A",IF(X76&gt;='Settings '!$B$6,"Risk B","Risk C")),"")</f>
        <v/>
      </c>
      <c r="Z76" s="3" t="n">
        <f aca="false">IF(Y76="Risk B",1,0)</f>
        <v>0</v>
      </c>
      <c r="AA76" s="3" t="n">
        <f aca="false">IF(J76&gt;='Settings '!$B$10,1,0)</f>
        <v>0</v>
      </c>
      <c r="AB76" s="3" t="n">
        <f aca="false">IF(M76&gt;='Settings '!$B$11,1,0)</f>
        <v>0</v>
      </c>
      <c r="AC76" s="4" t="n">
        <f aca="false">ABS(M76-MIN(1,I76*J76*K76))</f>
        <v>0</v>
      </c>
    </row>
    <row r="77" customFormat="false" ht="14.25" hidden="false" customHeight="true" outlineLevel="0" collapsed="false">
      <c r="A77" s="3" t="s">
        <v>29</v>
      </c>
      <c r="B77" s="3" t="n">
        <v>19</v>
      </c>
      <c r="C77" s="3" t="s">
        <v>76</v>
      </c>
      <c r="D77" s="3" t="s">
        <v>43</v>
      </c>
      <c r="E77" s="3" t="n">
        <v>4</v>
      </c>
      <c r="F77" s="3" t="s">
        <v>51</v>
      </c>
      <c r="G77" s="3" t="s">
        <v>52</v>
      </c>
      <c r="H77" s="3" t="s">
        <v>46</v>
      </c>
      <c r="I77" s="4" t="n">
        <v>0.18</v>
      </c>
      <c r="J77" s="4" t="n">
        <v>0.28</v>
      </c>
      <c r="K77" s="4" t="n">
        <v>2</v>
      </c>
      <c r="L77" s="4" t="n">
        <f aca="false">I77*J77</f>
        <v>0.0504</v>
      </c>
      <c r="M77" s="4" t="n">
        <f aca="false">MIN(1,I77*J77*K77)</f>
        <v>0.1008</v>
      </c>
      <c r="N77" s="4" t="n">
        <f aca="false">N76*M77</f>
        <v>5.64350976E-005</v>
      </c>
      <c r="O77" s="4" t="n">
        <f aca="false">'Settings '!$B$8</f>
        <v>0.1</v>
      </c>
      <c r="P77" s="4" t="n">
        <f aca="false">MIN(1,I77*O77*K77)</f>
        <v>0.036</v>
      </c>
      <c r="Q77" s="4" t="n">
        <f aca="false">Q76*P77</f>
        <v>2.0155392E-005</v>
      </c>
      <c r="R77" s="4" t="n">
        <f aca="false">'Settings '!$B$9</f>
        <v>0.9</v>
      </c>
      <c r="S77" s="4" t="n">
        <f aca="false">MIN(1,I77*R77*K77)</f>
        <v>0.324</v>
      </c>
      <c r="T77" s="4" t="n">
        <f aca="false">T76*S77</f>
        <v>0.102036672</v>
      </c>
      <c r="U77" s="4" t="n">
        <f aca="false">IF(E77=4,N77,"")</f>
        <v>5.64350976E-005</v>
      </c>
      <c r="V77" s="4" t="n">
        <f aca="false">IF(E77=4,Q77,"")</f>
        <v>2.0155392E-005</v>
      </c>
      <c r="W77" s="4" t="n">
        <f aca="false">IF(E77=4,T77,"")</f>
        <v>0.102036672</v>
      </c>
      <c r="X77" s="4" t="n">
        <f aca="false">IF(E77=4,IFERROR((LN(U77)-LN(V77))/(LN(W77)-LN(V77)),0),"")</f>
        <v>0.120711114312368</v>
      </c>
      <c r="Y77" s="3" t="str">
        <f aca="false">IF(E77=4,IF(X77&gt;='Settings '!$B$7,"Risk A",IF(X77&gt;='Settings '!$B$6,"Risk B","Risk C")),"")</f>
        <v>Risk C</v>
      </c>
      <c r="Z77" s="3" t="n">
        <f aca="false">IF(Y77="Risk B",1,0)</f>
        <v>0</v>
      </c>
      <c r="AA77" s="3" t="n">
        <f aca="false">IF(J77&gt;='Settings '!$B$10,1,0)</f>
        <v>1</v>
      </c>
      <c r="AB77" s="3" t="n">
        <f aca="false">IF(M77&gt;='Settings '!$B$11,1,0)</f>
        <v>0</v>
      </c>
      <c r="AC77" s="4" t="n">
        <f aca="false">ABS(M77-MIN(1,I77*J77*K77))</f>
        <v>0</v>
      </c>
    </row>
    <row r="78" customFormat="false" ht="25.5" hidden="false" customHeight="true" outlineLevel="0" collapsed="false">
      <c r="A78" s="3" t="s">
        <v>29</v>
      </c>
      <c r="B78" s="3" t="n">
        <v>20</v>
      </c>
      <c r="C78" s="3" t="s">
        <v>77</v>
      </c>
      <c r="D78" s="3" t="s">
        <v>31</v>
      </c>
      <c r="E78" s="3" t="n">
        <v>1</v>
      </c>
      <c r="F78" s="3" t="s">
        <v>32</v>
      </c>
      <c r="G78" s="3" t="s">
        <v>33</v>
      </c>
      <c r="H78" s="3" t="s">
        <v>34</v>
      </c>
      <c r="I78" s="4" t="n">
        <v>0.72</v>
      </c>
      <c r="J78" s="4" t="n">
        <v>0.1</v>
      </c>
      <c r="K78" s="4" t="n">
        <v>2</v>
      </c>
      <c r="L78" s="4" t="n">
        <f aca="false">I78*J78</f>
        <v>0.072</v>
      </c>
      <c r="M78" s="4" t="n">
        <f aca="false">MIN(1,I78*J78*K78)</f>
        <v>0.144</v>
      </c>
      <c r="N78" s="4" t="n">
        <f aca="false">M78</f>
        <v>0.144</v>
      </c>
      <c r="O78" s="4" t="n">
        <f aca="false">'Settings '!$B$8</f>
        <v>0.1</v>
      </c>
      <c r="P78" s="4" t="n">
        <f aca="false">MIN(1,I78*O78*K78)</f>
        <v>0.144</v>
      </c>
      <c r="Q78" s="4" t="n">
        <f aca="false">P78</f>
        <v>0.144</v>
      </c>
      <c r="R78" s="4" t="n">
        <f aca="false">'Settings '!$B$9</f>
        <v>0.9</v>
      </c>
      <c r="S78" s="4" t="n">
        <f aca="false">MIN(1,I78*R78*K78)</f>
        <v>1</v>
      </c>
      <c r="T78" s="4" t="n">
        <f aca="false">S78</f>
        <v>1</v>
      </c>
      <c r="U78" s="4" t="str">
        <f aca="false">IF(E78=4,N78,"")</f>
        <v/>
      </c>
      <c r="V78" s="4" t="str">
        <f aca="false">IF(E78=4,Q78,"")</f>
        <v/>
      </c>
      <c r="W78" s="4" t="str">
        <f aca="false">IF(E78=4,T78,"")</f>
        <v/>
      </c>
      <c r="X78" s="4" t="str">
        <f aca="false">IF(E78=4,IFERROR((LN(U78)-LN(V78))/(LN(W78)-LN(V78)),0),"")</f>
        <v/>
      </c>
      <c r="Y78" s="3" t="str">
        <f aca="false">IF(E78=4,IF(X78&gt;='Settings '!$B$7,"Risk A",IF(X78&gt;='Settings '!$B$6,"Risk B","Risk C")),"")</f>
        <v/>
      </c>
      <c r="Z78" s="3" t="n">
        <f aca="false">IF(Y78="Risk B",1,0)</f>
        <v>0</v>
      </c>
      <c r="AA78" s="3" t="n">
        <f aca="false">IF(J78&gt;='Settings '!$B$10,1,0)</f>
        <v>0</v>
      </c>
      <c r="AB78" s="3" t="n">
        <f aca="false">IF(M78&gt;='Settings '!$B$11,1,0)</f>
        <v>0</v>
      </c>
      <c r="AC78" s="4" t="n">
        <f aca="false">ABS(M78-MIN(1,I78*J78*K78))</f>
        <v>0</v>
      </c>
    </row>
    <row r="79" customFormat="false" ht="14.25" hidden="false" customHeight="true" outlineLevel="0" collapsed="false">
      <c r="A79" s="3" t="s">
        <v>29</v>
      </c>
      <c r="B79" s="3" t="n">
        <v>20</v>
      </c>
      <c r="C79" s="3" t="s">
        <v>77</v>
      </c>
      <c r="D79" s="3" t="s">
        <v>35</v>
      </c>
      <c r="E79" s="3" t="n">
        <v>2</v>
      </c>
      <c r="F79" s="3" t="s">
        <v>40</v>
      </c>
      <c r="G79" s="3" t="s">
        <v>41</v>
      </c>
      <c r="H79" s="3" t="s">
        <v>38</v>
      </c>
      <c r="I79" s="4" t="n">
        <v>0.36</v>
      </c>
      <c r="J79" s="4" t="n">
        <v>0.1</v>
      </c>
      <c r="K79" s="4" t="n">
        <v>1.5</v>
      </c>
      <c r="L79" s="4" t="n">
        <f aca="false">I79*J79</f>
        <v>0.036</v>
      </c>
      <c r="M79" s="4" t="n">
        <f aca="false">MIN(1,I79*J79*K79)</f>
        <v>0.054</v>
      </c>
      <c r="N79" s="4" t="n">
        <f aca="false">N78*M79</f>
        <v>0.007776</v>
      </c>
      <c r="O79" s="4" t="n">
        <f aca="false">'Settings '!$B$8</f>
        <v>0.1</v>
      </c>
      <c r="P79" s="4" t="n">
        <f aca="false">MIN(1,I79*O79*K79)</f>
        <v>0.054</v>
      </c>
      <c r="Q79" s="4" t="n">
        <f aca="false">Q78*P79</f>
        <v>0.007776</v>
      </c>
      <c r="R79" s="4" t="n">
        <f aca="false">'Settings '!$B$9</f>
        <v>0.9</v>
      </c>
      <c r="S79" s="4" t="n">
        <f aca="false">MIN(1,I79*R79*K79)</f>
        <v>0.486</v>
      </c>
      <c r="T79" s="4" t="n">
        <f aca="false">T78*S79</f>
        <v>0.486</v>
      </c>
      <c r="U79" s="4" t="str">
        <f aca="false">IF(E79=4,N79,"")</f>
        <v/>
      </c>
      <c r="V79" s="4" t="str">
        <f aca="false">IF(E79=4,Q79,"")</f>
        <v/>
      </c>
      <c r="W79" s="4" t="str">
        <f aca="false">IF(E79=4,T79,"")</f>
        <v/>
      </c>
      <c r="X79" s="4" t="str">
        <f aca="false">IF(E79=4,IFERROR((LN(U79)-LN(V79))/(LN(W79)-LN(V79)),0),"")</f>
        <v/>
      </c>
      <c r="Y79" s="3" t="str">
        <f aca="false">IF(E79=4,IF(X79&gt;='Settings '!$B$7,"Risk A",IF(X79&gt;='Settings '!$B$6,"Risk B","Risk C")),"")</f>
        <v/>
      </c>
      <c r="Z79" s="3" t="n">
        <f aca="false">IF(Y79="Risk B",1,0)</f>
        <v>0</v>
      </c>
      <c r="AA79" s="3" t="n">
        <f aca="false">IF(J79&gt;='Settings '!$B$10,1,0)</f>
        <v>0</v>
      </c>
      <c r="AB79" s="3" t="n">
        <f aca="false">IF(M79&gt;='Settings '!$B$11,1,0)</f>
        <v>0</v>
      </c>
      <c r="AC79" s="4" t="n">
        <f aca="false">ABS(M79-MIN(1,I79*J79*K79))</f>
        <v>0</v>
      </c>
    </row>
    <row r="80" customFormat="false" ht="14.25" hidden="false" customHeight="true" outlineLevel="0" collapsed="false">
      <c r="A80" s="3" t="s">
        <v>29</v>
      </c>
      <c r="B80" s="3" t="n">
        <v>20</v>
      </c>
      <c r="C80" s="3" t="s">
        <v>77</v>
      </c>
      <c r="D80" s="3" t="s">
        <v>39</v>
      </c>
      <c r="E80" s="3" t="n">
        <v>3</v>
      </c>
      <c r="F80" s="3" t="s">
        <v>40</v>
      </c>
      <c r="G80" s="3" t="s">
        <v>41</v>
      </c>
      <c r="H80" s="3" t="s">
        <v>42</v>
      </c>
      <c r="I80" s="4" t="n">
        <v>0.36</v>
      </c>
      <c r="J80" s="4" t="n">
        <v>0.1</v>
      </c>
      <c r="K80" s="4" t="n">
        <v>2</v>
      </c>
      <c r="L80" s="4" t="n">
        <f aca="false">I80*J80</f>
        <v>0.036</v>
      </c>
      <c r="M80" s="4" t="n">
        <f aca="false">MIN(1,I80*J80*K80)</f>
        <v>0.072</v>
      </c>
      <c r="N80" s="4" t="n">
        <f aca="false">N79*M80</f>
        <v>0.000559872</v>
      </c>
      <c r="O80" s="4" t="n">
        <f aca="false">'Settings '!$B$8</f>
        <v>0.1</v>
      </c>
      <c r="P80" s="4" t="n">
        <f aca="false">MIN(1,I80*O80*K80)</f>
        <v>0.072</v>
      </c>
      <c r="Q80" s="4" t="n">
        <f aca="false">Q79*P80</f>
        <v>0.000559872</v>
      </c>
      <c r="R80" s="4" t="n">
        <f aca="false">'Settings '!$B$9</f>
        <v>0.9</v>
      </c>
      <c r="S80" s="4" t="n">
        <f aca="false">MIN(1,I80*R80*K80)</f>
        <v>0.648</v>
      </c>
      <c r="T80" s="4" t="n">
        <f aca="false">T79*S80</f>
        <v>0.314928</v>
      </c>
      <c r="U80" s="4" t="str">
        <f aca="false">IF(E80=4,N80,"")</f>
        <v/>
      </c>
      <c r="V80" s="4" t="str">
        <f aca="false">IF(E80=4,Q80,"")</f>
        <v/>
      </c>
      <c r="W80" s="4" t="str">
        <f aca="false">IF(E80=4,T80,"")</f>
        <v/>
      </c>
      <c r="X80" s="4" t="str">
        <f aca="false">IF(E80=4,IFERROR((LN(U80)-LN(V80))/(LN(W80)-LN(V80)),0),"")</f>
        <v/>
      </c>
      <c r="Y80" s="3" t="str">
        <f aca="false">IF(E80=4,IF(X80&gt;='Settings '!$B$7,"Risk A",IF(X80&gt;='Settings '!$B$6,"Risk B","Risk C")),"")</f>
        <v/>
      </c>
      <c r="Z80" s="3" t="n">
        <f aca="false">IF(Y80="Risk B",1,0)</f>
        <v>0</v>
      </c>
      <c r="AA80" s="3" t="n">
        <f aca="false">IF(J80&gt;='Settings '!$B$10,1,0)</f>
        <v>0</v>
      </c>
      <c r="AB80" s="3" t="n">
        <f aca="false">IF(M80&gt;='Settings '!$B$11,1,0)</f>
        <v>0</v>
      </c>
      <c r="AC80" s="4" t="n">
        <f aca="false">ABS(M80-MIN(1,I80*J80*K80))</f>
        <v>0</v>
      </c>
    </row>
    <row r="81" customFormat="false" ht="14.25" hidden="false" customHeight="true" outlineLevel="0" collapsed="false">
      <c r="A81" s="3" t="s">
        <v>29</v>
      </c>
      <c r="B81" s="3" t="n">
        <v>20</v>
      </c>
      <c r="C81" s="3" t="s">
        <v>77</v>
      </c>
      <c r="D81" s="3" t="s">
        <v>43</v>
      </c>
      <c r="E81" s="3" t="n">
        <v>4</v>
      </c>
      <c r="F81" s="3" t="s">
        <v>54</v>
      </c>
      <c r="G81" s="3" t="s">
        <v>55</v>
      </c>
      <c r="H81" s="3" t="s">
        <v>46</v>
      </c>
      <c r="I81" s="4" t="n">
        <v>0.18</v>
      </c>
      <c r="J81" s="4" t="n">
        <v>0.28</v>
      </c>
      <c r="K81" s="4" t="n">
        <v>2</v>
      </c>
      <c r="L81" s="4" t="n">
        <f aca="false">I81*J81</f>
        <v>0.0504</v>
      </c>
      <c r="M81" s="4" t="n">
        <f aca="false">MIN(1,I81*J81*K81)</f>
        <v>0.1008</v>
      </c>
      <c r="N81" s="4" t="n">
        <f aca="false">N80*M81</f>
        <v>5.64350976E-005</v>
      </c>
      <c r="O81" s="4" t="n">
        <f aca="false">'Settings '!$B$8</f>
        <v>0.1</v>
      </c>
      <c r="P81" s="4" t="n">
        <f aca="false">MIN(1,I81*O81*K81)</f>
        <v>0.036</v>
      </c>
      <c r="Q81" s="4" t="n">
        <f aca="false">Q80*P81</f>
        <v>2.0155392E-005</v>
      </c>
      <c r="R81" s="4" t="n">
        <f aca="false">'Settings '!$B$9</f>
        <v>0.9</v>
      </c>
      <c r="S81" s="4" t="n">
        <f aca="false">MIN(1,I81*R81*K81)</f>
        <v>0.324</v>
      </c>
      <c r="T81" s="4" t="n">
        <f aca="false">T80*S81</f>
        <v>0.102036672</v>
      </c>
      <c r="U81" s="4" t="n">
        <f aca="false">IF(E81=4,N81,"")</f>
        <v>5.64350976E-005</v>
      </c>
      <c r="V81" s="4" t="n">
        <f aca="false">IF(E81=4,Q81,"")</f>
        <v>2.0155392E-005</v>
      </c>
      <c r="W81" s="4" t="n">
        <f aca="false">IF(E81=4,T81,"")</f>
        <v>0.102036672</v>
      </c>
      <c r="X81" s="4" t="n">
        <f aca="false">IF(E81=4,IFERROR((LN(U81)-LN(V81))/(LN(W81)-LN(V81)),0),"")</f>
        <v>0.120711114312368</v>
      </c>
      <c r="Y81" s="3" t="str">
        <f aca="false">IF(E81=4,IF(X81&gt;='Settings '!$B$7,"Risk A",IF(X81&gt;='Settings '!$B$6,"Risk B","Risk C")),"")</f>
        <v>Risk C</v>
      </c>
      <c r="Z81" s="3" t="n">
        <f aca="false">IF(Y81="Risk B",1,0)</f>
        <v>0</v>
      </c>
      <c r="AA81" s="3" t="n">
        <f aca="false">IF(J81&gt;='Settings '!$B$10,1,0)</f>
        <v>1</v>
      </c>
      <c r="AB81" s="3" t="n">
        <f aca="false">IF(M81&gt;='Settings '!$B$11,1,0)</f>
        <v>0</v>
      </c>
      <c r="AC81" s="4" t="n">
        <f aca="false">ABS(M81-MIN(1,I81*J81*K81))</f>
        <v>0</v>
      </c>
    </row>
    <row r="82" customFormat="false" ht="25.5" hidden="false" customHeight="true" outlineLevel="0" collapsed="false">
      <c r="A82" s="3" t="s">
        <v>29</v>
      </c>
      <c r="B82" s="3" t="n">
        <v>21</v>
      </c>
      <c r="C82" s="3" t="s">
        <v>78</v>
      </c>
      <c r="D82" s="3" t="s">
        <v>31</v>
      </c>
      <c r="E82" s="3" t="n">
        <v>1</v>
      </c>
      <c r="F82" s="3" t="s">
        <v>32</v>
      </c>
      <c r="G82" s="3" t="s">
        <v>33</v>
      </c>
      <c r="H82" s="3" t="s">
        <v>34</v>
      </c>
      <c r="I82" s="4" t="n">
        <v>0.72</v>
      </c>
      <c r="J82" s="4" t="n">
        <v>0.1</v>
      </c>
      <c r="K82" s="4" t="n">
        <v>2</v>
      </c>
      <c r="L82" s="4" t="n">
        <f aca="false">I82*J82</f>
        <v>0.072</v>
      </c>
      <c r="M82" s="4" t="n">
        <f aca="false">MIN(1,I82*J82*K82)</f>
        <v>0.144</v>
      </c>
      <c r="N82" s="4" t="n">
        <f aca="false">M82</f>
        <v>0.144</v>
      </c>
      <c r="O82" s="4" t="n">
        <f aca="false">'Settings '!$B$8</f>
        <v>0.1</v>
      </c>
      <c r="P82" s="4" t="n">
        <f aca="false">MIN(1,I82*O82*K82)</f>
        <v>0.144</v>
      </c>
      <c r="Q82" s="4" t="n">
        <f aca="false">P82</f>
        <v>0.144</v>
      </c>
      <c r="R82" s="4" t="n">
        <f aca="false">'Settings '!$B$9</f>
        <v>0.9</v>
      </c>
      <c r="S82" s="4" t="n">
        <f aca="false">MIN(1,I82*R82*K82)</f>
        <v>1</v>
      </c>
      <c r="T82" s="4" t="n">
        <f aca="false">S82</f>
        <v>1</v>
      </c>
      <c r="U82" s="4" t="str">
        <f aca="false">IF(E82=4,N82,"")</f>
        <v/>
      </c>
      <c r="V82" s="4" t="str">
        <f aca="false">IF(E82=4,Q82,"")</f>
        <v/>
      </c>
      <c r="W82" s="4" t="str">
        <f aca="false">IF(E82=4,T82,"")</f>
        <v/>
      </c>
      <c r="X82" s="4" t="str">
        <f aca="false">IF(E82=4,IFERROR((LN(U82)-LN(V82))/(LN(W82)-LN(V82)),0),"")</f>
        <v/>
      </c>
      <c r="Y82" s="3" t="str">
        <f aca="false">IF(E82=4,IF(X82&gt;='Settings '!$B$7,"Risk A",IF(X82&gt;='Settings '!$B$6,"Risk B","Risk C")),"")</f>
        <v/>
      </c>
      <c r="Z82" s="3" t="n">
        <f aca="false">IF(Y82="Risk B",1,0)</f>
        <v>0</v>
      </c>
      <c r="AA82" s="3" t="n">
        <f aca="false">IF(J82&gt;='Settings '!$B$10,1,0)</f>
        <v>0</v>
      </c>
      <c r="AB82" s="3" t="n">
        <f aca="false">IF(M82&gt;='Settings '!$B$11,1,0)</f>
        <v>0</v>
      </c>
      <c r="AC82" s="4" t="n">
        <f aca="false">ABS(M82-MIN(1,I82*J82*K82))</f>
        <v>0</v>
      </c>
    </row>
    <row r="83" customFormat="false" ht="14.25" hidden="false" customHeight="true" outlineLevel="0" collapsed="false">
      <c r="A83" s="3" t="s">
        <v>29</v>
      </c>
      <c r="B83" s="3" t="n">
        <v>21</v>
      </c>
      <c r="C83" s="3" t="s">
        <v>78</v>
      </c>
      <c r="D83" s="3" t="s">
        <v>35</v>
      </c>
      <c r="E83" s="3" t="n">
        <v>2</v>
      </c>
      <c r="F83" s="3" t="s">
        <v>40</v>
      </c>
      <c r="G83" s="3" t="s">
        <v>41</v>
      </c>
      <c r="H83" s="3" t="s">
        <v>38</v>
      </c>
      <c r="I83" s="4" t="n">
        <v>0.36</v>
      </c>
      <c r="J83" s="4" t="n">
        <v>0.1</v>
      </c>
      <c r="K83" s="4" t="n">
        <v>1.5</v>
      </c>
      <c r="L83" s="4" t="n">
        <f aca="false">I83*J83</f>
        <v>0.036</v>
      </c>
      <c r="M83" s="4" t="n">
        <f aca="false">MIN(1,I83*J83*K83)</f>
        <v>0.054</v>
      </c>
      <c r="N83" s="4" t="n">
        <f aca="false">N82*M83</f>
        <v>0.007776</v>
      </c>
      <c r="O83" s="4" t="n">
        <f aca="false">'Settings '!$B$8</f>
        <v>0.1</v>
      </c>
      <c r="P83" s="4" t="n">
        <f aca="false">MIN(1,I83*O83*K83)</f>
        <v>0.054</v>
      </c>
      <c r="Q83" s="4" t="n">
        <f aca="false">Q82*P83</f>
        <v>0.007776</v>
      </c>
      <c r="R83" s="4" t="n">
        <f aca="false">'Settings '!$B$9</f>
        <v>0.9</v>
      </c>
      <c r="S83" s="4" t="n">
        <f aca="false">MIN(1,I83*R83*K83)</f>
        <v>0.486</v>
      </c>
      <c r="T83" s="4" t="n">
        <f aca="false">T82*S83</f>
        <v>0.486</v>
      </c>
      <c r="U83" s="4" t="str">
        <f aca="false">IF(E83=4,N83,"")</f>
        <v/>
      </c>
      <c r="V83" s="4" t="str">
        <f aca="false">IF(E83=4,Q83,"")</f>
        <v/>
      </c>
      <c r="W83" s="4" t="str">
        <f aca="false">IF(E83=4,T83,"")</f>
        <v/>
      </c>
      <c r="X83" s="4" t="str">
        <f aca="false">IF(E83=4,IFERROR((LN(U83)-LN(V83))/(LN(W83)-LN(V83)),0),"")</f>
        <v/>
      </c>
      <c r="Y83" s="3" t="str">
        <f aca="false">IF(E83=4,IF(X83&gt;='Settings '!$B$7,"Risk A",IF(X83&gt;='Settings '!$B$6,"Risk B","Risk C")),"")</f>
        <v/>
      </c>
      <c r="Z83" s="3" t="n">
        <f aca="false">IF(Y83="Risk B",1,0)</f>
        <v>0</v>
      </c>
      <c r="AA83" s="3" t="n">
        <f aca="false">IF(J83&gt;='Settings '!$B$10,1,0)</f>
        <v>0</v>
      </c>
      <c r="AB83" s="3" t="n">
        <f aca="false">IF(M83&gt;='Settings '!$B$11,1,0)</f>
        <v>0</v>
      </c>
      <c r="AC83" s="4" t="n">
        <f aca="false">ABS(M83-MIN(1,I83*J83*K83))</f>
        <v>0</v>
      </c>
    </row>
    <row r="84" customFormat="false" ht="14.25" hidden="false" customHeight="true" outlineLevel="0" collapsed="false">
      <c r="A84" s="3" t="s">
        <v>29</v>
      </c>
      <c r="B84" s="3" t="n">
        <v>21</v>
      </c>
      <c r="C84" s="3" t="s">
        <v>78</v>
      </c>
      <c r="D84" s="3" t="s">
        <v>39</v>
      </c>
      <c r="E84" s="3" t="n">
        <v>3</v>
      </c>
      <c r="F84" s="3" t="s">
        <v>57</v>
      </c>
      <c r="G84" s="3" t="s">
        <v>58</v>
      </c>
      <c r="H84" s="3" t="s">
        <v>42</v>
      </c>
      <c r="I84" s="4" t="n">
        <v>0.36</v>
      </c>
      <c r="J84" s="4" t="n">
        <v>0.1</v>
      </c>
      <c r="K84" s="4" t="n">
        <v>2</v>
      </c>
      <c r="L84" s="4" t="n">
        <f aca="false">I84*J84</f>
        <v>0.036</v>
      </c>
      <c r="M84" s="4" t="n">
        <f aca="false">MIN(1,I84*J84*K84)</f>
        <v>0.072</v>
      </c>
      <c r="N84" s="4" t="n">
        <f aca="false">N83*M84</f>
        <v>0.000559872</v>
      </c>
      <c r="O84" s="4" t="n">
        <f aca="false">'Settings '!$B$8</f>
        <v>0.1</v>
      </c>
      <c r="P84" s="4" t="n">
        <f aca="false">MIN(1,I84*O84*K84)</f>
        <v>0.072</v>
      </c>
      <c r="Q84" s="4" t="n">
        <f aca="false">Q83*P84</f>
        <v>0.000559872</v>
      </c>
      <c r="R84" s="4" t="n">
        <f aca="false">'Settings '!$B$9</f>
        <v>0.9</v>
      </c>
      <c r="S84" s="4" t="n">
        <f aca="false">MIN(1,I84*R84*K84)</f>
        <v>0.648</v>
      </c>
      <c r="T84" s="4" t="n">
        <f aca="false">T83*S84</f>
        <v>0.314928</v>
      </c>
      <c r="U84" s="4" t="str">
        <f aca="false">IF(E84=4,N84,"")</f>
        <v/>
      </c>
      <c r="V84" s="4" t="str">
        <f aca="false">IF(E84=4,Q84,"")</f>
        <v/>
      </c>
      <c r="W84" s="4" t="str">
        <f aca="false">IF(E84=4,T84,"")</f>
        <v/>
      </c>
      <c r="X84" s="4" t="str">
        <f aca="false">IF(E84=4,IFERROR((LN(U84)-LN(V84))/(LN(W84)-LN(V84)),0),"")</f>
        <v/>
      </c>
      <c r="Y84" s="3" t="str">
        <f aca="false">IF(E84=4,IF(X84&gt;='Settings '!$B$7,"Risk A",IF(X84&gt;='Settings '!$B$6,"Risk B","Risk C")),"")</f>
        <v/>
      </c>
      <c r="Z84" s="3" t="n">
        <f aca="false">IF(Y84="Risk B",1,0)</f>
        <v>0</v>
      </c>
      <c r="AA84" s="3" t="n">
        <f aca="false">IF(J84&gt;='Settings '!$B$10,1,0)</f>
        <v>0</v>
      </c>
      <c r="AB84" s="3" t="n">
        <f aca="false">IF(M84&gt;='Settings '!$B$11,1,0)</f>
        <v>0</v>
      </c>
      <c r="AC84" s="4" t="n">
        <f aca="false">ABS(M84-MIN(1,I84*J84*K84))</f>
        <v>0</v>
      </c>
    </row>
    <row r="85" customFormat="false" ht="14.25" hidden="false" customHeight="true" outlineLevel="0" collapsed="false">
      <c r="A85" s="3" t="s">
        <v>29</v>
      </c>
      <c r="B85" s="3" t="n">
        <v>21</v>
      </c>
      <c r="C85" s="3" t="s">
        <v>78</v>
      </c>
      <c r="D85" s="3" t="s">
        <v>43</v>
      </c>
      <c r="E85" s="3" t="n">
        <v>4</v>
      </c>
      <c r="F85" s="3" t="s">
        <v>44</v>
      </c>
      <c r="G85" s="3" t="s">
        <v>45</v>
      </c>
      <c r="H85" s="3" t="s">
        <v>46</v>
      </c>
      <c r="I85" s="4" t="n">
        <v>0.9</v>
      </c>
      <c r="J85" s="4" t="n">
        <v>0.1</v>
      </c>
      <c r="K85" s="4" t="n">
        <v>2</v>
      </c>
      <c r="L85" s="4" t="n">
        <f aca="false">I85*J85</f>
        <v>0.09</v>
      </c>
      <c r="M85" s="4" t="n">
        <f aca="false">MIN(1,I85*J85*K85)</f>
        <v>0.18</v>
      </c>
      <c r="N85" s="4" t="n">
        <f aca="false">N84*M85</f>
        <v>0.00010077696</v>
      </c>
      <c r="O85" s="4" t="n">
        <f aca="false">'Settings '!$B$8</f>
        <v>0.1</v>
      </c>
      <c r="P85" s="4" t="n">
        <f aca="false">MIN(1,I85*O85*K85)</f>
        <v>0.18</v>
      </c>
      <c r="Q85" s="4" t="n">
        <f aca="false">Q84*P85</f>
        <v>0.00010077696</v>
      </c>
      <c r="R85" s="4" t="n">
        <f aca="false">'Settings '!$B$9</f>
        <v>0.9</v>
      </c>
      <c r="S85" s="4" t="n">
        <f aca="false">MIN(1,I85*R85*K85)</f>
        <v>1</v>
      </c>
      <c r="T85" s="4" t="n">
        <f aca="false">T84*S85</f>
        <v>0.314928</v>
      </c>
      <c r="U85" s="4" t="n">
        <f aca="false">IF(E85=4,N85,"")</f>
        <v>0.00010077696</v>
      </c>
      <c r="V85" s="4" t="n">
        <f aca="false">IF(E85=4,Q85,"")</f>
        <v>0.00010077696</v>
      </c>
      <c r="W85" s="4" t="n">
        <f aca="false">IF(E85=4,T85,"")</f>
        <v>0.314928</v>
      </c>
      <c r="X85" s="4" t="n">
        <f aca="false">IF(E85=4,IFERROR((LN(U85)-LN(V85))/(LN(W85)-LN(V85)),0),"")</f>
        <v>0</v>
      </c>
      <c r="Y85" s="3" t="str">
        <f aca="false">IF(E85=4,IF(X85&gt;='Settings '!$B$7,"Risk A",IF(X85&gt;='Settings '!$B$6,"Risk B","Risk C")),"")</f>
        <v>Risk C</v>
      </c>
      <c r="Z85" s="3" t="n">
        <f aca="false">IF(Y85="Risk B",1,0)</f>
        <v>0</v>
      </c>
      <c r="AA85" s="3" t="n">
        <f aca="false">IF(J85&gt;='Settings '!$B$10,1,0)</f>
        <v>0</v>
      </c>
      <c r="AB85" s="3" t="n">
        <f aca="false">IF(M85&gt;='Settings '!$B$11,1,0)</f>
        <v>0</v>
      </c>
      <c r="AC85" s="4" t="n">
        <f aca="false">ABS(M85-MIN(1,I85*J85*K85))</f>
        <v>0</v>
      </c>
    </row>
    <row r="86" customFormat="false" ht="25.5" hidden="false" customHeight="true" outlineLevel="0" collapsed="false">
      <c r="A86" s="3" t="s">
        <v>29</v>
      </c>
      <c r="B86" s="3" t="n">
        <v>22</v>
      </c>
      <c r="C86" s="3" t="s">
        <v>79</v>
      </c>
      <c r="D86" s="3" t="s">
        <v>31</v>
      </c>
      <c r="E86" s="3" t="n">
        <v>1</v>
      </c>
      <c r="F86" s="3" t="s">
        <v>32</v>
      </c>
      <c r="G86" s="3" t="s">
        <v>33</v>
      </c>
      <c r="H86" s="3" t="s">
        <v>34</v>
      </c>
      <c r="I86" s="4" t="n">
        <v>0.72</v>
      </c>
      <c r="J86" s="4" t="n">
        <v>0.1</v>
      </c>
      <c r="K86" s="4" t="n">
        <v>2</v>
      </c>
      <c r="L86" s="4" t="n">
        <f aca="false">I86*J86</f>
        <v>0.072</v>
      </c>
      <c r="M86" s="4" t="n">
        <f aca="false">MIN(1,I86*J86*K86)</f>
        <v>0.144</v>
      </c>
      <c r="N86" s="4" t="n">
        <f aca="false">M86</f>
        <v>0.144</v>
      </c>
      <c r="O86" s="4" t="n">
        <f aca="false">'Settings '!$B$8</f>
        <v>0.1</v>
      </c>
      <c r="P86" s="4" t="n">
        <f aca="false">MIN(1,I86*O86*K86)</f>
        <v>0.144</v>
      </c>
      <c r="Q86" s="4" t="n">
        <f aca="false">P86</f>
        <v>0.144</v>
      </c>
      <c r="R86" s="4" t="n">
        <f aca="false">'Settings '!$B$9</f>
        <v>0.9</v>
      </c>
      <c r="S86" s="4" t="n">
        <f aca="false">MIN(1,I86*R86*K86)</f>
        <v>1</v>
      </c>
      <c r="T86" s="4" t="n">
        <f aca="false">S86</f>
        <v>1</v>
      </c>
      <c r="U86" s="4" t="str">
        <f aca="false">IF(E86=4,N86,"")</f>
        <v/>
      </c>
      <c r="V86" s="4" t="str">
        <f aca="false">IF(E86=4,Q86,"")</f>
        <v/>
      </c>
      <c r="W86" s="4" t="str">
        <f aca="false">IF(E86=4,T86,"")</f>
        <v/>
      </c>
      <c r="X86" s="4" t="str">
        <f aca="false">IF(E86=4,IFERROR((LN(U86)-LN(V86))/(LN(W86)-LN(V86)),0),"")</f>
        <v/>
      </c>
      <c r="Y86" s="3" t="str">
        <f aca="false">IF(E86=4,IF(X86&gt;='Settings '!$B$7,"Risk A",IF(X86&gt;='Settings '!$B$6,"Risk B","Risk C")),"")</f>
        <v/>
      </c>
      <c r="Z86" s="3" t="n">
        <f aca="false">IF(Y86="Risk B",1,0)</f>
        <v>0</v>
      </c>
      <c r="AA86" s="3" t="n">
        <f aca="false">IF(J86&gt;='Settings '!$B$10,1,0)</f>
        <v>0</v>
      </c>
      <c r="AB86" s="3" t="n">
        <f aca="false">IF(M86&gt;='Settings '!$B$11,1,0)</f>
        <v>0</v>
      </c>
      <c r="AC86" s="4" t="n">
        <f aca="false">ABS(M86-MIN(1,I86*J86*K86))</f>
        <v>0</v>
      </c>
    </row>
    <row r="87" customFormat="false" ht="14.25" hidden="false" customHeight="true" outlineLevel="0" collapsed="false">
      <c r="A87" s="3" t="s">
        <v>29</v>
      </c>
      <c r="B87" s="3" t="n">
        <v>22</v>
      </c>
      <c r="C87" s="3" t="s">
        <v>79</v>
      </c>
      <c r="D87" s="3" t="s">
        <v>35</v>
      </c>
      <c r="E87" s="3" t="n">
        <v>2</v>
      </c>
      <c r="F87" s="3" t="s">
        <v>40</v>
      </c>
      <c r="G87" s="3" t="s">
        <v>41</v>
      </c>
      <c r="H87" s="3" t="s">
        <v>38</v>
      </c>
      <c r="I87" s="4" t="n">
        <v>0.36</v>
      </c>
      <c r="J87" s="4" t="n">
        <v>0.1</v>
      </c>
      <c r="K87" s="4" t="n">
        <v>1.5</v>
      </c>
      <c r="L87" s="4" t="n">
        <f aca="false">I87*J87</f>
        <v>0.036</v>
      </c>
      <c r="M87" s="4" t="n">
        <f aca="false">MIN(1,I87*J87*K87)</f>
        <v>0.054</v>
      </c>
      <c r="N87" s="4" t="n">
        <f aca="false">N86*M87</f>
        <v>0.007776</v>
      </c>
      <c r="O87" s="4" t="n">
        <f aca="false">'Settings '!$B$8</f>
        <v>0.1</v>
      </c>
      <c r="P87" s="4" t="n">
        <f aca="false">MIN(1,I87*O87*K87)</f>
        <v>0.054</v>
      </c>
      <c r="Q87" s="4" t="n">
        <f aca="false">Q86*P87</f>
        <v>0.007776</v>
      </c>
      <c r="R87" s="4" t="n">
        <f aca="false">'Settings '!$B$9</f>
        <v>0.9</v>
      </c>
      <c r="S87" s="4" t="n">
        <f aca="false">MIN(1,I87*R87*K87)</f>
        <v>0.486</v>
      </c>
      <c r="T87" s="4" t="n">
        <f aca="false">T86*S87</f>
        <v>0.486</v>
      </c>
      <c r="U87" s="4" t="str">
        <f aca="false">IF(E87=4,N87,"")</f>
        <v/>
      </c>
      <c r="V87" s="4" t="str">
        <f aca="false">IF(E87=4,Q87,"")</f>
        <v/>
      </c>
      <c r="W87" s="4" t="str">
        <f aca="false">IF(E87=4,T87,"")</f>
        <v/>
      </c>
      <c r="X87" s="4" t="str">
        <f aca="false">IF(E87=4,IFERROR((LN(U87)-LN(V87))/(LN(W87)-LN(V87)),0),"")</f>
        <v/>
      </c>
      <c r="Y87" s="3" t="str">
        <f aca="false">IF(E87=4,IF(X87&gt;='Settings '!$B$7,"Risk A",IF(X87&gt;='Settings '!$B$6,"Risk B","Risk C")),"")</f>
        <v/>
      </c>
      <c r="Z87" s="3" t="n">
        <f aca="false">IF(Y87="Risk B",1,0)</f>
        <v>0</v>
      </c>
      <c r="AA87" s="3" t="n">
        <f aca="false">IF(J87&gt;='Settings '!$B$10,1,0)</f>
        <v>0</v>
      </c>
      <c r="AB87" s="3" t="n">
        <f aca="false">IF(M87&gt;='Settings '!$B$11,1,0)</f>
        <v>0</v>
      </c>
      <c r="AC87" s="4" t="n">
        <f aca="false">ABS(M87-MIN(1,I87*J87*K87))</f>
        <v>0</v>
      </c>
    </row>
    <row r="88" customFormat="false" ht="14.25" hidden="false" customHeight="true" outlineLevel="0" collapsed="false">
      <c r="A88" s="3" t="s">
        <v>29</v>
      </c>
      <c r="B88" s="3" t="n">
        <v>22</v>
      </c>
      <c r="C88" s="3" t="s">
        <v>79</v>
      </c>
      <c r="D88" s="3" t="s">
        <v>39</v>
      </c>
      <c r="E88" s="3" t="n">
        <v>3</v>
      </c>
      <c r="F88" s="3" t="s">
        <v>57</v>
      </c>
      <c r="G88" s="3" t="s">
        <v>58</v>
      </c>
      <c r="H88" s="3" t="s">
        <v>42</v>
      </c>
      <c r="I88" s="4" t="n">
        <v>0.36</v>
      </c>
      <c r="J88" s="4" t="n">
        <v>0.1</v>
      </c>
      <c r="K88" s="4" t="n">
        <v>2</v>
      </c>
      <c r="L88" s="4" t="n">
        <f aca="false">I88*J88</f>
        <v>0.036</v>
      </c>
      <c r="M88" s="4" t="n">
        <f aca="false">MIN(1,I88*J88*K88)</f>
        <v>0.072</v>
      </c>
      <c r="N88" s="4" t="n">
        <f aca="false">N87*M88</f>
        <v>0.000559872</v>
      </c>
      <c r="O88" s="4" t="n">
        <f aca="false">'Settings '!$B$8</f>
        <v>0.1</v>
      </c>
      <c r="P88" s="4" t="n">
        <f aca="false">MIN(1,I88*O88*K88)</f>
        <v>0.072</v>
      </c>
      <c r="Q88" s="4" t="n">
        <f aca="false">Q87*P88</f>
        <v>0.000559872</v>
      </c>
      <c r="R88" s="4" t="n">
        <f aca="false">'Settings '!$B$9</f>
        <v>0.9</v>
      </c>
      <c r="S88" s="4" t="n">
        <f aca="false">MIN(1,I88*R88*K88)</f>
        <v>0.648</v>
      </c>
      <c r="T88" s="4" t="n">
        <f aca="false">T87*S88</f>
        <v>0.314928</v>
      </c>
      <c r="U88" s="4" t="str">
        <f aca="false">IF(E88=4,N88,"")</f>
        <v/>
      </c>
      <c r="V88" s="4" t="str">
        <f aca="false">IF(E88=4,Q88,"")</f>
        <v/>
      </c>
      <c r="W88" s="4" t="str">
        <f aca="false">IF(E88=4,T88,"")</f>
        <v/>
      </c>
      <c r="X88" s="4" t="str">
        <f aca="false">IF(E88=4,IFERROR((LN(U88)-LN(V88))/(LN(W88)-LN(V88)),0),"")</f>
        <v/>
      </c>
      <c r="Y88" s="3" t="str">
        <f aca="false">IF(E88=4,IF(X88&gt;='Settings '!$B$7,"Risk A",IF(X88&gt;='Settings '!$B$6,"Risk B","Risk C")),"")</f>
        <v/>
      </c>
      <c r="Z88" s="3" t="n">
        <f aca="false">IF(Y88="Risk B",1,0)</f>
        <v>0</v>
      </c>
      <c r="AA88" s="3" t="n">
        <f aca="false">IF(J88&gt;='Settings '!$B$10,1,0)</f>
        <v>0</v>
      </c>
      <c r="AB88" s="3" t="n">
        <f aca="false">IF(M88&gt;='Settings '!$B$11,1,0)</f>
        <v>0</v>
      </c>
      <c r="AC88" s="4" t="n">
        <f aca="false">ABS(M88-MIN(1,I88*J88*K88))</f>
        <v>0</v>
      </c>
    </row>
    <row r="89" customFormat="false" ht="14.25" hidden="false" customHeight="true" outlineLevel="0" collapsed="false">
      <c r="A89" s="3" t="s">
        <v>29</v>
      </c>
      <c r="B89" s="3" t="n">
        <v>22</v>
      </c>
      <c r="C89" s="3" t="s">
        <v>79</v>
      </c>
      <c r="D89" s="3" t="s">
        <v>43</v>
      </c>
      <c r="E89" s="3" t="n">
        <v>4</v>
      </c>
      <c r="F89" s="3" t="s">
        <v>48</v>
      </c>
      <c r="G89" s="3" t="s">
        <v>49</v>
      </c>
      <c r="H89" s="3" t="s">
        <v>46</v>
      </c>
      <c r="I89" s="4" t="n">
        <v>0.72</v>
      </c>
      <c r="J89" s="4" t="n">
        <v>0.28</v>
      </c>
      <c r="K89" s="4" t="n">
        <v>2</v>
      </c>
      <c r="L89" s="4" t="n">
        <f aca="false">I89*J89</f>
        <v>0.2016</v>
      </c>
      <c r="M89" s="4" t="n">
        <f aca="false">MIN(1,I89*J89*K89)</f>
        <v>0.4032</v>
      </c>
      <c r="N89" s="4" t="n">
        <f aca="false">N88*M89</f>
        <v>0.0002257403904</v>
      </c>
      <c r="O89" s="4" t="n">
        <f aca="false">'Settings '!$B$8</f>
        <v>0.1</v>
      </c>
      <c r="P89" s="4" t="n">
        <f aca="false">MIN(1,I89*O89*K89)</f>
        <v>0.144</v>
      </c>
      <c r="Q89" s="4" t="n">
        <f aca="false">Q88*P89</f>
        <v>8.0621568E-005</v>
      </c>
      <c r="R89" s="4" t="n">
        <f aca="false">'Settings '!$B$9</f>
        <v>0.9</v>
      </c>
      <c r="S89" s="4" t="n">
        <f aca="false">MIN(1,I89*R89*K89)</f>
        <v>1</v>
      </c>
      <c r="T89" s="4" t="n">
        <f aca="false">T88*S89</f>
        <v>0.314928</v>
      </c>
      <c r="U89" s="4" t="n">
        <f aca="false">IF(E89=4,N89,"")</f>
        <v>0.0002257403904</v>
      </c>
      <c r="V89" s="4" t="n">
        <f aca="false">IF(E89=4,Q89,"")</f>
        <v>8.0621568E-005</v>
      </c>
      <c r="W89" s="4" t="n">
        <f aca="false">IF(E89=4,T89,"")</f>
        <v>0.314928</v>
      </c>
      <c r="X89" s="4" t="n">
        <f aca="false">IF(E89=4,IFERROR((LN(U89)-LN(V89))/(LN(W89)-LN(V89)),0),"")</f>
        <v>0.124495519473378</v>
      </c>
      <c r="Y89" s="3" t="str">
        <f aca="false">IF(E89=4,IF(X89&gt;='Settings '!$B$7,"Risk A",IF(X89&gt;='Settings '!$B$6,"Risk B","Risk C")),"")</f>
        <v>Risk C</v>
      </c>
      <c r="Z89" s="3" t="n">
        <f aca="false">IF(Y89="Risk B",1,0)</f>
        <v>0</v>
      </c>
      <c r="AA89" s="3" t="n">
        <f aca="false">IF(J89&gt;='Settings '!$B$10,1,0)</f>
        <v>1</v>
      </c>
      <c r="AB89" s="3" t="n">
        <f aca="false">IF(M89&gt;='Settings '!$B$11,1,0)</f>
        <v>1</v>
      </c>
      <c r="AC89" s="4" t="n">
        <f aca="false">ABS(M89-MIN(1,I89*J89*K89))</f>
        <v>0</v>
      </c>
    </row>
    <row r="90" customFormat="false" ht="25.5" hidden="false" customHeight="true" outlineLevel="0" collapsed="false">
      <c r="A90" s="3" t="s">
        <v>29</v>
      </c>
      <c r="B90" s="3" t="n">
        <v>23</v>
      </c>
      <c r="C90" s="3" t="s">
        <v>80</v>
      </c>
      <c r="D90" s="3" t="s">
        <v>31</v>
      </c>
      <c r="E90" s="3" t="n">
        <v>1</v>
      </c>
      <c r="F90" s="3" t="s">
        <v>32</v>
      </c>
      <c r="G90" s="3" t="s">
        <v>33</v>
      </c>
      <c r="H90" s="3" t="s">
        <v>34</v>
      </c>
      <c r="I90" s="4" t="n">
        <v>0.72</v>
      </c>
      <c r="J90" s="4" t="n">
        <v>0.1</v>
      </c>
      <c r="K90" s="4" t="n">
        <v>2</v>
      </c>
      <c r="L90" s="4" t="n">
        <f aca="false">I90*J90</f>
        <v>0.072</v>
      </c>
      <c r="M90" s="4" t="n">
        <f aca="false">MIN(1,I90*J90*K90)</f>
        <v>0.144</v>
      </c>
      <c r="N90" s="4" t="n">
        <f aca="false">M90</f>
        <v>0.144</v>
      </c>
      <c r="O90" s="4" t="n">
        <f aca="false">'Settings '!$B$8</f>
        <v>0.1</v>
      </c>
      <c r="P90" s="4" t="n">
        <f aca="false">MIN(1,I90*O90*K90)</f>
        <v>0.144</v>
      </c>
      <c r="Q90" s="4" t="n">
        <f aca="false">P90</f>
        <v>0.144</v>
      </c>
      <c r="R90" s="4" t="n">
        <f aca="false">'Settings '!$B$9</f>
        <v>0.9</v>
      </c>
      <c r="S90" s="4" t="n">
        <f aca="false">MIN(1,I90*R90*K90)</f>
        <v>1</v>
      </c>
      <c r="T90" s="4" t="n">
        <f aca="false">S90</f>
        <v>1</v>
      </c>
      <c r="U90" s="4" t="str">
        <f aca="false">IF(E90=4,N90,"")</f>
        <v/>
      </c>
      <c r="V90" s="4" t="str">
        <f aca="false">IF(E90=4,Q90,"")</f>
        <v/>
      </c>
      <c r="W90" s="4" t="str">
        <f aca="false">IF(E90=4,T90,"")</f>
        <v/>
      </c>
      <c r="X90" s="4" t="str">
        <f aca="false">IF(E90=4,IFERROR((LN(U90)-LN(V90))/(LN(W90)-LN(V90)),0),"")</f>
        <v/>
      </c>
      <c r="Y90" s="3" t="str">
        <f aca="false">IF(E90=4,IF(X90&gt;='Settings '!$B$7,"Risk A",IF(X90&gt;='Settings '!$B$6,"Risk B","Risk C")),"")</f>
        <v/>
      </c>
      <c r="Z90" s="3" t="n">
        <f aca="false">IF(Y90="Risk B",1,0)</f>
        <v>0</v>
      </c>
      <c r="AA90" s="3" t="n">
        <f aca="false">IF(J90&gt;='Settings '!$B$10,1,0)</f>
        <v>0</v>
      </c>
      <c r="AB90" s="3" t="n">
        <f aca="false">IF(M90&gt;='Settings '!$B$11,1,0)</f>
        <v>0</v>
      </c>
      <c r="AC90" s="4" t="n">
        <f aca="false">ABS(M90-MIN(1,I90*J90*K90))</f>
        <v>0</v>
      </c>
    </row>
    <row r="91" customFormat="false" ht="14.25" hidden="false" customHeight="true" outlineLevel="0" collapsed="false">
      <c r="A91" s="3" t="s">
        <v>29</v>
      </c>
      <c r="B91" s="3" t="n">
        <v>23</v>
      </c>
      <c r="C91" s="3" t="s">
        <v>80</v>
      </c>
      <c r="D91" s="3" t="s">
        <v>35</v>
      </c>
      <c r="E91" s="3" t="n">
        <v>2</v>
      </c>
      <c r="F91" s="3" t="s">
        <v>40</v>
      </c>
      <c r="G91" s="3" t="s">
        <v>41</v>
      </c>
      <c r="H91" s="3" t="s">
        <v>38</v>
      </c>
      <c r="I91" s="4" t="n">
        <v>0.36</v>
      </c>
      <c r="J91" s="4" t="n">
        <v>0.1</v>
      </c>
      <c r="K91" s="4" t="n">
        <v>1.5</v>
      </c>
      <c r="L91" s="4" t="n">
        <f aca="false">I91*J91</f>
        <v>0.036</v>
      </c>
      <c r="M91" s="4" t="n">
        <f aca="false">MIN(1,I91*J91*K91)</f>
        <v>0.054</v>
      </c>
      <c r="N91" s="4" t="n">
        <f aca="false">N90*M91</f>
        <v>0.007776</v>
      </c>
      <c r="O91" s="4" t="n">
        <f aca="false">'Settings '!$B$8</f>
        <v>0.1</v>
      </c>
      <c r="P91" s="4" t="n">
        <f aca="false">MIN(1,I91*O91*K91)</f>
        <v>0.054</v>
      </c>
      <c r="Q91" s="4" t="n">
        <f aca="false">Q90*P91</f>
        <v>0.007776</v>
      </c>
      <c r="R91" s="4" t="n">
        <f aca="false">'Settings '!$B$9</f>
        <v>0.9</v>
      </c>
      <c r="S91" s="4" t="n">
        <f aca="false">MIN(1,I91*R91*K91)</f>
        <v>0.486</v>
      </c>
      <c r="T91" s="4" t="n">
        <f aca="false">T90*S91</f>
        <v>0.486</v>
      </c>
      <c r="U91" s="4" t="str">
        <f aca="false">IF(E91=4,N91,"")</f>
        <v/>
      </c>
      <c r="V91" s="4" t="str">
        <f aca="false">IF(E91=4,Q91,"")</f>
        <v/>
      </c>
      <c r="W91" s="4" t="str">
        <f aca="false">IF(E91=4,T91,"")</f>
        <v/>
      </c>
      <c r="X91" s="4" t="str">
        <f aca="false">IF(E91=4,IFERROR((LN(U91)-LN(V91))/(LN(W91)-LN(V91)),0),"")</f>
        <v/>
      </c>
      <c r="Y91" s="3" t="str">
        <f aca="false">IF(E91=4,IF(X91&gt;='Settings '!$B$7,"Risk A",IF(X91&gt;='Settings '!$B$6,"Risk B","Risk C")),"")</f>
        <v/>
      </c>
      <c r="Z91" s="3" t="n">
        <f aca="false">IF(Y91="Risk B",1,0)</f>
        <v>0</v>
      </c>
      <c r="AA91" s="3" t="n">
        <f aca="false">IF(J91&gt;='Settings '!$B$10,1,0)</f>
        <v>0</v>
      </c>
      <c r="AB91" s="3" t="n">
        <f aca="false">IF(M91&gt;='Settings '!$B$11,1,0)</f>
        <v>0</v>
      </c>
      <c r="AC91" s="4" t="n">
        <f aca="false">ABS(M91-MIN(1,I91*J91*K91))</f>
        <v>0</v>
      </c>
    </row>
    <row r="92" customFormat="false" ht="14.25" hidden="false" customHeight="true" outlineLevel="0" collapsed="false">
      <c r="A92" s="3" t="s">
        <v>29</v>
      </c>
      <c r="B92" s="3" t="n">
        <v>23</v>
      </c>
      <c r="C92" s="3" t="s">
        <v>80</v>
      </c>
      <c r="D92" s="3" t="s">
        <v>39</v>
      </c>
      <c r="E92" s="3" t="n">
        <v>3</v>
      </c>
      <c r="F92" s="3" t="s">
        <v>57</v>
      </c>
      <c r="G92" s="3" t="s">
        <v>58</v>
      </c>
      <c r="H92" s="3" t="s">
        <v>42</v>
      </c>
      <c r="I92" s="4" t="n">
        <v>0.36</v>
      </c>
      <c r="J92" s="4" t="n">
        <v>0.1</v>
      </c>
      <c r="K92" s="4" t="n">
        <v>2</v>
      </c>
      <c r="L92" s="4" t="n">
        <f aca="false">I92*J92</f>
        <v>0.036</v>
      </c>
      <c r="M92" s="4" t="n">
        <f aca="false">MIN(1,I92*J92*K92)</f>
        <v>0.072</v>
      </c>
      <c r="N92" s="4" t="n">
        <f aca="false">N91*M92</f>
        <v>0.000559872</v>
      </c>
      <c r="O92" s="4" t="n">
        <f aca="false">'Settings '!$B$8</f>
        <v>0.1</v>
      </c>
      <c r="P92" s="4" t="n">
        <f aca="false">MIN(1,I92*O92*K92)</f>
        <v>0.072</v>
      </c>
      <c r="Q92" s="4" t="n">
        <f aca="false">Q91*P92</f>
        <v>0.000559872</v>
      </c>
      <c r="R92" s="4" t="n">
        <f aca="false">'Settings '!$B$9</f>
        <v>0.9</v>
      </c>
      <c r="S92" s="4" t="n">
        <f aca="false">MIN(1,I92*R92*K92)</f>
        <v>0.648</v>
      </c>
      <c r="T92" s="4" t="n">
        <f aca="false">T91*S92</f>
        <v>0.314928</v>
      </c>
      <c r="U92" s="4" t="str">
        <f aca="false">IF(E92=4,N92,"")</f>
        <v/>
      </c>
      <c r="V92" s="4" t="str">
        <f aca="false">IF(E92=4,Q92,"")</f>
        <v/>
      </c>
      <c r="W92" s="4" t="str">
        <f aca="false">IF(E92=4,T92,"")</f>
        <v/>
      </c>
      <c r="X92" s="4" t="str">
        <f aca="false">IF(E92=4,IFERROR((LN(U92)-LN(V92))/(LN(W92)-LN(V92)),0),"")</f>
        <v/>
      </c>
      <c r="Y92" s="3" t="str">
        <f aca="false">IF(E92=4,IF(X92&gt;='Settings '!$B$7,"Risk A",IF(X92&gt;='Settings '!$B$6,"Risk B","Risk C")),"")</f>
        <v/>
      </c>
      <c r="Z92" s="3" t="n">
        <f aca="false">IF(Y92="Risk B",1,0)</f>
        <v>0</v>
      </c>
      <c r="AA92" s="3" t="n">
        <f aca="false">IF(J92&gt;='Settings '!$B$10,1,0)</f>
        <v>0</v>
      </c>
      <c r="AB92" s="3" t="n">
        <f aca="false">IF(M92&gt;='Settings '!$B$11,1,0)</f>
        <v>0</v>
      </c>
      <c r="AC92" s="4" t="n">
        <f aca="false">ABS(M92-MIN(1,I92*J92*K92))</f>
        <v>0</v>
      </c>
    </row>
    <row r="93" customFormat="false" ht="14.25" hidden="false" customHeight="true" outlineLevel="0" collapsed="false">
      <c r="A93" s="3" t="s">
        <v>29</v>
      </c>
      <c r="B93" s="3" t="n">
        <v>23</v>
      </c>
      <c r="C93" s="3" t="s">
        <v>80</v>
      </c>
      <c r="D93" s="3" t="s">
        <v>43</v>
      </c>
      <c r="E93" s="3" t="n">
        <v>4</v>
      </c>
      <c r="F93" s="3" t="s">
        <v>51</v>
      </c>
      <c r="G93" s="3" t="s">
        <v>52</v>
      </c>
      <c r="H93" s="3" t="s">
        <v>46</v>
      </c>
      <c r="I93" s="4" t="n">
        <v>0.18</v>
      </c>
      <c r="J93" s="4" t="n">
        <v>0.28</v>
      </c>
      <c r="K93" s="4" t="n">
        <v>2</v>
      </c>
      <c r="L93" s="4" t="n">
        <f aca="false">I93*J93</f>
        <v>0.0504</v>
      </c>
      <c r="M93" s="4" t="n">
        <f aca="false">MIN(1,I93*J93*K93)</f>
        <v>0.1008</v>
      </c>
      <c r="N93" s="4" t="n">
        <f aca="false">N92*M93</f>
        <v>5.64350976E-005</v>
      </c>
      <c r="O93" s="4" t="n">
        <f aca="false">'Settings '!$B$8</f>
        <v>0.1</v>
      </c>
      <c r="P93" s="4" t="n">
        <f aca="false">MIN(1,I93*O93*K93)</f>
        <v>0.036</v>
      </c>
      <c r="Q93" s="4" t="n">
        <f aca="false">Q92*P93</f>
        <v>2.0155392E-005</v>
      </c>
      <c r="R93" s="4" t="n">
        <f aca="false">'Settings '!$B$9</f>
        <v>0.9</v>
      </c>
      <c r="S93" s="4" t="n">
        <f aca="false">MIN(1,I93*R93*K93)</f>
        <v>0.324</v>
      </c>
      <c r="T93" s="4" t="n">
        <f aca="false">T92*S93</f>
        <v>0.102036672</v>
      </c>
      <c r="U93" s="4" t="n">
        <f aca="false">IF(E93=4,N93,"")</f>
        <v>5.64350976E-005</v>
      </c>
      <c r="V93" s="4" t="n">
        <f aca="false">IF(E93=4,Q93,"")</f>
        <v>2.0155392E-005</v>
      </c>
      <c r="W93" s="4" t="n">
        <f aca="false">IF(E93=4,T93,"")</f>
        <v>0.102036672</v>
      </c>
      <c r="X93" s="4" t="n">
        <f aca="false">IF(E93=4,IFERROR((LN(U93)-LN(V93))/(LN(W93)-LN(V93)),0),"")</f>
        <v>0.120711114312368</v>
      </c>
      <c r="Y93" s="3" t="str">
        <f aca="false">IF(E93=4,IF(X93&gt;='Settings '!$B$7,"Risk A",IF(X93&gt;='Settings '!$B$6,"Risk B","Risk C")),"")</f>
        <v>Risk C</v>
      </c>
      <c r="Z93" s="3" t="n">
        <f aca="false">IF(Y93="Risk B",1,0)</f>
        <v>0</v>
      </c>
      <c r="AA93" s="3" t="n">
        <f aca="false">IF(J93&gt;='Settings '!$B$10,1,0)</f>
        <v>1</v>
      </c>
      <c r="AB93" s="3" t="n">
        <f aca="false">IF(M93&gt;='Settings '!$B$11,1,0)</f>
        <v>0</v>
      </c>
      <c r="AC93" s="4" t="n">
        <f aca="false">ABS(M93-MIN(1,I93*J93*K93))</f>
        <v>0</v>
      </c>
    </row>
    <row r="94" customFormat="false" ht="25.5" hidden="false" customHeight="true" outlineLevel="0" collapsed="false">
      <c r="A94" s="3" t="s">
        <v>29</v>
      </c>
      <c r="B94" s="3" t="n">
        <v>24</v>
      </c>
      <c r="C94" s="3" t="s">
        <v>81</v>
      </c>
      <c r="D94" s="3" t="s">
        <v>31</v>
      </c>
      <c r="E94" s="3" t="n">
        <v>1</v>
      </c>
      <c r="F94" s="3" t="s">
        <v>32</v>
      </c>
      <c r="G94" s="3" t="s">
        <v>33</v>
      </c>
      <c r="H94" s="3" t="s">
        <v>34</v>
      </c>
      <c r="I94" s="4" t="n">
        <v>0.72</v>
      </c>
      <c r="J94" s="4" t="n">
        <v>0.1</v>
      </c>
      <c r="K94" s="4" t="n">
        <v>2</v>
      </c>
      <c r="L94" s="4" t="n">
        <f aca="false">I94*J94</f>
        <v>0.072</v>
      </c>
      <c r="M94" s="4" t="n">
        <f aca="false">MIN(1,I94*J94*K94)</f>
        <v>0.144</v>
      </c>
      <c r="N94" s="4" t="n">
        <f aca="false">M94</f>
        <v>0.144</v>
      </c>
      <c r="O94" s="4" t="n">
        <f aca="false">'Settings '!$B$8</f>
        <v>0.1</v>
      </c>
      <c r="P94" s="4" t="n">
        <f aca="false">MIN(1,I94*O94*K94)</f>
        <v>0.144</v>
      </c>
      <c r="Q94" s="4" t="n">
        <f aca="false">P94</f>
        <v>0.144</v>
      </c>
      <c r="R94" s="4" t="n">
        <f aca="false">'Settings '!$B$9</f>
        <v>0.9</v>
      </c>
      <c r="S94" s="4" t="n">
        <f aca="false">MIN(1,I94*R94*K94)</f>
        <v>1</v>
      </c>
      <c r="T94" s="4" t="n">
        <f aca="false">S94</f>
        <v>1</v>
      </c>
      <c r="U94" s="4" t="str">
        <f aca="false">IF(E94=4,N94,"")</f>
        <v/>
      </c>
      <c r="V94" s="4" t="str">
        <f aca="false">IF(E94=4,Q94,"")</f>
        <v/>
      </c>
      <c r="W94" s="4" t="str">
        <f aca="false">IF(E94=4,T94,"")</f>
        <v/>
      </c>
      <c r="X94" s="4" t="str">
        <f aca="false">IF(E94=4,IFERROR((LN(U94)-LN(V94))/(LN(W94)-LN(V94)),0),"")</f>
        <v/>
      </c>
      <c r="Y94" s="3" t="str">
        <f aca="false">IF(E94=4,IF(X94&gt;='Settings '!$B$7,"Risk A",IF(X94&gt;='Settings '!$B$6,"Risk B","Risk C")),"")</f>
        <v/>
      </c>
      <c r="Z94" s="3" t="n">
        <f aca="false">IF(Y94="Risk B",1,0)</f>
        <v>0</v>
      </c>
      <c r="AA94" s="3" t="n">
        <f aca="false">IF(J94&gt;='Settings '!$B$10,1,0)</f>
        <v>0</v>
      </c>
      <c r="AB94" s="3" t="n">
        <f aca="false">IF(M94&gt;='Settings '!$B$11,1,0)</f>
        <v>0</v>
      </c>
      <c r="AC94" s="4" t="n">
        <f aca="false">ABS(M94-MIN(1,I94*J94*K94))</f>
        <v>0</v>
      </c>
    </row>
    <row r="95" customFormat="false" ht="14.25" hidden="false" customHeight="true" outlineLevel="0" collapsed="false">
      <c r="A95" s="3" t="s">
        <v>29</v>
      </c>
      <c r="B95" s="3" t="n">
        <v>24</v>
      </c>
      <c r="C95" s="3" t="s">
        <v>81</v>
      </c>
      <c r="D95" s="3" t="s">
        <v>35</v>
      </c>
      <c r="E95" s="3" t="n">
        <v>2</v>
      </c>
      <c r="F95" s="3" t="s">
        <v>40</v>
      </c>
      <c r="G95" s="3" t="s">
        <v>41</v>
      </c>
      <c r="H95" s="3" t="s">
        <v>38</v>
      </c>
      <c r="I95" s="4" t="n">
        <v>0.36</v>
      </c>
      <c r="J95" s="4" t="n">
        <v>0.1</v>
      </c>
      <c r="K95" s="4" t="n">
        <v>1.5</v>
      </c>
      <c r="L95" s="4" t="n">
        <f aca="false">I95*J95</f>
        <v>0.036</v>
      </c>
      <c r="M95" s="4" t="n">
        <f aca="false">MIN(1,I95*J95*K95)</f>
        <v>0.054</v>
      </c>
      <c r="N95" s="4" t="n">
        <f aca="false">N94*M95</f>
        <v>0.007776</v>
      </c>
      <c r="O95" s="4" t="n">
        <f aca="false">'Settings '!$B$8</f>
        <v>0.1</v>
      </c>
      <c r="P95" s="4" t="n">
        <f aca="false">MIN(1,I95*O95*K95)</f>
        <v>0.054</v>
      </c>
      <c r="Q95" s="4" t="n">
        <f aca="false">Q94*P95</f>
        <v>0.007776</v>
      </c>
      <c r="R95" s="4" t="n">
        <f aca="false">'Settings '!$B$9</f>
        <v>0.9</v>
      </c>
      <c r="S95" s="4" t="n">
        <f aca="false">MIN(1,I95*R95*K95)</f>
        <v>0.486</v>
      </c>
      <c r="T95" s="4" t="n">
        <f aca="false">T94*S95</f>
        <v>0.486</v>
      </c>
      <c r="U95" s="4" t="str">
        <f aca="false">IF(E95=4,N95,"")</f>
        <v/>
      </c>
      <c r="V95" s="4" t="str">
        <f aca="false">IF(E95=4,Q95,"")</f>
        <v/>
      </c>
      <c r="W95" s="4" t="str">
        <f aca="false">IF(E95=4,T95,"")</f>
        <v/>
      </c>
      <c r="X95" s="4" t="str">
        <f aca="false">IF(E95=4,IFERROR((LN(U95)-LN(V95))/(LN(W95)-LN(V95)),0),"")</f>
        <v/>
      </c>
      <c r="Y95" s="3" t="str">
        <f aca="false">IF(E95=4,IF(X95&gt;='Settings '!$B$7,"Risk A",IF(X95&gt;='Settings '!$B$6,"Risk B","Risk C")),"")</f>
        <v/>
      </c>
      <c r="Z95" s="3" t="n">
        <f aca="false">IF(Y95="Risk B",1,0)</f>
        <v>0</v>
      </c>
      <c r="AA95" s="3" t="n">
        <f aca="false">IF(J95&gt;='Settings '!$B$10,1,0)</f>
        <v>0</v>
      </c>
      <c r="AB95" s="3" t="n">
        <f aca="false">IF(M95&gt;='Settings '!$B$11,1,0)</f>
        <v>0</v>
      </c>
      <c r="AC95" s="4" t="n">
        <f aca="false">ABS(M95-MIN(1,I95*J95*K95))</f>
        <v>0</v>
      </c>
    </row>
    <row r="96" customFormat="false" ht="14.25" hidden="false" customHeight="true" outlineLevel="0" collapsed="false">
      <c r="A96" s="3" t="s">
        <v>29</v>
      </c>
      <c r="B96" s="3" t="n">
        <v>24</v>
      </c>
      <c r="C96" s="3" t="s">
        <v>81</v>
      </c>
      <c r="D96" s="3" t="s">
        <v>39</v>
      </c>
      <c r="E96" s="3" t="n">
        <v>3</v>
      </c>
      <c r="F96" s="3" t="s">
        <v>57</v>
      </c>
      <c r="G96" s="3" t="s">
        <v>58</v>
      </c>
      <c r="H96" s="3" t="s">
        <v>42</v>
      </c>
      <c r="I96" s="4" t="n">
        <v>0.36</v>
      </c>
      <c r="J96" s="4" t="n">
        <v>0.1</v>
      </c>
      <c r="K96" s="4" t="n">
        <v>2</v>
      </c>
      <c r="L96" s="4" t="n">
        <f aca="false">I96*J96</f>
        <v>0.036</v>
      </c>
      <c r="M96" s="4" t="n">
        <f aca="false">MIN(1,I96*J96*K96)</f>
        <v>0.072</v>
      </c>
      <c r="N96" s="4" t="n">
        <f aca="false">N95*M96</f>
        <v>0.000559872</v>
      </c>
      <c r="O96" s="4" t="n">
        <f aca="false">'Settings '!$B$8</f>
        <v>0.1</v>
      </c>
      <c r="P96" s="4" t="n">
        <f aca="false">MIN(1,I96*O96*K96)</f>
        <v>0.072</v>
      </c>
      <c r="Q96" s="4" t="n">
        <f aca="false">Q95*P96</f>
        <v>0.000559872</v>
      </c>
      <c r="R96" s="4" t="n">
        <f aca="false">'Settings '!$B$9</f>
        <v>0.9</v>
      </c>
      <c r="S96" s="4" t="n">
        <f aca="false">MIN(1,I96*R96*K96)</f>
        <v>0.648</v>
      </c>
      <c r="T96" s="4" t="n">
        <f aca="false">T95*S96</f>
        <v>0.314928</v>
      </c>
      <c r="U96" s="4" t="str">
        <f aca="false">IF(E96=4,N96,"")</f>
        <v/>
      </c>
      <c r="V96" s="4" t="str">
        <f aca="false">IF(E96=4,Q96,"")</f>
        <v/>
      </c>
      <c r="W96" s="4" t="str">
        <f aca="false">IF(E96=4,T96,"")</f>
        <v/>
      </c>
      <c r="X96" s="4" t="str">
        <f aca="false">IF(E96=4,IFERROR((LN(U96)-LN(V96))/(LN(W96)-LN(V96)),0),"")</f>
        <v/>
      </c>
      <c r="Y96" s="3" t="str">
        <f aca="false">IF(E96=4,IF(X96&gt;='Settings '!$B$7,"Risk A",IF(X96&gt;='Settings '!$B$6,"Risk B","Risk C")),"")</f>
        <v/>
      </c>
      <c r="Z96" s="3" t="n">
        <f aca="false">IF(Y96="Risk B",1,0)</f>
        <v>0</v>
      </c>
      <c r="AA96" s="3" t="n">
        <f aca="false">IF(J96&gt;='Settings '!$B$10,1,0)</f>
        <v>0</v>
      </c>
      <c r="AB96" s="3" t="n">
        <f aca="false">IF(M96&gt;='Settings '!$B$11,1,0)</f>
        <v>0</v>
      </c>
      <c r="AC96" s="4" t="n">
        <f aca="false">ABS(M96-MIN(1,I96*J96*K96))</f>
        <v>0</v>
      </c>
    </row>
    <row r="97" customFormat="false" ht="14.25" hidden="false" customHeight="true" outlineLevel="0" collapsed="false">
      <c r="A97" s="3" t="s">
        <v>29</v>
      </c>
      <c r="B97" s="3" t="n">
        <v>24</v>
      </c>
      <c r="C97" s="3" t="s">
        <v>81</v>
      </c>
      <c r="D97" s="3" t="s">
        <v>43</v>
      </c>
      <c r="E97" s="3" t="n">
        <v>4</v>
      </c>
      <c r="F97" s="3" t="s">
        <v>54</v>
      </c>
      <c r="G97" s="3" t="s">
        <v>55</v>
      </c>
      <c r="H97" s="3" t="s">
        <v>46</v>
      </c>
      <c r="I97" s="4" t="n">
        <v>0.18</v>
      </c>
      <c r="J97" s="4" t="n">
        <v>0.28</v>
      </c>
      <c r="K97" s="4" t="n">
        <v>2</v>
      </c>
      <c r="L97" s="4" t="n">
        <f aca="false">I97*J97</f>
        <v>0.0504</v>
      </c>
      <c r="M97" s="4" t="n">
        <f aca="false">MIN(1,I97*J97*K97)</f>
        <v>0.1008</v>
      </c>
      <c r="N97" s="4" t="n">
        <f aca="false">N96*M97</f>
        <v>5.64350976E-005</v>
      </c>
      <c r="O97" s="4" t="n">
        <f aca="false">'Settings '!$B$8</f>
        <v>0.1</v>
      </c>
      <c r="P97" s="4" t="n">
        <f aca="false">MIN(1,I97*O97*K97)</f>
        <v>0.036</v>
      </c>
      <c r="Q97" s="4" t="n">
        <f aca="false">Q96*P97</f>
        <v>2.0155392E-005</v>
      </c>
      <c r="R97" s="4" t="n">
        <f aca="false">'Settings '!$B$9</f>
        <v>0.9</v>
      </c>
      <c r="S97" s="4" t="n">
        <f aca="false">MIN(1,I97*R97*K97)</f>
        <v>0.324</v>
      </c>
      <c r="T97" s="4" t="n">
        <f aca="false">T96*S97</f>
        <v>0.102036672</v>
      </c>
      <c r="U97" s="4" t="n">
        <f aca="false">IF(E97=4,N97,"")</f>
        <v>5.64350976E-005</v>
      </c>
      <c r="V97" s="4" t="n">
        <f aca="false">IF(E97=4,Q97,"")</f>
        <v>2.0155392E-005</v>
      </c>
      <c r="W97" s="4" t="n">
        <f aca="false">IF(E97=4,T97,"")</f>
        <v>0.102036672</v>
      </c>
      <c r="X97" s="4" t="n">
        <f aca="false">IF(E97=4,IFERROR((LN(U97)-LN(V97))/(LN(W97)-LN(V97)),0),"")</f>
        <v>0.120711114312368</v>
      </c>
      <c r="Y97" s="3" t="str">
        <f aca="false">IF(E97=4,IF(X97&gt;='Settings '!$B$7,"Risk A",IF(X97&gt;='Settings '!$B$6,"Risk B","Risk C")),"")</f>
        <v>Risk C</v>
      </c>
      <c r="Z97" s="3" t="n">
        <f aca="false">IF(Y97="Risk B",1,0)</f>
        <v>0</v>
      </c>
      <c r="AA97" s="3" t="n">
        <f aca="false">IF(J97&gt;='Settings '!$B$10,1,0)</f>
        <v>1</v>
      </c>
      <c r="AB97" s="3" t="n">
        <f aca="false">IF(M97&gt;='Settings '!$B$11,1,0)</f>
        <v>0</v>
      </c>
      <c r="AC97" s="4" t="n">
        <f aca="false">ABS(M97-MIN(1,I97*J97*K97))</f>
        <v>0</v>
      </c>
    </row>
    <row r="98" customFormat="false" ht="25.5" hidden="false" customHeight="true" outlineLevel="0" collapsed="false">
      <c r="A98" s="3" t="s">
        <v>29</v>
      </c>
      <c r="B98" s="3" t="n">
        <v>25</v>
      </c>
      <c r="C98" s="3" t="s">
        <v>82</v>
      </c>
      <c r="D98" s="3" t="s">
        <v>31</v>
      </c>
      <c r="E98" s="3" t="n">
        <v>1</v>
      </c>
      <c r="F98" s="3" t="s">
        <v>32</v>
      </c>
      <c r="G98" s="3" t="s">
        <v>33</v>
      </c>
      <c r="H98" s="3" t="s">
        <v>34</v>
      </c>
      <c r="I98" s="4" t="n">
        <v>0.72</v>
      </c>
      <c r="J98" s="4" t="n">
        <v>0.1</v>
      </c>
      <c r="K98" s="4" t="n">
        <v>2</v>
      </c>
      <c r="L98" s="4" t="n">
        <f aca="false">I98*J98</f>
        <v>0.072</v>
      </c>
      <c r="M98" s="4" t="n">
        <f aca="false">MIN(1,I98*J98*K98)</f>
        <v>0.144</v>
      </c>
      <c r="N98" s="4" t="n">
        <f aca="false">M98</f>
        <v>0.144</v>
      </c>
      <c r="O98" s="4" t="n">
        <f aca="false">'Settings '!$B$8</f>
        <v>0.1</v>
      </c>
      <c r="P98" s="4" t="n">
        <f aca="false">MIN(1,I98*O98*K98)</f>
        <v>0.144</v>
      </c>
      <c r="Q98" s="4" t="n">
        <f aca="false">P98</f>
        <v>0.144</v>
      </c>
      <c r="R98" s="4" t="n">
        <f aca="false">'Settings '!$B$9</f>
        <v>0.9</v>
      </c>
      <c r="S98" s="4" t="n">
        <f aca="false">MIN(1,I98*R98*K98)</f>
        <v>1</v>
      </c>
      <c r="T98" s="4" t="n">
        <f aca="false">S98</f>
        <v>1</v>
      </c>
      <c r="U98" s="4" t="str">
        <f aca="false">IF(E98=4,N98,"")</f>
        <v/>
      </c>
      <c r="V98" s="4" t="str">
        <f aca="false">IF(E98=4,Q98,"")</f>
        <v/>
      </c>
      <c r="W98" s="4" t="str">
        <f aca="false">IF(E98=4,T98,"")</f>
        <v/>
      </c>
      <c r="X98" s="4" t="str">
        <f aca="false">IF(E98=4,IFERROR((LN(U98)-LN(V98))/(LN(W98)-LN(V98)),0),"")</f>
        <v/>
      </c>
      <c r="Y98" s="3" t="str">
        <f aca="false">IF(E98=4,IF(X98&gt;='Settings '!$B$7,"Risk A",IF(X98&gt;='Settings '!$B$6,"Risk B","Risk C")),"")</f>
        <v/>
      </c>
      <c r="Z98" s="3" t="n">
        <f aca="false">IF(Y98="Risk B",1,0)</f>
        <v>0</v>
      </c>
      <c r="AA98" s="3" t="n">
        <f aca="false">IF(J98&gt;='Settings '!$B$10,1,0)</f>
        <v>0</v>
      </c>
      <c r="AB98" s="3" t="n">
        <f aca="false">IF(M98&gt;='Settings '!$B$11,1,0)</f>
        <v>0</v>
      </c>
      <c r="AC98" s="4" t="n">
        <f aca="false">ABS(M98-MIN(1,I98*J98*K98))</f>
        <v>0</v>
      </c>
    </row>
    <row r="99" customFormat="false" ht="14.25" hidden="false" customHeight="true" outlineLevel="0" collapsed="false">
      <c r="A99" s="3" t="s">
        <v>29</v>
      </c>
      <c r="B99" s="3" t="n">
        <v>25</v>
      </c>
      <c r="C99" s="3" t="s">
        <v>82</v>
      </c>
      <c r="D99" s="3" t="s">
        <v>35</v>
      </c>
      <c r="E99" s="3" t="n">
        <v>2</v>
      </c>
      <c r="F99" s="3" t="s">
        <v>40</v>
      </c>
      <c r="G99" s="3" t="s">
        <v>41</v>
      </c>
      <c r="H99" s="3" t="s">
        <v>38</v>
      </c>
      <c r="I99" s="4" t="n">
        <v>0.36</v>
      </c>
      <c r="J99" s="4" t="n">
        <v>0.1</v>
      </c>
      <c r="K99" s="4" t="n">
        <v>1.5</v>
      </c>
      <c r="L99" s="4" t="n">
        <f aca="false">I99*J99</f>
        <v>0.036</v>
      </c>
      <c r="M99" s="4" t="n">
        <f aca="false">MIN(1,I99*J99*K99)</f>
        <v>0.054</v>
      </c>
      <c r="N99" s="4" t="n">
        <f aca="false">N98*M99</f>
        <v>0.007776</v>
      </c>
      <c r="O99" s="4" t="n">
        <f aca="false">'Settings '!$B$8</f>
        <v>0.1</v>
      </c>
      <c r="P99" s="4" t="n">
        <f aca="false">MIN(1,I99*O99*K99)</f>
        <v>0.054</v>
      </c>
      <c r="Q99" s="4" t="n">
        <f aca="false">Q98*P99</f>
        <v>0.007776</v>
      </c>
      <c r="R99" s="4" t="n">
        <f aca="false">'Settings '!$B$9</f>
        <v>0.9</v>
      </c>
      <c r="S99" s="4" t="n">
        <f aca="false">MIN(1,I99*R99*K99)</f>
        <v>0.486</v>
      </c>
      <c r="T99" s="4" t="n">
        <f aca="false">T98*S99</f>
        <v>0.486</v>
      </c>
      <c r="U99" s="4" t="str">
        <f aca="false">IF(E99=4,N99,"")</f>
        <v/>
      </c>
      <c r="V99" s="4" t="str">
        <f aca="false">IF(E99=4,Q99,"")</f>
        <v/>
      </c>
      <c r="W99" s="4" t="str">
        <f aca="false">IF(E99=4,T99,"")</f>
        <v/>
      </c>
      <c r="X99" s="4" t="str">
        <f aca="false">IF(E99=4,IFERROR((LN(U99)-LN(V99))/(LN(W99)-LN(V99)),0),"")</f>
        <v/>
      </c>
      <c r="Y99" s="3" t="str">
        <f aca="false">IF(E99=4,IF(X99&gt;='Settings '!$B$7,"Risk A",IF(X99&gt;='Settings '!$B$6,"Risk B","Risk C")),"")</f>
        <v/>
      </c>
      <c r="Z99" s="3" t="n">
        <f aca="false">IF(Y99="Risk B",1,0)</f>
        <v>0</v>
      </c>
      <c r="AA99" s="3" t="n">
        <f aca="false">IF(J99&gt;='Settings '!$B$10,1,0)</f>
        <v>0</v>
      </c>
      <c r="AB99" s="3" t="n">
        <f aca="false">IF(M99&gt;='Settings '!$B$11,1,0)</f>
        <v>0</v>
      </c>
      <c r="AC99" s="4" t="n">
        <f aca="false">ABS(M99-MIN(1,I99*J99*K99))</f>
        <v>0</v>
      </c>
    </row>
    <row r="100" customFormat="false" ht="14.25" hidden="false" customHeight="true" outlineLevel="0" collapsed="false">
      <c r="A100" s="3" t="s">
        <v>29</v>
      </c>
      <c r="B100" s="3" t="n">
        <v>25</v>
      </c>
      <c r="C100" s="3" t="s">
        <v>82</v>
      </c>
      <c r="D100" s="3" t="s">
        <v>39</v>
      </c>
      <c r="E100" s="3" t="n">
        <v>3</v>
      </c>
      <c r="F100" s="3" t="s">
        <v>63</v>
      </c>
      <c r="G100" s="3" t="s">
        <v>64</v>
      </c>
      <c r="H100" s="3" t="s">
        <v>42</v>
      </c>
      <c r="I100" s="4" t="n">
        <v>0.36</v>
      </c>
      <c r="J100" s="4" t="n">
        <v>0.1</v>
      </c>
      <c r="K100" s="4" t="n">
        <v>2</v>
      </c>
      <c r="L100" s="4" t="n">
        <f aca="false">I100*J100</f>
        <v>0.036</v>
      </c>
      <c r="M100" s="4" t="n">
        <f aca="false">MIN(1,I100*J100*K100)</f>
        <v>0.072</v>
      </c>
      <c r="N100" s="4" t="n">
        <f aca="false">N99*M100</f>
        <v>0.000559872</v>
      </c>
      <c r="O100" s="4" t="n">
        <f aca="false">'Settings '!$B$8</f>
        <v>0.1</v>
      </c>
      <c r="P100" s="4" t="n">
        <f aca="false">MIN(1,I100*O100*K100)</f>
        <v>0.072</v>
      </c>
      <c r="Q100" s="4" t="n">
        <f aca="false">Q99*P100</f>
        <v>0.000559872</v>
      </c>
      <c r="R100" s="4" t="n">
        <f aca="false">'Settings '!$B$9</f>
        <v>0.9</v>
      </c>
      <c r="S100" s="4" t="n">
        <f aca="false">MIN(1,I100*R100*K100)</f>
        <v>0.648</v>
      </c>
      <c r="T100" s="4" t="n">
        <f aca="false">T99*S100</f>
        <v>0.314928</v>
      </c>
      <c r="U100" s="4" t="str">
        <f aca="false">IF(E100=4,N100,"")</f>
        <v/>
      </c>
      <c r="V100" s="4" t="str">
        <f aca="false">IF(E100=4,Q100,"")</f>
        <v/>
      </c>
      <c r="W100" s="4" t="str">
        <f aca="false">IF(E100=4,T100,"")</f>
        <v/>
      </c>
      <c r="X100" s="4" t="str">
        <f aca="false">IF(E100=4,IFERROR((LN(U100)-LN(V100))/(LN(W100)-LN(V100)),0),"")</f>
        <v/>
      </c>
      <c r="Y100" s="3" t="str">
        <f aca="false">IF(E100=4,IF(X100&gt;='Settings '!$B$7,"Risk A",IF(X100&gt;='Settings '!$B$6,"Risk B","Risk C")),"")</f>
        <v/>
      </c>
      <c r="Z100" s="3" t="n">
        <f aca="false">IF(Y100="Risk B",1,0)</f>
        <v>0</v>
      </c>
      <c r="AA100" s="3" t="n">
        <f aca="false">IF(J100&gt;='Settings '!$B$10,1,0)</f>
        <v>0</v>
      </c>
      <c r="AB100" s="3" t="n">
        <f aca="false">IF(M100&gt;='Settings '!$B$11,1,0)</f>
        <v>0</v>
      </c>
      <c r="AC100" s="4" t="n">
        <f aca="false">ABS(M100-MIN(1,I100*J100*K100))</f>
        <v>0</v>
      </c>
    </row>
    <row r="101" customFormat="false" ht="14.25" hidden="false" customHeight="true" outlineLevel="0" collapsed="false">
      <c r="A101" s="3" t="s">
        <v>29</v>
      </c>
      <c r="B101" s="3" t="n">
        <v>25</v>
      </c>
      <c r="C101" s="3" t="s">
        <v>82</v>
      </c>
      <c r="D101" s="3" t="s">
        <v>43</v>
      </c>
      <c r="E101" s="3" t="n">
        <v>4</v>
      </c>
      <c r="F101" s="3" t="s">
        <v>44</v>
      </c>
      <c r="G101" s="3" t="s">
        <v>45</v>
      </c>
      <c r="H101" s="3" t="s">
        <v>46</v>
      </c>
      <c r="I101" s="4" t="n">
        <v>0.9</v>
      </c>
      <c r="J101" s="4" t="n">
        <v>0.1</v>
      </c>
      <c r="K101" s="4" t="n">
        <v>2</v>
      </c>
      <c r="L101" s="4" t="n">
        <f aca="false">I101*J101</f>
        <v>0.09</v>
      </c>
      <c r="M101" s="4" t="n">
        <f aca="false">MIN(1,I101*J101*K101)</f>
        <v>0.18</v>
      </c>
      <c r="N101" s="4" t="n">
        <f aca="false">N100*M101</f>
        <v>0.00010077696</v>
      </c>
      <c r="O101" s="4" t="n">
        <f aca="false">'Settings '!$B$8</f>
        <v>0.1</v>
      </c>
      <c r="P101" s="4" t="n">
        <f aca="false">MIN(1,I101*O101*K101)</f>
        <v>0.18</v>
      </c>
      <c r="Q101" s="4" t="n">
        <f aca="false">Q100*P101</f>
        <v>0.00010077696</v>
      </c>
      <c r="R101" s="4" t="n">
        <f aca="false">'Settings '!$B$9</f>
        <v>0.9</v>
      </c>
      <c r="S101" s="4" t="n">
        <f aca="false">MIN(1,I101*R101*K101)</f>
        <v>1</v>
      </c>
      <c r="T101" s="4" t="n">
        <f aca="false">T100*S101</f>
        <v>0.314928</v>
      </c>
      <c r="U101" s="4" t="n">
        <f aca="false">IF(E101=4,N101,"")</f>
        <v>0.00010077696</v>
      </c>
      <c r="V101" s="4" t="n">
        <f aca="false">IF(E101=4,Q101,"")</f>
        <v>0.00010077696</v>
      </c>
      <c r="W101" s="4" t="n">
        <f aca="false">IF(E101=4,T101,"")</f>
        <v>0.314928</v>
      </c>
      <c r="X101" s="4" t="n">
        <f aca="false">IF(E101=4,IFERROR((LN(U101)-LN(V101))/(LN(W101)-LN(V101)),0),"")</f>
        <v>0</v>
      </c>
      <c r="Y101" s="3" t="str">
        <f aca="false">IF(E101=4,IF(X101&gt;='Settings '!$B$7,"Risk A",IF(X101&gt;='Settings '!$B$6,"Risk B","Risk C")),"")</f>
        <v>Risk C</v>
      </c>
      <c r="Z101" s="3" t="n">
        <f aca="false">IF(Y101="Risk B",1,0)</f>
        <v>0</v>
      </c>
      <c r="AA101" s="3" t="n">
        <f aca="false">IF(J101&gt;='Settings '!$B$10,1,0)</f>
        <v>0</v>
      </c>
      <c r="AB101" s="3" t="n">
        <f aca="false">IF(M101&gt;='Settings '!$B$11,1,0)</f>
        <v>0</v>
      </c>
      <c r="AC101" s="4" t="n">
        <f aca="false">ABS(M101-MIN(1,I101*J101*K101))</f>
        <v>0</v>
      </c>
    </row>
    <row r="102" customFormat="false" ht="25.5" hidden="false" customHeight="true" outlineLevel="0" collapsed="false">
      <c r="A102" s="3" t="s">
        <v>29</v>
      </c>
      <c r="B102" s="3" t="n">
        <v>26</v>
      </c>
      <c r="C102" s="3" t="s">
        <v>83</v>
      </c>
      <c r="D102" s="3" t="s">
        <v>31</v>
      </c>
      <c r="E102" s="3" t="n">
        <v>1</v>
      </c>
      <c r="F102" s="3" t="s">
        <v>32</v>
      </c>
      <c r="G102" s="3" t="s">
        <v>33</v>
      </c>
      <c r="H102" s="3" t="s">
        <v>34</v>
      </c>
      <c r="I102" s="4" t="n">
        <v>0.72</v>
      </c>
      <c r="J102" s="4" t="n">
        <v>0.1</v>
      </c>
      <c r="K102" s="4" t="n">
        <v>2</v>
      </c>
      <c r="L102" s="4" t="n">
        <f aca="false">I102*J102</f>
        <v>0.072</v>
      </c>
      <c r="M102" s="4" t="n">
        <f aca="false">MIN(1,I102*J102*K102)</f>
        <v>0.144</v>
      </c>
      <c r="N102" s="4" t="n">
        <f aca="false">M102</f>
        <v>0.144</v>
      </c>
      <c r="O102" s="4" t="n">
        <f aca="false">'Settings '!$B$8</f>
        <v>0.1</v>
      </c>
      <c r="P102" s="4" t="n">
        <f aca="false">MIN(1,I102*O102*K102)</f>
        <v>0.144</v>
      </c>
      <c r="Q102" s="4" t="n">
        <f aca="false">P102</f>
        <v>0.144</v>
      </c>
      <c r="R102" s="4" t="n">
        <f aca="false">'Settings '!$B$9</f>
        <v>0.9</v>
      </c>
      <c r="S102" s="4" t="n">
        <f aca="false">MIN(1,I102*R102*K102)</f>
        <v>1</v>
      </c>
      <c r="T102" s="4" t="n">
        <f aca="false">S102</f>
        <v>1</v>
      </c>
      <c r="U102" s="4" t="str">
        <f aca="false">IF(E102=4,N102,"")</f>
        <v/>
      </c>
      <c r="V102" s="4" t="str">
        <f aca="false">IF(E102=4,Q102,"")</f>
        <v/>
      </c>
      <c r="W102" s="4" t="str">
        <f aca="false">IF(E102=4,T102,"")</f>
        <v/>
      </c>
      <c r="X102" s="4" t="str">
        <f aca="false">IF(E102=4,IFERROR((LN(U102)-LN(V102))/(LN(W102)-LN(V102)),0),"")</f>
        <v/>
      </c>
      <c r="Y102" s="3" t="str">
        <f aca="false">IF(E102=4,IF(X102&gt;='Settings '!$B$7,"Risk A",IF(X102&gt;='Settings '!$B$6,"Risk B","Risk C")),"")</f>
        <v/>
      </c>
      <c r="Z102" s="3" t="n">
        <f aca="false">IF(Y102="Risk B",1,0)</f>
        <v>0</v>
      </c>
      <c r="AA102" s="3" t="n">
        <f aca="false">IF(J102&gt;='Settings '!$B$10,1,0)</f>
        <v>0</v>
      </c>
      <c r="AB102" s="3" t="n">
        <f aca="false">IF(M102&gt;='Settings '!$B$11,1,0)</f>
        <v>0</v>
      </c>
      <c r="AC102" s="4" t="n">
        <f aca="false">ABS(M102-MIN(1,I102*J102*K102))</f>
        <v>0</v>
      </c>
    </row>
    <row r="103" customFormat="false" ht="14.25" hidden="false" customHeight="true" outlineLevel="0" collapsed="false">
      <c r="A103" s="3" t="s">
        <v>29</v>
      </c>
      <c r="B103" s="3" t="n">
        <v>26</v>
      </c>
      <c r="C103" s="3" t="s">
        <v>83</v>
      </c>
      <c r="D103" s="3" t="s">
        <v>35</v>
      </c>
      <c r="E103" s="3" t="n">
        <v>2</v>
      </c>
      <c r="F103" s="3" t="s">
        <v>40</v>
      </c>
      <c r="G103" s="3" t="s">
        <v>41</v>
      </c>
      <c r="H103" s="3" t="s">
        <v>38</v>
      </c>
      <c r="I103" s="4" t="n">
        <v>0.36</v>
      </c>
      <c r="J103" s="4" t="n">
        <v>0.1</v>
      </c>
      <c r="K103" s="4" t="n">
        <v>1.5</v>
      </c>
      <c r="L103" s="4" t="n">
        <f aca="false">I103*J103</f>
        <v>0.036</v>
      </c>
      <c r="M103" s="4" t="n">
        <f aca="false">MIN(1,I103*J103*K103)</f>
        <v>0.054</v>
      </c>
      <c r="N103" s="4" t="n">
        <f aca="false">N102*M103</f>
        <v>0.007776</v>
      </c>
      <c r="O103" s="4" t="n">
        <f aca="false">'Settings '!$B$8</f>
        <v>0.1</v>
      </c>
      <c r="P103" s="4" t="n">
        <f aca="false">MIN(1,I103*O103*K103)</f>
        <v>0.054</v>
      </c>
      <c r="Q103" s="4" t="n">
        <f aca="false">Q102*P103</f>
        <v>0.007776</v>
      </c>
      <c r="R103" s="4" t="n">
        <f aca="false">'Settings '!$B$9</f>
        <v>0.9</v>
      </c>
      <c r="S103" s="4" t="n">
        <f aca="false">MIN(1,I103*R103*K103)</f>
        <v>0.486</v>
      </c>
      <c r="T103" s="4" t="n">
        <f aca="false">T102*S103</f>
        <v>0.486</v>
      </c>
      <c r="U103" s="4" t="str">
        <f aca="false">IF(E103=4,N103,"")</f>
        <v/>
      </c>
      <c r="V103" s="4" t="str">
        <f aca="false">IF(E103=4,Q103,"")</f>
        <v/>
      </c>
      <c r="W103" s="4" t="str">
        <f aca="false">IF(E103=4,T103,"")</f>
        <v/>
      </c>
      <c r="X103" s="4" t="str">
        <f aca="false">IF(E103=4,IFERROR((LN(U103)-LN(V103))/(LN(W103)-LN(V103)),0),"")</f>
        <v/>
      </c>
      <c r="Y103" s="3" t="str">
        <f aca="false">IF(E103=4,IF(X103&gt;='Settings '!$B$7,"Risk A",IF(X103&gt;='Settings '!$B$6,"Risk B","Risk C")),"")</f>
        <v/>
      </c>
      <c r="Z103" s="3" t="n">
        <f aca="false">IF(Y103="Risk B",1,0)</f>
        <v>0</v>
      </c>
      <c r="AA103" s="3" t="n">
        <f aca="false">IF(J103&gt;='Settings '!$B$10,1,0)</f>
        <v>0</v>
      </c>
      <c r="AB103" s="3" t="n">
        <f aca="false">IF(M103&gt;='Settings '!$B$11,1,0)</f>
        <v>0</v>
      </c>
      <c r="AC103" s="4" t="n">
        <f aca="false">ABS(M103-MIN(1,I103*J103*K103))</f>
        <v>0</v>
      </c>
    </row>
    <row r="104" customFormat="false" ht="14.25" hidden="false" customHeight="true" outlineLevel="0" collapsed="false">
      <c r="A104" s="3" t="s">
        <v>29</v>
      </c>
      <c r="B104" s="3" t="n">
        <v>26</v>
      </c>
      <c r="C104" s="3" t="s">
        <v>83</v>
      </c>
      <c r="D104" s="3" t="s">
        <v>39</v>
      </c>
      <c r="E104" s="3" t="n">
        <v>3</v>
      </c>
      <c r="F104" s="3" t="s">
        <v>63</v>
      </c>
      <c r="G104" s="3" t="s">
        <v>64</v>
      </c>
      <c r="H104" s="3" t="s">
        <v>42</v>
      </c>
      <c r="I104" s="4" t="n">
        <v>0.36</v>
      </c>
      <c r="J104" s="4" t="n">
        <v>0.1</v>
      </c>
      <c r="K104" s="4" t="n">
        <v>2</v>
      </c>
      <c r="L104" s="4" t="n">
        <f aca="false">I104*J104</f>
        <v>0.036</v>
      </c>
      <c r="M104" s="4" t="n">
        <f aca="false">MIN(1,I104*J104*K104)</f>
        <v>0.072</v>
      </c>
      <c r="N104" s="4" t="n">
        <f aca="false">N103*M104</f>
        <v>0.000559872</v>
      </c>
      <c r="O104" s="4" t="n">
        <f aca="false">'Settings '!$B$8</f>
        <v>0.1</v>
      </c>
      <c r="P104" s="4" t="n">
        <f aca="false">MIN(1,I104*O104*K104)</f>
        <v>0.072</v>
      </c>
      <c r="Q104" s="4" t="n">
        <f aca="false">Q103*P104</f>
        <v>0.000559872</v>
      </c>
      <c r="R104" s="4" t="n">
        <f aca="false">'Settings '!$B$9</f>
        <v>0.9</v>
      </c>
      <c r="S104" s="4" t="n">
        <f aca="false">MIN(1,I104*R104*K104)</f>
        <v>0.648</v>
      </c>
      <c r="T104" s="4" t="n">
        <f aca="false">T103*S104</f>
        <v>0.314928</v>
      </c>
      <c r="U104" s="4" t="str">
        <f aca="false">IF(E104=4,N104,"")</f>
        <v/>
      </c>
      <c r="V104" s="4" t="str">
        <f aca="false">IF(E104=4,Q104,"")</f>
        <v/>
      </c>
      <c r="W104" s="4" t="str">
        <f aca="false">IF(E104=4,T104,"")</f>
        <v/>
      </c>
      <c r="X104" s="4" t="str">
        <f aca="false">IF(E104=4,IFERROR((LN(U104)-LN(V104))/(LN(W104)-LN(V104)),0),"")</f>
        <v/>
      </c>
      <c r="Y104" s="3" t="str">
        <f aca="false">IF(E104=4,IF(X104&gt;='Settings '!$B$7,"Risk A",IF(X104&gt;='Settings '!$B$6,"Risk B","Risk C")),"")</f>
        <v/>
      </c>
      <c r="Z104" s="3" t="n">
        <f aca="false">IF(Y104="Risk B",1,0)</f>
        <v>0</v>
      </c>
      <c r="AA104" s="3" t="n">
        <f aca="false">IF(J104&gt;='Settings '!$B$10,1,0)</f>
        <v>0</v>
      </c>
      <c r="AB104" s="3" t="n">
        <f aca="false">IF(M104&gt;='Settings '!$B$11,1,0)</f>
        <v>0</v>
      </c>
      <c r="AC104" s="4" t="n">
        <f aca="false">ABS(M104-MIN(1,I104*J104*K104))</f>
        <v>0</v>
      </c>
    </row>
    <row r="105" customFormat="false" ht="14.25" hidden="false" customHeight="true" outlineLevel="0" collapsed="false">
      <c r="A105" s="3" t="s">
        <v>29</v>
      </c>
      <c r="B105" s="3" t="n">
        <v>26</v>
      </c>
      <c r="C105" s="3" t="s">
        <v>83</v>
      </c>
      <c r="D105" s="3" t="s">
        <v>43</v>
      </c>
      <c r="E105" s="3" t="n">
        <v>4</v>
      </c>
      <c r="F105" s="3" t="s">
        <v>48</v>
      </c>
      <c r="G105" s="3" t="s">
        <v>49</v>
      </c>
      <c r="H105" s="3" t="s">
        <v>46</v>
      </c>
      <c r="I105" s="4" t="n">
        <v>0.72</v>
      </c>
      <c r="J105" s="4" t="n">
        <v>0.28</v>
      </c>
      <c r="K105" s="4" t="n">
        <v>2</v>
      </c>
      <c r="L105" s="4" t="n">
        <f aca="false">I105*J105</f>
        <v>0.2016</v>
      </c>
      <c r="M105" s="4" t="n">
        <f aca="false">MIN(1,I105*J105*K105)</f>
        <v>0.4032</v>
      </c>
      <c r="N105" s="4" t="n">
        <f aca="false">N104*M105</f>
        <v>0.0002257403904</v>
      </c>
      <c r="O105" s="4" t="n">
        <f aca="false">'Settings '!$B$8</f>
        <v>0.1</v>
      </c>
      <c r="P105" s="4" t="n">
        <f aca="false">MIN(1,I105*O105*K105)</f>
        <v>0.144</v>
      </c>
      <c r="Q105" s="4" t="n">
        <f aca="false">Q104*P105</f>
        <v>8.0621568E-005</v>
      </c>
      <c r="R105" s="4" t="n">
        <f aca="false">'Settings '!$B$9</f>
        <v>0.9</v>
      </c>
      <c r="S105" s="4" t="n">
        <f aca="false">MIN(1,I105*R105*K105)</f>
        <v>1</v>
      </c>
      <c r="T105" s="4" t="n">
        <f aca="false">T104*S105</f>
        <v>0.314928</v>
      </c>
      <c r="U105" s="4" t="n">
        <f aca="false">IF(E105=4,N105,"")</f>
        <v>0.0002257403904</v>
      </c>
      <c r="V105" s="4" t="n">
        <f aca="false">IF(E105=4,Q105,"")</f>
        <v>8.0621568E-005</v>
      </c>
      <c r="W105" s="4" t="n">
        <f aca="false">IF(E105=4,T105,"")</f>
        <v>0.314928</v>
      </c>
      <c r="X105" s="4" t="n">
        <f aca="false">IF(E105=4,IFERROR((LN(U105)-LN(V105))/(LN(W105)-LN(V105)),0),"")</f>
        <v>0.124495519473378</v>
      </c>
      <c r="Y105" s="3" t="str">
        <f aca="false">IF(E105=4,IF(X105&gt;='Settings '!$B$7,"Risk A",IF(X105&gt;='Settings '!$B$6,"Risk B","Risk C")),"")</f>
        <v>Risk C</v>
      </c>
      <c r="Z105" s="3" t="n">
        <f aca="false">IF(Y105="Risk B",1,0)</f>
        <v>0</v>
      </c>
      <c r="AA105" s="3" t="n">
        <f aca="false">IF(J105&gt;='Settings '!$B$10,1,0)</f>
        <v>1</v>
      </c>
      <c r="AB105" s="3" t="n">
        <f aca="false">IF(M105&gt;='Settings '!$B$11,1,0)</f>
        <v>1</v>
      </c>
      <c r="AC105" s="4" t="n">
        <f aca="false">ABS(M105-MIN(1,I105*J105*K105))</f>
        <v>0</v>
      </c>
    </row>
    <row r="106" customFormat="false" ht="25.5" hidden="false" customHeight="true" outlineLevel="0" collapsed="false">
      <c r="A106" s="3" t="s">
        <v>29</v>
      </c>
      <c r="B106" s="3" t="n">
        <v>27</v>
      </c>
      <c r="C106" s="3" t="s">
        <v>84</v>
      </c>
      <c r="D106" s="3" t="s">
        <v>31</v>
      </c>
      <c r="E106" s="3" t="n">
        <v>1</v>
      </c>
      <c r="F106" s="3" t="s">
        <v>32</v>
      </c>
      <c r="G106" s="3" t="s">
        <v>33</v>
      </c>
      <c r="H106" s="3" t="s">
        <v>34</v>
      </c>
      <c r="I106" s="4" t="n">
        <v>0.72</v>
      </c>
      <c r="J106" s="4" t="n">
        <v>0.1</v>
      </c>
      <c r="K106" s="4" t="n">
        <v>2</v>
      </c>
      <c r="L106" s="4" t="n">
        <f aca="false">I106*J106</f>
        <v>0.072</v>
      </c>
      <c r="M106" s="4" t="n">
        <f aca="false">MIN(1,I106*J106*K106)</f>
        <v>0.144</v>
      </c>
      <c r="N106" s="4" t="n">
        <f aca="false">M106</f>
        <v>0.144</v>
      </c>
      <c r="O106" s="4" t="n">
        <f aca="false">'Settings '!$B$8</f>
        <v>0.1</v>
      </c>
      <c r="P106" s="4" t="n">
        <f aca="false">MIN(1,I106*O106*K106)</f>
        <v>0.144</v>
      </c>
      <c r="Q106" s="4" t="n">
        <f aca="false">P106</f>
        <v>0.144</v>
      </c>
      <c r="R106" s="4" t="n">
        <f aca="false">'Settings '!$B$9</f>
        <v>0.9</v>
      </c>
      <c r="S106" s="4" t="n">
        <f aca="false">MIN(1,I106*R106*K106)</f>
        <v>1</v>
      </c>
      <c r="T106" s="4" t="n">
        <f aca="false">S106</f>
        <v>1</v>
      </c>
      <c r="U106" s="4" t="str">
        <f aca="false">IF(E106=4,N106,"")</f>
        <v/>
      </c>
      <c r="V106" s="4" t="str">
        <f aca="false">IF(E106=4,Q106,"")</f>
        <v/>
      </c>
      <c r="W106" s="4" t="str">
        <f aca="false">IF(E106=4,T106,"")</f>
        <v/>
      </c>
      <c r="X106" s="4" t="str">
        <f aca="false">IF(E106=4,IFERROR((LN(U106)-LN(V106))/(LN(W106)-LN(V106)),0),"")</f>
        <v/>
      </c>
      <c r="Y106" s="3" t="str">
        <f aca="false">IF(E106=4,IF(X106&gt;='Settings '!$B$7,"Risk A",IF(X106&gt;='Settings '!$B$6,"Risk B","Risk C")),"")</f>
        <v/>
      </c>
      <c r="Z106" s="3" t="n">
        <f aca="false">IF(Y106="Risk B",1,0)</f>
        <v>0</v>
      </c>
      <c r="AA106" s="3" t="n">
        <f aca="false">IF(J106&gt;='Settings '!$B$10,1,0)</f>
        <v>0</v>
      </c>
      <c r="AB106" s="3" t="n">
        <f aca="false">IF(M106&gt;='Settings '!$B$11,1,0)</f>
        <v>0</v>
      </c>
      <c r="AC106" s="4" t="n">
        <f aca="false">ABS(M106-MIN(1,I106*J106*K106))</f>
        <v>0</v>
      </c>
    </row>
    <row r="107" customFormat="false" ht="14.25" hidden="false" customHeight="true" outlineLevel="0" collapsed="false">
      <c r="A107" s="3" t="s">
        <v>29</v>
      </c>
      <c r="B107" s="3" t="n">
        <v>27</v>
      </c>
      <c r="C107" s="3" t="s">
        <v>84</v>
      </c>
      <c r="D107" s="3" t="s">
        <v>35</v>
      </c>
      <c r="E107" s="3" t="n">
        <v>2</v>
      </c>
      <c r="F107" s="3" t="s">
        <v>40</v>
      </c>
      <c r="G107" s="3" t="s">
        <v>41</v>
      </c>
      <c r="H107" s="3" t="s">
        <v>38</v>
      </c>
      <c r="I107" s="4" t="n">
        <v>0.36</v>
      </c>
      <c r="J107" s="4" t="n">
        <v>0.1</v>
      </c>
      <c r="K107" s="4" t="n">
        <v>1.5</v>
      </c>
      <c r="L107" s="4" t="n">
        <f aca="false">I107*J107</f>
        <v>0.036</v>
      </c>
      <c r="M107" s="4" t="n">
        <f aca="false">MIN(1,I107*J107*K107)</f>
        <v>0.054</v>
      </c>
      <c r="N107" s="4" t="n">
        <f aca="false">N106*M107</f>
        <v>0.007776</v>
      </c>
      <c r="O107" s="4" t="n">
        <f aca="false">'Settings '!$B$8</f>
        <v>0.1</v>
      </c>
      <c r="P107" s="4" t="n">
        <f aca="false">MIN(1,I107*O107*K107)</f>
        <v>0.054</v>
      </c>
      <c r="Q107" s="4" t="n">
        <f aca="false">Q106*P107</f>
        <v>0.007776</v>
      </c>
      <c r="R107" s="4" t="n">
        <f aca="false">'Settings '!$B$9</f>
        <v>0.9</v>
      </c>
      <c r="S107" s="4" t="n">
        <f aca="false">MIN(1,I107*R107*K107)</f>
        <v>0.486</v>
      </c>
      <c r="T107" s="4" t="n">
        <f aca="false">T106*S107</f>
        <v>0.486</v>
      </c>
      <c r="U107" s="4" t="str">
        <f aca="false">IF(E107=4,N107,"")</f>
        <v/>
      </c>
      <c r="V107" s="4" t="str">
        <f aca="false">IF(E107=4,Q107,"")</f>
        <v/>
      </c>
      <c r="W107" s="4" t="str">
        <f aca="false">IF(E107=4,T107,"")</f>
        <v/>
      </c>
      <c r="X107" s="4" t="str">
        <f aca="false">IF(E107=4,IFERROR((LN(U107)-LN(V107))/(LN(W107)-LN(V107)),0),"")</f>
        <v/>
      </c>
      <c r="Y107" s="3" t="str">
        <f aca="false">IF(E107=4,IF(X107&gt;='Settings '!$B$7,"Risk A",IF(X107&gt;='Settings '!$B$6,"Risk B","Risk C")),"")</f>
        <v/>
      </c>
      <c r="Z107" s="3" t="n">
        <f aca="false">IF(Y107="Risk B",1,0)</f>
        <v>0</v>
      </c>
      <c r="AA107" s="3" t="n">
        <f aca="false">IF(J107&gt;='Settings '!$B$10,1,0)</f>
        <v>0</v>
      </c>
      <c r="AB107" s="3" t="n">
        <f aca="false">IF(M107&gt;='Settings '!$B$11,1,0)</f>
        <v>0</v>
      </c>
      <c r="AC107" s="4" t="n">
        <f aca="false">ABS(M107-MIN(1,I107*J107*K107))</f>
        <v>0</v>
      </c>
    </row>
    <row r="108" customFormat="false" ht="14.25" hidden="false" customHeight="true" outlineLevel="0" collapsed="false">
      <c r="A108" s="3" t="s">
        <v>29</v>
      </c>
      <c r="B108" s="3" t="n">
        <v>27</v>
      </c>
      <c r="C108" s="3" t="s">
        <v>84</v>
      </c>
      <c r="D108" s="3" t="s">
        <v>39</v>
      </c>
      <c r="E108" s="3" t="n">
        <v>3</v>
      </c>
      <c r="F108" s="3" t="s">
        <v>63</v>
      </c>
      <c r="G108" s="3" t="s">
        <v>64</v>
      </c>
      <c r="H108" s="3" t="s">
        <v>42</v>
      </c>
      <c r="I108" s="4" t="n">
        <v>0.36</v>
      </c>
      <c r="J108" s="4" t="n">
        <v>0.1</v>
      </c>
      <c r="K108" s="4" t="n">
        <v>2</v>
      </c>
      <c r="L108" s="4" t="n">
        <f aca="false">I108*J108</f>
        <v>0.036</v>
      </c>
      <c r="M108" s="4" t="n">
        <f aca="false">MIN(1,I108*J108*K108)</f>
        <v>0.072</v>
      </c>
      <c r="N108" s="4" t="n">
        <f aca="false">N107*M108</f>
        <v>0.000559872</v>
      </c>
      <c r="O108" s="4" t="n">
        <f aca="false">'Settings '!$B$8</f>
        <v>0.1</v>
      </c>
      <c r="P108" s="4" t="n">
        <f aca="false">MIN(1,I108*O108*K108)</f>
        <v>0.072</v>
      </c>
      <c r="Q108" s="4" t="n">
        <f aca="false">Q107*P108</f>
        <v>0.000559872</v>
      </c>
      <c r="R108" s="4" t="n">
        <f aca="false">'Settings '!$B$9</f>
        <v>0.9</v>
      </c>
      <c r="S108" s="4" t="n">
        <f aca="false">MIN(1,I108*R108*K108)</f>
        <v>0.648</v>
      </c>
      <c r="T108" s="4" t="n">
        <f aca="false">T107*S108</f>
        <v>0.314928</v>
      </c>
      <c r="U108" s="4" t="str">
        <f aca="false">IF(E108=4,N108,"")</f>
        <v/>
      </c>
      <c r="V108" s="4" t="str">
        <f aca="false">IF(E108=4,Q108,"")</f>
        <v/>
      </c>
      <c r="W108" s="4" t="str">
        <f aca="false">IF(E108=4,T108,"")</f>
        <v/>
      </c>
      <c r="X108" s="4" t="str">
        <f aca="false">IF(E108=4,IFERROR((LN(U108)-LN(V108))/(LN(W108)-LN(V108)),0),"")</f>
        <v/>
      </c>
      <c r="Y108" s="3" t="str">
        <f aca="false">IF(E108=4,IF(X108&gt;='Settings '!$B$7,"Risk A",IF(X108&gt;='Settings '!$B$6,"Risk B","Risk C")),"")</f>
        <v/>
      </c>
      <c r="Z108" s="3" t="n">
        <f aca="false">IF(Y108="Risk B",1,0)</f>
        <v>0</v>
      </c>
      <c r="AA108" s="3" t="n">
        <f aca="false">IF(J108&gt;='Settings '!$B$10,1,0)</f>
        <v>0</v>
      </c>
      <c r="AB108" s="3" t="n">
        <f aca="false">IF(M108&gt;='Settings '!$B$11,1,0)</f>
        <v>0</v>
      </c>
      <c r="AC108" s="4" t="n">
        <f aca="false">ABS(M108-MIN(1,I108*J108*K108))</f>
        <v>0</v>
      </c>
    </row>
    <row r="109" customFormat="false" ht="14.25" hidden="false" customHeight="true" outlineLevel="0" collapsed="false">
      <c r="A109" s="3" t="s">
        <v>29</v>
      </c>
      <c r="B109" s="3" t="n">
        <v>27</v>
      </c>
      <c r="C109" s="3" t="s">
        <v>84</v>
      </c>
      <c r="D109" s="3" t="s">
        <v>43</v>
      </c>
      <c r="E109" s="3" t="n">
        <v>4</v>
      </c>
      <c r="F109" s="3" t="s">
        <v>51</v>
      </c>
      <c r="G109" s="3" t="s">
        <v>52</v>
      </c>
      <c r="H109" s="3" t="s">
        <v>46</v>
      </c>
      <c r="I109" s="4" t="n">
        <v>0.18</v>
      </c>
      <c r="J109" s="4" t="n">
        <v>0.28</v>
      </c>
      <c r="K109" s="4" t="n">
        <v>2</v>
      </c>
      <c r="L109" s="4" t="n">
        <f aca="false">I109*J109</f>
        <v>0.0504</v>
      </c>
      <c r="M109" s="4" t="n">
        <f aca="false">MIN(1,I109*J109*K109)</f>
        <v>0.1008</v>
      </c>
      <c r="N109" s="4" t="n">
        <f aca="false">N108*M109</f>
        <v>5.64350976E-005</v>
      </c>
      <c r="O109" s="4" t="n">
        <f aca="false">'Settings '!$B$8</f>
        <v>0.1</v>
      </c>
      <c r="P109" s="4" t="n">
        <f aca="false">MIN(1,I109*O109*K109)</f>
        <v>0.036</v>
      </c>
      <c r="Q109" s="4" t="n">
        <f aca="false">Q108*P109</f>
        <v>2.0155392E-005</v>
      </c>
      <c r="R109" s="4" t="n">
        <f aca="false">'Settings '!$B$9</f>
        <v>0.9</v>
      </c>
      <c r="S109" s="4" t="n">
        <f aca="false">MIN(1,I109*R109*K109)</f>
        <v>0.324</v>
      </c>
      <c r="T109" s="4" t="n">
        <f aca="false">T108*S109</f>
        <v>0.102036672</v>
      </c>
      <c r="U109" s="4" t="n">
        <f aca="false">IF(E109=4,N109,"")</f>
        <v>5.64350976E-005</v>
      </c>
      <c r="V109" s="4" t="n">
        <f aca="false">IF(E109=4,Q109,"")</f>
        <v>2.0155392E-005</v>
      </c>
      <c r="W109" s="4" t="n">
        <f aca="false">IF(E109=4,T109,"")</f>
        <v>0.102036672</v>
      </c>
      <c r="X109" s="4" t="n">
        <f aca="false">IF(E109=4,IFERROR((LN(U109)-LN(V109))/(LN(W109)-LN(V109)),0),"")</f>
        <v>0.120711114312368</v>
      </c>
      <c r="Y109" s="3" t="str">
        <f aca="false">IF(E109=4,IF(X109&gt;='Settings '!$B$7,"Risk A",IF(X109&gt;='Settings '!$B$6,"Risk B","Risk C")),"")</f>
        <v>Risk C</v>
      </c>
      <c r="Z109" s="3" t="n">
        <f aca="false">IF(Y109="Risk B",1,0)</f>
        <v>0</v>
      </c>
      <c r="AA109" s="3" t="n">
        <f aca="false">IF(J109&gt;='Settings '!$B$10,1,0)</f>
        <v>1</v>
      </c>
      <c r="AB109" s="3" t="n">
        <f aca="false">IF(M109&gt;='Settings '!$B$11,1,0)</f>
        <v>0</v>
      </c>
      <c r="AC109" s="4" t="n">
        <f aca="false">ABS(M109-MIN(1,I109*J109*K109))</f>
        <v>0</v>
      </c>
    </row>
    <row r="110" customFormat="false" ht="25.5" hidden="false" customHeight="true" outlineLevel="0" collapsed="false">
      <c r="A110" s="3" t="s">
        <v>29</v>
      </c>
      <c r="B110" s="3" t="n">
        <v>28</v>
      </c>
      <c r="C110" s="3" t="s">
        <v>85</v>
      </c>
      <c r="D110" s="3" t="s">
        <v>31</v>
      </c>
      <c r="E110" s="3" t="n">
        <v>1</v>
      </c>
      <c r="F110" s="3" t="s">
        <v>32</v>
      </c>
      <c r="G110" s="3" t="s">
        <v>33</v>
      </c>
      <c r="H110" s="3" t="s">
        <v>34</v>
      </c>
      <c r="I110" s="4" t="n">
        <v>0.72</v>
      </c>
      <c r="J110" s="4" t="n">
        <v>0.1</v>
      </c>
      <c r="K110" s="4" t="n">
        <v>2</v>
      </c>
      <c r="L110" s="4" t="n">
        <f aca="false">I110*J110</f>
        <v>0.072</v>
      </c>
      <c r="M110" s="4" t="n">
        <f aca="false">MIN(1,I110*J110*K110)</f>
        <v>0.144</v>
      </c>
      <c r="N110" s="4" t="n">
        <f aca="false">M110</f>
        <v>0.144</v>
      </c>
      <c r="O110" s="4" t="n">
        <f aca="false">'Settings '!$B$8</f>
        <v>0.1</v>
      </c>
      <c r="P110" s="4" t="n">
        <f aca="false">MIN(1,I110*O110*K110)</f>
        <v>0.144</v>
      </c>
      <c r="Q110" s="4" t="n">
        <f aca="false">P110</f>
        <v>0.144</v>
      </c>
      <c r="R110" s="4" t="n">
        <f aca="false">'Settings '!$B$9</f>
        <v>0.9</v>
      </c>
      <c r="S110" s="4" t="n">
        <f aca="false">MIN(1,I110*R110*K110)</f>
        <v>1</v>
      </c>
      <c r="T110" s="4" t="n">
        <f aca="false">S110</f>
        <v>1</v>
      </c>
      <c r="U110" s="4" t="str">
        <f aca="false">IF(E110=4,N110,"")</f>
        <v/>
      </c>
      <c r="V110" s="4" t="str">
        <f aca="false">IF(E110=4,Q110,"")</f>
        <v/>
      </c>
      <c r="W110" s="4" t="str">
        <f aca="false">IF(E110=4,T110,"")</f>
        <v/>
      </c>
      <c r="X110" s="4" t="str">
        <f aca="false">IF(E110=4,IFERROR((LN(U110)-LN(V110))/(LN(W110)-LN(V110)),0),"")</f>
        <v/>
      </c>
      <c r="Y110" s="3" t="str">
        <f aca="false">IF(E110=4,IF(X110&gt;='Settings '!$B$7,"Risk A",IF(X110&gt;='Settings '!$B$6,"Risk B","Risk C")),"")</f>
        <v/>
      </c>
      <c r="Z110" s="3" t="n">
        <f aca="false">IF(Y110="Risk B",1,0)</f>
        <v>0</v>
      </c>
      <c r="AA110" s="3" t="n">
        <f aca="false">IF(J110&gt;='Settings '!$B$10,1,0)</f>
        <v>0</v>
      </c>
      <c r="AB110" s="3" t="n">
        <f aca="false">IF(M110&gt;='Settings '!$B$11,1,0)</f>
        <v>0</v>
      </c>
      <c r="AC110" s="4" t="n">
        <f aca="false">ABS(M110-MIN(1,I110*J110*K110))</f>
        <v>0</v>
      </c>
    </row>
    <row r="111" customFormat="false" ht="14.25" hidden="false" customHeight="true" outlineLevel="0" collapsed="false">
      <c r="A111" s="3" t="s">
        <v>29</v>
      </c>
      <c r="B111" s="3" t="n">
        <v>28</v>
      </c>
      <c r="C111" s="3" t="s">
        <v>85</v>
      </c>
      <c r="D111" s="3" t="s">
        <v>35</v>
      </c>
      <c r="E111" s="3" t="n">
        <v>2</v>
      </c>
      <c r="F111" s="3" t="s">
        <v>40</v>
      </c>
      <c r="G111" s="3" t="s">
        <v>41</v>
      </c>
      <c r="H111" s="3" t="s">
        <v>38</v>
      </c>
      <c r="I111" s="4" t="n">
        <v>0.36</v>
      </c>
      <c r="J111" s="4" t="n">
        <v>0.1</v>
      </c>
      <c r="K111" s="4" t="n">
        <v>1.5</v>
      </c>
      <c r="L111" s="4" t="n">
        <f aca="false">I111*J111</f>
        <v>0.036</v>
      </c>
      <c r="M111" s="4" t="n">
        <f aca="false">MIN(1,I111*J111*K111)</f>
        <v>0.054</v>
      </c>
      <c r="N111" s="4" t="n">
        <f aca="false">N110*M111</f>
        <v>0.007776</v>
      </c>
      <c r="O111" s="4" t="n">
        <f aca="false">'Settings '!$B$8</f>
        <v>0.1</v>
      </c>
      <c r="P111" s="4" t="n">
        <f aca="false">MIN(1,I111*O111*K111)</f>
        <v>0.054</v>
      </c>
      <c r="Q111" s="4" t="n">
        <f aca="false">Q110*P111</f>
        <v>0.007776</v>
      </c>
      <c r="R111" s="4" t="n">
        <f aca="false">'Settings '!$B$9</f>
        <v>0.9</v>
      </c>
      <c r="S111" s="4" t="n">
        <f aca="false">MIN(1,I111*R111*K111)</f>
        <v>0.486</v>
      </c>
      <c r="T111" s="4" t="n">
        <f aca="false">T110*S111</f>
        <v>0.486</v>
      </c>
      <c r="U111" s="4" t="str">
        <f aca="false">IF(E111=4,N111,"")</f>
        <v/>
      </c>
      <c r="V111" s="4" t="str">
        <f aca="false">IF(E111=4,Q111,"")</f>
        <v/>
      </c>
      <c r="W111" s="4" t="str">
        <f aca="false">IF(E111=4,T111,"")</f>
        <v/>
      </c>
      <c r="X111" s="4" t="str">
        <f aca="false">IF(E111=4,IFERROR((LN(U111)-LN(V111))/(LN(W111)-LN(V111)),0),"")</f>
        <v/>
      </c>
      <c r="Y111" s="3" t="str">
        <f aca="false">IF(E111=4,IF(X111&gt;='Settings '!$B$7,"Risk A",IF(X111&gt;='Settings '!$B$6,"Risk B","Risk C")),"")</f>
        <v/>
      </c>
      <c r="Z111" s="3" t="n">
        <f aca="false">IF(Y111="Risk B",1,0)</f>
        <v>0</v>
      </c>
      <c r="AA111" s="3" t="n">
        <f aca="false">IF(J111&gt;='Settings '!$B$10,1,0)</f>
        <v>0</v>
      </c>
      <c r="AB111" s="3" t="n">
        <f aca="false">IF(M111&gt;='Settings '!$B$11,1,0)</f>
        <v>0</v>
      </c>
      <c r="AC111" s="4" t="n">
        <f aca="false">ABS(M111-MIN(1,I111*J111*K111))</f>
        <v>0</v>
      </c>
    </row>
    <row r="112" customFormat="false" ht="14.25" hidden="false" customHeight="true" outlineLevel="0" collapsed="false">
      <c r="A112" s="3" t="s">
        <v>29</v>
      </c>
      <c r="B112" s="3" t="n">
        <v>28</v>
      </c>
      <c r="C112" s="3" t="s">
        <v>85</v>
      </c>
      <c r="D112" s="3" t="s">
        <v>39</v>
      </c>
      <c r="E112" s="3" t="n">
        <v>3</v>
      </c>
      <c r="F112" s="3" t="s">
        <v>63</v>
      </c>
      <c r="G112" s="3" t="s">
        <v>64</v>
      </c>
      <c r="H112" s="3" t="s">
        <v>42</v>
      </c>
      <c r="I112" s="4" t="n">
        <v>0.36</v>
      </c>
      <c r="J112" s="4" t="n">
        <v>0.1</v>
      </c>
      <c r="K112" s="4" t="n">
        <v>2</v>
      </c>
      <c r="L112" s="4" t="n">
        <f aca="false">I112*J112</f>
        <v>0.036</v>
      </c>
      <c r="M112" s="4" t="n">
        <f aca="false">MIN(1,I112*J112*K112)</f>
        <v>0.072</v>
      </c>
      <c r="N112" s="4" t="n">
        <f aca="false">N111*M112</f>
        <v>0.000559872</v>
      </c>
      <c r="O112" s="4" t="n">
        <f aca="false">'Settings '!$B$8</f>
        <v>0.1</v>
      </c>
      <c r="P112" s="4" t="n">
        <f aca="false">MIN(1,I112*O112*K112)</f>
        <v>0.072</v>
      </c>
      <c r="Q112" s="4" t="n">
        <f aca="false">Q111*P112</f>
        <v>0.000559872</v>
      </c>
      <c r="R112" s="4" t="n">
        <f aca="false">'Settings '!$B$9</f>
        <v>0.9</v>
      </c>
      <c r="S112" s="4" t="n">
        <f aca="false">MIN(1,I112*R112*K112)</f>
        <v>0.648</v>
      </c>
      <c r="T112" s="4" t="n">
        <f aca="false">T111*S112</f>
        <v>0.314928</v>
      </c>
      <c r="U112" s="4" t="str">
        <f aca="false">IF(E112=4,N112,"")</f>
        <v/>
      </c>
      <c r="V112" s="4" t="str">
        <f aca="false">IF(E112=4,Q112,"")</f>
        <v/>
      </c>
      <c r="W112" s="4" t="str">
        <f aca="false">IF(E112=4,T112,"")</f>
        <v/>
      </c>
      <c r="X112" s="4" t="str">
        <f aca="false">IF(E112=4,IFERROR((LN(U112)-LN(V112))/(LN(W112)-LN(V112)),0),"")</f>
        <v/>
      </c>
      <c r="Y112" s="3" t="str">
        <f aca="false">IF(E112=4,IF(X112&gt;='Settings '!$B$7,"Risk A",IF(X112&gt;='Settings '!$B$6,"Risk B","Risk C")),"")</f>
        <v/>
      </c>
      <c r="Z112" s="3" t="n">
        <f aca="false">IF(Y112="Risk B",1,0)</f>
        <v>0</v>
      </c>
      <c r="AA112" s="3" t="n">
        <f aca="false">IF(J112&gt;='Settings '!$B$10,1,0)</f>
        <v>0</v>
      </c>
      <c r="AB112" s="3" t="n">
        <f aca="false">IF(M112&gt;='Settings '!$B$11,1,0)</f>
        <v>0</v>
      </c>
      <c r="AC112" s="4" t="n">
        <f aca="false">ABS(M112-MIN(1,I112*J112*K112))</f>
        <v>0</v>
      </c>
    </row>
    <row r="113" customFormat="false" ht="14.25" hidden="false" customHeight="true" outlineLevel="0" collapsed="false">
      <c r="A113" s="3" t="s">
        <v>29</v>
      </c>
      <c r="B113" s="3" t="n">
        <v>28</v>
      </c>
      <c r="C113" s="3" t="s">
        <v>85</v>
      </c>
      <c r="D113" s="3" t="s">
        <v>43</v>
      </c>
      <c r="E113" s="3" t="n">
        <v>4</v>
      </c>
      <c r="F113" s="3" t="s">
        <v>54</v>
      </c>
      <c r="G113" s="3" t="s">
        <v>55</v>
      </c>
      <c r="H113" s="3" t="s">
        <v>46</v>
      </c>
      <c r="I113" s="4" t="n">
        <v>0.18</v>
      </c>
      <c r="J113" s="4" t="n">
        <v>0.28</v>
      </c>
      <c r="K113" s="4" t="n">
        <v>2</v>
      </c>
      <c r="L113" s="4" t="n">
        <f aca="false">I113*J113</f>
        <v>0.0504</v>
      </c>
      <c r="M113" s="4" t="n">
        <f aca="false">MIN(1,I113*J113*K113)</f>
        <v>0.1008</v>
      </c>
      <c r="N113" s="4" t="n">
        <f aca="false">N112*M113</f>
        <v>5.64350976E-005</v>
      </c>
      <c r="O113" s="4" t="n">
        <f aca="false">'Settings '!$B$8</f>
        <v>0.1</v>
      </c>
      <c r="P113" s="4" t="n">
        <f aca="false">MIN(1,I113*O113*K113)</f>
        <v>0.036</v>
      </c>
      <c r="Q113" s="4" t="n">
        <f aca="false">Q112*P113</f>
        <v>2.0155392E-005</v>
      </c>
      <c r="R113" s="4" t="n">
        <f aca="false">'Settings '!$B$9</f>
        <v>0.9</v>
      </c>
      <c r="S113" s="4" t="n">
        <f aca="false">MIN(1,I113*R113*K113)</f>
        <v>0.324</v>
      </c>
      <c r="T113" s="4" t="n">
        <f aca="false">T112*S113</f>
        <v>0.102036672</v>
      </c>
      <c r="U113" s="4" t="n">
        <f aca="false">IF(E113=4,N113,"")</f>
        <v>5.64350976E-005</v>
      </c>
      <c r="V113" s="4" t="n">
        <f aca="false">IF(E113=4,Q113,"")</f>
        <v>2.0155392E-005</v>
      </c>
      <c r="W113" s="4" t="n">
        <f aca="false">IF(E113=4,T113,"")</f>
        <v>0.102036672</v>
      </c>
      <c r="X113" s="4" t="n">
        <f aca="false">IF(E113=4,IFERROR((LN(U113)-LN(V113))/(LN(W113)-LN(V113)),0),"")</f>
        <v>0.120711114312368</v>
      </c>
      <c r="Y113" s="3" t="str">
        <f aca="false">IF(E113=4,IF(X113&gt;='Settings '!$B$7,"Risk A",IF(X113&gt;='Settings '!$B$6,"Risk B","Risk C")),"")</f>
        <v>Risk C</v>
      </c>
      <c r="Z113" s="3" t="n">
        <f aca="false">IF(Y113="Risk B",1,0)</f>
        <v>0</v>
      </c>
      <c r="AA113" s="3" t="n">
        <f aca="false">IF(J113&gt;='Settings '!$B$10,1,0)</f>
        <v>1</v>
      </c>
      <c r="AB113" s="3" t="n">
        <f aca="false">IF(M113&gt;='Settings '!$B$11,1,0)</f>
        <v>0</v>
      </c>
      <c r="AC113" s="4" t="n">
        <f aca="false">ABS(M113-MIN(1,I113*J113*K113))</f>
        <v>0</v>
      </c>
    </row>
    <row r="114" customFormat="false" ht="25.5" hidden="false" customHeight="true" outlineLevel="0" collapsed="false">
      <c r="A114" s="3" t="s">
        <v>29</v>
      </c>
      <c r="B114" s="3" t="n">
        <v>29</v>
      </c>
      <c r="C114" s="3" t="s">
        <v>86</v>
      </c>
      <c r="D114" s="3" t="s">
        <v>31</v>
      </c>
      <c r="E114" s="3" t="n">
        <v>1</v>
      </c>
      <c r="F114" s="3" t="s">
        <v>32</v>
      </c>
      <c r="G114" s="3" t="s">
        <v>33</v>
      </c>
      <c r="H114" s="3" t="s">
        <v>34</v>
      </c>
      <c r="I114" s="4" t="n">
        <v>0.72</v>
      </c>
      <c r="J114" s="4" t="n">
        <v>0.1</v>
      </c>
      <c r="K114" s="4" t="n">
        <v>2</v>
      </c>
      <c r="L114" s="4" t="n">
        <f aca="false">I114*J114</f>
        <v>0.072</v>
      </c>
      <c r="M114" s="4" t="n">
        <f aca="false">MIN(1,I114*J114*K114)</f>
        <v>0.144</v>
      </c>
      <c r="N114" s="4" t="n">
        <f aca="false">M114</f>
        <v>0.144</v>
      </c>
      <c r="O114" s="4" t="n">
        <f aca="false">'Settings '!$B$8</f>
        <v>0.1</v>
      </c>
      <c r="P114" s="4" t="n">
        <f aca="false">MIN(1,I114*O114*K114)</f>
        <v>0.144</v>
      </c>
      <c r="Q114" s="4" t="n">
        <f aca="false">P114</f>
        <v>0.144</v>
      </c>
      <c r="R114" s="4" t="n">
        <f aca="false">'Settings '!$B$9</f>
        <v>0.9</v>
      </c>
      <c r="S114" s="4" t="n">
        <f aca="false">MIN(1,I114*R114*K114)</f>
        <v>1</v>
      </c>
      <c r="T114" s="4" t="n">
        <f aca="false">S114</f>
        <v>1</v>
      </c>
      <c r="U114" s="4" t="str">
        <f aca="false">IF(E114=4,N114,"")</f>
        <v/>
      </c>
      <c r="V114" s="4" t="str">
        <f aca="false">IF(E114=4,Q114,"")</f>
        <v/>
      </c>
      <c r="W114" s="4" t="str">
        <f aca="false">IF(E114=4,T114,"")</f>
        <v/>
      </c>
      <c r="X114" s="4" t="str">
        <f aca="false">IF(E114=4,IFERROR((LN(U114)-LN(V114))/(LN(W114)-LN(V114)),0),"")</f>
        <v/>
      </c>
      <c r="Y114" s="3" t="str">
        <f aca="false">IF(E114=4,IF(X114&gt;='Settings '!$B$7,"Risk A",IF(X114&gt;='Settings '!$B$6,"Risk B","Risk C")),"")</f>
        <v/>
      </c>
      <c r="Z114" s="3" t="n">
        <f aca="false">IF(Y114="Risk B",1,0)</f>
        <v>0</v>
      </c>
      <c r="AA114" s="3" t="n">
        <f aca="false">IF(J114&gt;='Settings '!$B$10,1,0)</f>
        <v>0</v>
      </c>
      <c r="AB114" s="3" t="n">
        <f aca="false">IF(M114&gt;='Settings '!$B$11,1,0)</f>
        <v>0</v>
      </c>
      <c r="AC114" s="4" t="n">
        <f aca="false">ABS(M114-MIN(1,I114*J114*K114))</f>
        <v>0</v>
      </c>
    </row>
    <row r="115" customFormat="false" ht="14.25" hidden="false" customHeight="true" outlineLevel="0" collapsed="false">
      <c r="A115" s="3" t="s">
        <v>29</v>
      </c>
      <c r="B115" s="3" t="n">
        <v>29</v>
      </c>
      <c r="C115" s="3" t="s">
        <v>86</v>
      </c>
      <c r="D115" s="3" t="s">
        <v>35</v>
      </c>
      <c r="E115" s="3" t="n">
        <v>2</v>
      </c>
      <c r="F115" s="3" t="s">
        <v>40</v>
      </c>
      <c r="G115" s="3" t="s">
        <v>41</v>
      </c>
      <c r="H115" s="3" t="s">
        <v>38</v>
      </c>
      <c r="I115" s="4" t="n">
        <v>0.36</v>
      </c>
      <c r="J115" s="4" t="n">
        <v>0.1</v>
      </c>
      <c r="K115" s="4" t="n">
        <v>1.5</v>
      </c>
      <c r="L115" s="4" t="n">
        <f aca="false">I115*J115</f>
        <v>0.036</v>
      </c>
      <c r="M115" s="4" t="n">
        <f aca="false">MIN(1,I115*J115*K115)</f>
        <v>0.054</v>
      </c>
      <c r="N115" s="4" t="n">
        <f aca="false">N114*M115</f>
        <v>0.007776</v>
      </c>
      <c r="O115" s="4" t="n">
        <f aca="false">'Settings '!$B$8</f>
        <v>0.1</v>
      </c>
      <c r="P115" s="4" t="n">
        <f aca="false">MIN(1,I115*O115*K115)</f>
        <v>0.054</v>
      </c>
      <c r="Q115" s="4" t="n">
        <f aca="false">Q114*P115</f>
        <v>0.007776</v>
      </c>
      <c r="R115" s="4" t="n">
        <f aca="false">'Settings '!$B$9</f>
        <v>0.9</v>
      </c>
      <c r="S115" s="4" t="n">
        <f aca="false">MIN(1,I115*R115*K115)</f>
        <v>0.486</v>
      </c>
      <c r="T115" s="4" t="n">
        <f aca="false">T114*S115</f>
        <v>0.486</v>
      </c>
      <c r="U115" s="4" t="str">
        <f aca="false">IF(E115=4,N115,"")</f>
        <v/>
      </c>
      <c r="V115" s="4" t="str">
        <f aca="false">IF(E115=4,Q115,"")</f>
        <v/>
      </c>
      <c r="W115" s="4" t="str">
        <f aca="false">IF(E115=4,T115,"")</f>
        <v/>
      </c>
      <c r="X115" s="4" t="str">
        <f aca="false">IF(E115=4,IFERROR((LN(U115)-LN(V115))/(LN(W115)-LN(V115)),0),"")</f>
        <v/>
      </c>
      <c r="Y115" s="3" t="str">
        <f aca="false">IF(E115=4,IF(X115&gt;='Settings '!$B$7,"Risk A",IF(X115&gt;='Settings '!$B$6,"Risk B","Risk C")),"")</f>
        <v/>
      </c>
      <c r="Z115" s="3" t="n">
        <f aca="false">IF(Y115="Risk B",1,0)</f>
        <v>0</v>
      </c>
      <c r="AA115" s="3" t="n">
        <f aca="false">IF(J115&gt;='Settings '!$B$10,1,0)</f>
        <v>0</v>
      </c>
      <c r="AB115" s="3" t="n">
        <f aca="false">IF(M115&gt;='Settings '!$B$11,1,0)</f>
        <v>0</v>
      </c>
      <c r="AC115" s="4" t="n">
        <f aca="false">ABS(M115-MIN(1,I115*J115*K115))</f>
        <v>0</v>
      </c>
    </row>
    <row r="116" customFormat="false" ht="14.25" hidden="false" customHeight="true" outlineLevel="0" collapsed="false">
      <c r="A116" s="3" t="s">
        <v>29</v>
      </c>
      <c r="B116" s="3" t="n">
        <v>29</v>
      </c>
      <c r="C116" s="3" t="s">
        <v>86</v>
      </c>
      <c r="D116" s="3" t="s">
        <v>39</v>
      </c>
      <c r="E116" s="3" t="n">
        <v>3</v>
      </c>
      <c r="F116" s="3" t="s">
        <v>69</v>
      </c>
      <c r="G116" s="3" t="s">
        <v>70</v>
      </c>
      <c r="H116" s="3" t="s">
        <v>42</v>
      </c>
      <c r="I116" s="4" t="n">
        <v>0.36</v>
      </c>
      <c r="J116" s="4" t="n">
        <v>0.1</v>
      </c>
      <c r="K116" s="4" t="n">
        <v>2</v>
      </c>
      <c r="L116" s="4" t="n">
        <f aca="false">I116*J116</f>
        <v>0.036</v>
      </c>
      <c r="M116" s="4" t="n">
        <f aca="false">MIN(1,I116*J116*K116)</f>
        <v>0.072</v>
      </c>
      <c r="N116" s="4" t="n">
        <f aca="false">N115*M116</f>
        <v>0.000559872</v>
      </c>
      <c r="O116" s="4" t="n">
        <f aca="false">'Settings '!$B$8</f>
        <v>0.1</v>
      </c>
      <c r="P116" s="4" t="n">
        <f aca="false">MIN(1,I116*O116*K116)</f>
        <v>0.072</v>
      </c>
      <c r="Q116" s="4" t="n">
        <f aca="false">Q115*P116</f>
        <v>0.000559872</v>
      </c>
      <c r="R116" s="4" t="n">
        <f aca="false">'Settings '!$B$9</f>
        <v>0.9</v>
      </c>
      <c r="S116" s="4" t="n">
        <f aca="false">MIN(1,I116*R116*K116)</f>
        <v>0.648</v>
      </c>
      <c r="T116" s="4" t="n">
        <f aca="false">T115*S116</f>
        <v>0.314928</v>
      </c>
      <c r="U116" s="4" t="str">
        <f aca="false">IF(E116=4,N116,"")</f>
        <v/>
      </c>
      <c r="V116" s="4" t="str">
        <f aca="false">IF(E116=4,Q116,"")</f>
        <v/>
      </c>
      <c r="W116" s="4" t="str">
        <f aca="false">IF(E116=4,T116,"")</f>
        <v/>
      </c>
      <c r="X116" s="4" t="str">
        <f aca="false">IF(E116=4,IFERROR((LN(U116)-LN(V116))/(LN(W116)-LN(V116)),0),"")</f>
        <v/>
      </c>
      <c r="Y116" s="3" t="str">
        <f aca="false">IF(E116=4,IF(X116&gt;='Settings '!$B$7,"Risk A",IF(X116&gt;='Settings '!$B$6,"Risk B","Risk C")),"")</f>
        <v/>
      </c>
      <c r="Z116" s="3" t="n">
        <f aca="false">IF(Y116="Risk B",1,0)</f>
        <v>0</v>
      </c>
      <c r="AA116" s="3" t="n">
        <f aca="false">IF(J116&gt;='Settings '!$B$10,1,0)</f>
        <v>0</v>
      </c>
      <c r="AB116" s="3" t="n">
        <f aca="false">IF(M116&gt;='Settings '!$B$11,1,0)</f>
        <v>0</v>
      </c>
      <c r="AC116" s="4" t="n">
        <f aca="false">ABS(M116-MIN(1,I116*J116*K116))</f>
        <v>0</v>
      </c>
    </row>
    <row r="117" customFormat="false" ht="14.25" hidden="false" customHeight="true" outlineLevel="0" collapsed="false">
      <c r="A117" s="3" t="s">
        <v>29</v>
      </c>
      <c r="B117" s="3" t="n">
        <v>29</v>
      </c>
      <c r="C117" s="3" t="s">
        <v>86</v>
      </c>
      <c r="D117" s="3" t="s">
        <v>43</v>
      </c>
      <c r="E117" s="3" t="n">
        <v>4</v>
      </c>
      <c r="F117" s="3" t="s">
        <v>44</v>
      </c>
      <c r="G117" s="3" t="s">
        <v>45</v>
      </c>
      <c r="H117" s="3" t="s">
        <v>46</v>
      </c>
      <c r="I117" s="4" t="n">
        <v>0.9</v>
      </c>
      <c r="J117" s="4" t="n">
        <v>0.1</v>
      </c>
      <c r="K117" s="4" t="n">
        <v>2</v>
      </c>
      <c r="L117" s="4" t="n">
        <f aca="false">I117*J117</f>
        <v>0.09</v>
      </c>
      <c r="M117" s="4" t="n">
        <f aca="false">MIN(1,I117*J117*K117)</f>
        <v>0.18</v>
      </c>
      <c r="N117" s="4" t="n">
        <f aca="false">N116*M117</f>
        <v>0.00010077696</v>
      </c>
      <c r="O117" s="4" t="n">
        <f aca="false">'Settings '!$B$8</f>
        <v>0.1</v>
      </c>
      <c r="P117" s="4" t="n">
        <f aca="false">MIN(1,I117*O117*K117)</f>
        <v>0.18</v>
      </c>
      <c r="Q117" s="4" t="n">
        <f aca="false">Q116*P117</f>
        <v>0.00010077696</v>
      </c>
      <c r="R117" s="4" t="n">
        <f aca="false">'Settings '!$B$9</f>
        <v>0.9</v>
      </c>
      <c r="S117" s="4" t="n">
        <f aca="false">MIN(1,I117*R117*K117)</f>
        <v>1</v>
      </c>
      <c r="T117" s="4" t="n">
        <f aca="false">T116*S117</f>
        <v>0.314928</v>
      </c>
      <c r="U117" s="4" t="n">
        <f aca="false">IF(E117=4,N117,"")</f>
        <v>0.00010077696</v>
      </c>
      <c r="V117" s="4" t="n">
        <f aca="false">IF(E117=4,Q117,"")</f>
        <v>0.00010077696</v>
      </c>
      <c r="W117" s="4" t="n">
        <f aca="false">IF(E117=4,T117,"")</f>
        <v>0.314928</v>
      </c>
      <c r="X117" s="4" t="n">
        <f aca="false">IF(E117=4,IFERROR((LN(U117)-LN(V117))/(LN(W117)-LN(V117)),0),"")</f>
        <v>0</v>
      </c>
      <c r="Y117" s="3" t="str">
        <f aca="false">IF(E117=4,IF(X117&gt;='Settings '!$B$7,"Risk A",IF(X117&gt;='Settings '!$B$6,"Risk B","Risk C")),"")</f>
        <v>Risk C</v>
      </c>
      <c r="Z117" s="3" t="n">
        <f aca="false">IF(Y117="Risk B",1,0)</f>
        <v>0</v>
      </c>
      <c r="AA117" s="3" t="n">
        <f aca="false">IF(J117&gt;='Settings '!$B$10,1,0)</f>
        <v>0</v>
      </c>
      <c r="AB117" s="3" t="n">
        <f aca="false">IF(M117&gt;='Settings '!$B$11,1,0)</f>
        <v>0</v>
      </c>
      <c r="AC117" s="4" t="n">
        <f aca="false">ABS(M117-MIN(1,I117*J117*K117))</f>
        <v>0</v>
      </c>
    </row>
    <row r="118" customFormat="false" ht="25.5" hidden="false" customHeight="true" outlineLevel="0" collapsed="false">
      <c r="A118" s="3" t="s">
        <v>29</v>
      </c>
      <c r="B118" s="3" t="n">
        <v>30</v>
      </c>
      <c r="C118" s="3" t="s">
        <v>87</v>
      </c>
      <c r="D118" s="3" t="s">
        <v>31</v>
      </c>
      <c r="E118" s="3" t="n">
        <v>1</v>
      </c>
      <c r="F118" s="3" t="s">
        <v>32</v>
      </c>
      <c r="G118" s="3" t="s">
        <v>33</v>
      </c>
      <c r="H118" s="3" t="s">
        <v>34</v>
      </c>
      <c r="I118" s="4" t="n">
        <v>0.72</v>
      </c>
      <c r="J118" s="4" t="n">
        <v>0.1</v>
      </c>
      <c r="K118" s="4" t="n">
        <v>2</v>
      </c>
      <c r="L118" s="4" t="n">
        <f aca="false">I118*J118</f>
        <v>0.072</v>
      </c>
      <c r="M118" s="4" t="n">
        <f aca="false">MIN(1,I118*J118*K118)</f>
        <v>0.144</v>
      </c>
      <c r="N118" s="4" t="n">
        <f aca="false">M118</f>
        <v>0.144</v>
      </c>
      <c r="O118" s="4" t="n">
        <f aca="false">'Settings '!$B$8</f>
        <v>0.1</v>
      </c>
      <c r="P118" s="4" t="n">
        <f aca="false">MIN(1,I118*O118*K118)</f>
        <v>0.144</v>
      </c>
      <c r="Q118" s="4" t="n">
        <f aca="false">P118</f>
        <v>0.144</v>
      </c>
      <c r="R118" s="4" t="n">
        <f aca="false">'Settings '!$B$9</f>
        <v>0.9</v>
      </c>
      <c r="S118" s="4" t="n">
        <f aca="false">MIN(1,I118*R118*K118)</f>
        <v>1</v>
      </c>
      <c r="T118" s="4" t="n">
        <f aca="false">S118</f>
        <v>1</v>
      </c>
      <c r="U118" s="4" t="str">
        <f aca="false">IF(E118=4,N118,"")</f>
        <v/>
      </c>
      <c r="V118" s="4" t="str">
        <f aca="false">IF(E118=4,Q118,"")</f>
        <v/>
      </c>
      <c r="W118" s="4" t="str">
        <f aca="false">IF(E118=4,T118,"")</f>
        <v/>
      </c>
      <c r="X118" s="4" t="str">
        <f aca="false">IF(E118=4,IFERROR((LN(U118)-LN(V118))/(LN(W118)-LN(V118)),0),"")</f>
        <v/>
      </c>
      <c r="Y118" s="3" t="str">
        <f aca="false">IF(E118=4,IF(X118&gt;='Settings '!$B$7,"Risk A",IF(X118&gt;='Settings '!$B$6,"Risk B","Risk C")),"")</f>
        <v/>
      </c>
      <c r="Z118" s="3" t="n">
        <f aca="false">IF(Y118="Risk B",1,0)</f>
        <v>0</v>
      </c>
      <c r="AA118" s="3" t="n">
        <f aca="false">IF(J118&gt;='Settings '!$B$10,1,0)</f>
        <v>0</v>
      </c>
      <c r="AB118" s="3" t="n">
        <f aca="false">IF(M118&gt;='Settings '!$B$11,1,0)</f>
        <v>0</v>
      </c>
      <c r="AC118" s="4" t="n">
        <f aca="false">ABS(M118-MIN(1,I118*J118*K118))</f>
        <v>0</v>
      </c>
    </row>
    <row r="119" customFormat="false" ht="14.25" hidden="false" customHeight="true" outlineLevel="0" collapsed="false">
      <c r="A119" s="3" t="s">
        <v>29</v>
      </c>
      <c r="B119" s="3" t="n">
        <v>30</v>
      </c>
      <c r="C119" s="3" t="s">
        <v>87</v>
      </c>
      <c r="D119" s="3" t="s">
        <v>35</v>
      </c>
      <c r="E119" s="3" t="n">
        <v>2</v>
      </c>
      <c r="F119" s="3" t="s">
        <v>40</v>
      </c>
      <c r="G119" s="3" t="s">
        <v>41</v>
      </c>
      <c r="H119" s="3" t="s">
        <v>38</v>
      </c>
      <c r="I119" s="4" t="n">
        <v>0.36</v>
      </c>
      <c r="J119" s="4" t="n">
        <v>0.1</v>
      </c>
      <c r="K119" s="4" t="n">
        <v>1.5</v>
      </c>
      <c r="L119" s="4" t="n">
        <f aca="false">I119*J119</f>
        <v>0.036</v>
      </c>
      <c r="M119" s="4" t="n">
        <f aca="false">MIN(1,I119*J119*K119)</f>
        <v>0.054</v>
      </c>
      <c r="N119" s="4" t="n">
        <f aca="false">N118*M119</f>
        <v>0.007776</v>
      </c>
      <c r="O119" s="4" t="n">
        <f aca="false">'Settings '!$B$8</f>
        <v>0.1</v>
      </c>
      <c r="P119" s="4" t="n">
        <f aca="false">MIN(1,I119*O119*K119)</f>
        <v>0.054</v>
      </c>
      <c r="Q119" s="4" t="n">
        <f aca="false">Q118*P119</f>
        <v>0.007776</v>
      </c>
      <c r="R119" s="4" t="n">
        <f aca="false">'Settings '!$B$9</f>
        <v>0.9</v>
      </c>
      <c r="S119" s="4" t="n">
        <f aca="false">MIN(1,I119*R119*K119)</f>
        <v>0.486</v>
      </c>
      <c r="T119" s="4" t="n">
        <f aca="false">T118*S119</f>
        <v>0.486</v>
      </c>
      <c r="U119" s="4" t="str">
        <f aca="false">IF(E119=4,N119,"")</f>
        <v/>
      </c>
      <c r="V119" s="4" t="str">
        <f aca="false">IF(E119=4,Q119,"")</f>
        <v/>
      </c>
      <c r="W119" s="4" t="str">
        <f aca="false">IF(E119=4,T119,"")</f>
        <v/>
      </c>
      <c r="X119" s="4" t="str">
        <f aca="false">IF(E119=4,IFERROR((LN(U119)-LN(V119))/(LN(W119)-LN(V119)),0),"")</f>
        <v/>
      </c>
      <c r="Y119" s="3" t="str">
        <f aca="false">IF(E119=4,IF(X119&gt;='Settings '!$B$7,"Risk A",IF(X119&gt;='Settings '!$B$6,"Risk B","Risk C")),"")</f>
        <v/>
      </c>
      <c r="Z119" s="3" t="n">
        <f aca="false">IF(Y119="Risk B",1,0)</f>
        <v>0</v>
      </c>
      <c r="AA119" s="3" t="n">
        <f aca="false">IF(J119&gt;='Settings '!$B$10,1,0)</f>
        <v>0</v>
      </c>
      <c r="AB119" s="3" t="n">
        <f aca="false">IF(M119&gt;='Settings '!$B$11,1,0)</f>
        <v>0</v>
      </c>
      <c r="AC119" s="4" t="n">
        <f aca="false">ABS(M119-MIN(1,I119*J119*K119))</f>
        <v>0</v>
      </c>
    </row>
    <row r="120" customFormat="false" ht="14.25" hidden="false" customHeight="true" outlineLevel="0" collapsed="false">
      <c r="A120" s="3" t="s">
        <v>29</v>
      </c>
      <c r="B120" s="3" t="n">
        <v>30</v>
      </c>
      <c r="C120" s="3" t="s">
        <v>87</v>
      </c>
      <c r="D120" s="3" t="s">
        <v>39</v>
      </c>
      <c r="E120" s="3" t="n">
        <v>3</v>
      </c>
      <c r="F120" s="3" t="s">
        <v>69</v>
      </c>
      <c r="G120" s="3" t="s">
        <v>70</v>
      </c>
      <c r="H120" s="3" t="s">
        <v>42</v>
      </c>
      <c r="I120" s="4" t="n">
        <v>0.36</v>
      </c>
      <c r="J120" s="4" t="n">
        <v>0.1</v>
      </c>
      <c r="K120" s="4" t="n">
        <v>2</v>
      </c>
      <c r="L120" s="4" t="n">
        <f aca="false">I120*J120</f>
        <v>0.036</v>
      </c>
      <c r="M120" s="4" t="n">
        <f aca="false">MIN(1,I120*J120*K120)</f>
        <v>0.072</v>
      </c>
      <c r="N120" s="4" t="n">
        <f aca="false">N119*M120</f>
        <v>0.000559872</v>
      </c>
      <c r="O120" s="4" t="n">
        <f aca="false">'Settings '!$B$8</f>
        <v>0.1</v>
      </c>
      <c r="P120" s="4" t="n">
        <f aca="false">MIN(1,I120*O120*K120)</f>
        <v>0.072</v>
      </c>
      <c r="Q120" s="4" t="n">
        <f aca="false">Q119*P120</f>
        <v>0.000559872</v>
      </c>
      <c r="R120" s="4" t="n">
        <f aca="false">'Settings '!$B$9</f>
        <v>0.9</v>
      </c>
      <c r="S120" s="4" t="n">
        <f aca="false">MIN(1,I120*R120*K120)</f>
        <v>0.648</v>
      </c>
      <c r="T120" s="4" t="n">
        <f aca="false">T119*S120</f>
        <v>0.314928</v>
      </c>
      <c r="U120" s="4" t="str">
        <f aca="false">IF(E120=4,N120,"")</f>
        <v/>
      </c>
      <c r="V120" s="4" t="str">
        <f aca="false">IF(E120=4,Q120,"")</f>
        <v/>
      </c>
      <c r="W120" s="4" t="str">
        <f aca="false">IF(E120=4,T120,"")</f>
        <v/>
      </c>
      <c r="X120" s="4" t="str">
        <f aca="false">IF(E120=4,IFERROR((LN(U120)-LN(V120))/(LN(W120)-LN(V120)),0),"")</f>
        <v/>
      </c>
      <c r="Y120" s="3" t="str">
        <f aca="false">IF(E120=4,IF(X120&gt;='Settings '!$B$7,"Risk A",IF(X120&gt;='Settings '!$B$6,"Risk B","Risk C")),"")</f>
        <v/>
      </c>
      <c r="Z120" s="3" t="n">
        <f aca="false">IF(Y120="Risk B",1,0)</f>
        <v>0</v>
      </c>
      <c r="AA120" s="3" t="n">
        <f aca="false">IF(J120&gt;='Settings '!$B$10,1,0)</f>
        <v>0</v>
      </c>
      <c r="AB120" s="3" t="n">
        <f aca="false">IF(M120&gt;='Settings '!$B$11,1,0)</f>
        <v>0</v>
      </c>
      <c r="AC120" s="4" t="n">
        <f aca="false">ABS(M120-MIN(1,I120*J120*K120))</f>
        <v>0</v>
      </c>
    </row>
    <row r="121" customFormat="false" ht="14.25" hidden="false" customHeight="true" outlineLevel="0" collapsed="false">
      <c r="A121" s="3" t="s">
        <v>29</v>
      </c>
      <c r="B121" s="3" t="n">
        <v>30</v>
      </c>
      <c r="C121" s="3" t="s">
        <v>87</v>
      </c>
      <c r="D121" s="3" t="s">
        <v>43</v>
      </c>
      <c r="E121" s="3" t="n">
        <v>4</v>
      </c>
      <c r="F121" s="3" t="s">
        <v>48</v>
      </c>
      <c r="G121" s="3" t="s">
        <v>49</v>
      </c>
      <c r="H121" s="3" t="s">
        <v>46</v>
      </c>
      <c r="I121" s="4" t="n">
        <v>0.72</v>
      </c>
      <c r="J121" s="4" t="n">
        <v>0.28</v>
      </c>
      <c r="K121" s="4" t="n">
        <v>2</v>
      </c>
      <c r="L121" s="4" t="n">
        <f aca="false">I121*J121</f>
        <v>0.2016</v>
      </c>
      <c r="M121" s="4" t="n">
        <f aca="false">MIN(1,I121*J121*K121)</f>
        <v>0.4032</v>
      </c>
      <c r="N121" s="4" t="n">
        <f aca="false">N120*M121</f>
        <v>0.0002257403904</v>
      </c>
      <c r="O121" s="4" t="n">
        <f aca="false">'Settings '!$B$8</f>
        <v>0.1</v>
      </c>
      <c r="P121" s="4" t="n">
        <f aca="false">MIN(1,I121*O121*K121)</f>
        <v>0.144</v>
      </c>
      <c r="Q121" s="4" t="n">
        <f aca="false">Q120*P121</f>
        <v>8.0621568E-005</v>
      </c>
      <c r="R121" s="4" t="n">
        <f aca="false">'Settings '!$B$9</f>
        <v>0.9</v>
      </c>
      <c r="S121" s="4" t="n">
        <f aca="false">MIN(1,I121*R121*K121)</f>
        <v>1</v>
      </c>
      <c r="T121" s="4" t="n">
        <f aca="false">T120*S121</f>
        <v>0.314928</v>
      </c>
      <c r="U121" s="4" t="n">
        <f aca="false">IF(E121=4,N121,"")</f>
        <v>0.0002257403904</v>
      </c>
      <c r="V121" s="4" t="n">
        <f aca="false">IF(E121=4,Q121,"")</f>
        <v>8.0621568E-005</v>
      </c>
      <c r="W121" s="4" t="n">
        <f aca="false">IF(E121=4,T121,"")</f>
        <v>0.314928</v>
      </c>
      <c r="X121" s="4" t="n">
        <f aca="false">IF(E121=4,IFERROR((LN(U121)-LN(V121))/(LN(W121)-LN(V121)),0),"")</f>
        <v>0.124495519473378</v>
      </c>
      <c r="Y121" s="3" t="str">
        <f aca="false">IF(E121=4,IF(X121&gt;='Settings '!$B$7,"Risk A",IF(X121&gt;='Settings '!$B$6,"Risk B","Risk C")),"")</f>
        <v>Risk C</v>
      </c>
      <c r="Z121" s="3" t="n">
        <f aca="false">IF(Y121="Risk B",1,0)</f>
        <v>0</v>
      </c>
      <c r="AA121" s="3" t="n">
        <f aca="false">IF(J121&gt;='Settings '!$B$10,1,0)</f>
        <v>1</v>
      </c>
      <c r="AB121" s="3" t="n">
        <f aca="false">IF(M121&gt;='Settings '!$B$11,1,0)</f>
        <v>1</v>
      </c>
      <c r="AC121" s="4" t="n">
        <f aca="false">ABS(M121-MIN(1,I121*J121*K121))</f>
        <v>0</v>
      </c>
    </row>
    <row r="122" customFormat="false" ht="25.5" hidden="false" customHeight="true" outlineLevel="0" collapsed="false">
      <c r="A122" s="3" t="s">
        <v>29</v>
      </c>
      <c r="B122" s="3" t="n">
        <v>31</v>
      </c>
      <c r="C122" s="3" t="s">
        <v>88</v>
      </c>
      <c r="D122" s="3" t="s">
        <v>31</v>
      </c>
      <c r="E122" s="3" t="n">
        <v>1</v>
      </c>
      <c r="F122" s="3" t="s">
        <v>32</v>
      </c>
      <c r="G122" s="3" t="s">
        <v>33</v>
      </c>
      <c r="H122" s="3" t="s">
        <v>34</v>
      </c>
      <c r="I122" s="4" t="n">
        <v>0.72</v>
      </c>
      <c r="J122" s="4" t="n">
        <v>0.1</v>
      </c>
      <c r="K122" s="4" t="n">
        <v>2</v>
      </c>
      <c r="L122" s="4" t="n">
        <f aca="false">I122*J122</f>
        <v>0.072</v>
      </c>
      <c r="M122" s="4" t="n">
        <f aca="false">MIN(1,I122*J122*K122)</f>
        <v>0.144</v>
      </c>
      <c r="N122" s="4" t="n">
        <f aca="false">M122</f>
        <v>0.144</v>
      </c>
      <c r="O122" s="4" t="n">
        <f aca="false">'Settings '!$B$8</f>
        <v>0.1</v>
      </c>
      <c r="P122" s="4" t="n">
        <f aca="false">MIN(1,I122*O122*K122)</f>
        <v>0.144</v>
      </c>
      <c r="Q122" s="4" t="n">
        <f aca="false">P122</f>
        <v>0.144</v>
      </c>
      <c r="R122" s="4" t="n">
        <f aca="false">'Settings '!$B$9</f>
        <v>0.9</v>
      </c>
      <c r="S122" s="4" t="n">
        <f aca="false">MIN(1,I122*R122*K122)</f>
        <v>1</v>
      </c>
      <c r="T122" s="4" t="n">
        <f aca="false">S122</f>
        <v>1</v>
      </c>
      <c r="U122" s="4" t="str">
        <f aca="false">IF(E122=4,N122,"")</f>
        <v/>
      </c>
      <c r="V122" s="4" t="str">
        <f aca="false">IF(E122=4,Q122,"")</f>
        <v/>
      </c>
      <c r="W122" s="4" t="str">
        <f aca="false">IF(E122=4,T122,"")</f>
        <v/>
      </c>
      <c r="X122" s="4" t="str">
        <f aca="false">IF(E122=4,IFERROR((LN(U122)-LN(V122))/(LN(W122)-LN(V122)),0),"")</f>
        <v/>
      </c>
      <c r="Y122" s="3" t="str">
        <f aca="false">IF(E122=4,IF(X122&gt;='Settings '!$B$7,"Risk A",IF(X122&gt;='Settings '!$B$6,"Risk B","Risk C")),"")</f>
        <v/>
      </c>
      <c r="Z122" s="3" t="n">
        <f aca="false">IF(Y122="Risk B",1,0)</f>
        <v>0</v>
      </c>
      <c r="AA122" s="3" t="n">
        <f aca="false">IF(J122&gt;='Settings '!$B$10,1,0)</f>
        <v>0</v>
      </c>
      <c r="AB122" s="3" t="n">
        <f aca="false">IF(M122&gt;='Settings '!$B$11,1,0)</f>
        <v>0</v>
      </c>
      <c r="AC122" s="4" t="n">
        <f aca="false">ABS(M122-MIN(1,I122*J122*K122))</f>
        <v>0</v>
      </c>
    </row>
    <row r="123" customFormat="false" ht="14.25" hidden="false" customHeight="true" outlineLevel="0" collapsed="false">
      <c r="A123" s="3" t="s">
        <v>29</v>
      </c>
      <c r="B123" s="3" t="n">
        <v>31</v>
      </c>
      <c r="C123" s="3" t="s">
        <v>88</v>
      </c>
      <c r="D123" s="3" t="s">
        <v>35</v>
      </c>
      <c r="E123" s="3" t="n">
        <v>2</v>
      </c>
      <c r="F123" s="3" t="s">
        <v>40</v>
      </c>
      <c r="G123" s="3" t="s">
        <v>41</v>
      </c>
      <c r="H123" s="3" t="s">
        <v>38</v>
      </c>
      <c r="I123" s="4" t="n">
        <v>0.36</v>
      </c>
      <c r="J123" s="4" t="n">
        <v>0.1</v>
      </c>
      <c r="K123" s="4" t="n">
        <v>1.5</v>
      </c>
      <c r="L123" s="4" t="n">
        <f aca="false">I123*J123</f>
        <v>0.036</v>
      </c>
      <c r="M123" s="4" t="n">
        <f aca="false">MIN(1,I123*J123*K123)</f>
        <v>0.054</v>
      </c>
      <c r="N123" s="4" t="n">
        <f aca="false">N122*M123</f>
        <v>0.007776</v>
      </c>
      <c r="O123" s="4" t="n">
        <f aca="false">'Settings '!$B$8</f>
        <v>0.1</v>
      </c>
      <c r="P123" s="4" t="n">
        <f aca="false">MIN(1,I123*O123*K123)</f>
        <v>0.054</v>
      </c>
      <c r="Q123" s="4" t="n">
        <f aca="false">Q122*P123</f>
        <v>0.007776</v>
      </c>
      <c r="R123" s="4" t="n">
        <f aca="false">'Settings '!$B$9</f>
        <v>0.9</v>
      </c>
      <c r="S123" s="4" t="n">
        <f aca="false">MIN(1,I123*R123*K123)</f>
        <v>0.486</v>
      </c>
      <c r="T123" s="4" t="n">
        <f aca="false">T122*S123</f>
        <v>0.486</v>
      </c>
      <c r="U123" s="4" t="str">
        <f aca="false">IF(E123=4,N123,"")</f>
        <v/>
      </c>
      <c r="V123" s="4" t="str">
        <f aca="false">IF(E123=4,Q123,"")</f>
        <v/>
      </c>
      <c r="W123" s="4" t="str">
        <f aca="false">IF(E123=4,T123,"")</f>
        <v/>
      </c>
      <c r="X123" s="4" t="str">
        <f aca="false">IF(E123=4,IFERROR((LN(U123)-LN(V123))/(LN(W123)-LN(V123)),0),"")</f>
        <v/>
      </c>
      <c r="Y123" s="3" t="str">
        <f aca="false">IF(E123=4,IF(X123&gt;='Settings '!$B$7,"Risk A",IF(X123&gt;='Settings '!$B$6,"Risk B","Risk C")),"")</f>
        <v/>
      </c>
      <c r="Z123" s="3" t="n">
        <f aca="false">IF(Y123="Risk B",1,0)</f>
        <v>0</v>
      </c>
      <c r="AA123" s="3" t="n">
        <f aca="false">IF(J123&gt;='Settings '!$B$10,1,0)</f>
        <v>0</v>
      </c>
      <c r="AB123" s="3" t="n">
        <f aca="false">IF(M123&gt;='Settings '!$B$11,1,0)</f>
        <v>0</v>
      </c>
      <c r="AC123" s="4" t="n">
        <f aca="false">ABS(M123-MIN(1,I123*J123*K123))</f>
        <v>0</v>
      </c>
    </row>
    <row r="124" customFormat="false" ht="14.25" hidden="false" customHeight="true" outlineLevel="0" collapsed="false">
      <c r="A124" s="3" t="s">
        <v>29</v>
      </c>
      <c r="B124" s="3" t="n">
        <v>31</v>
      </c>
      <c r="C124" s="3" t="s">
        <v>88</v>
      </c>
      <c r="D124" s="3" t="s">
        <v>39</v>
      </c>
      <c r="E124" s="3" t="n">
        <v>3</v>
      </c>
      <c r="F124" s="3" t="s">
        <v>69</v>
      </c>
      <c r="G124" s="3" t="s">
        <v>70</v>
      </c>
      <c r="H124" s="3" t="s">
        <v>42</v>
      </c>
      <c r="I124" s="4" t="n">
        <v>0.36</v>
      </c>
      <c r="J124" s="4" t="n">
        <v>0.1</v>
      </c>
      <c r="K124" s="4" t="n">
        <v>2</v>
      </c>
      <c r="L124" s="4" t="n">
        <f aca="false">I124*J124</f>
        <v>0.036</v>
      </c>
      <c r="M124" s="4" t="n">
        <f aca="false">MIN(1,I124*J124*K124)</f>
        <v>0.072</v>
      </c>
      <c r="N124" s="4" t="n">
        <f aca="false">N123*M124</f>
        <v>0.000559872</v>
      </c>
      <c r="O124" s="4" t="n">
        <f aca="false">'Settings '!$B$8</f>
        <v>0.1</v>
      </c>
      <c r="P124" s="4" t="n">
        <f aca="false">MIN(1,I124*O124*K124)</f>
        <v>0.072</v>
      </c>
      <c r="Q124" s="4" t="n">
        <f aca="false">Q123*P124</f>
        <v>0.000559872</v>
      </c>
      <c r="R124" s="4" t="n">
        <f aca="false">'Settings '!$B$9</f>
        <v>0.9</v>
      </c>
      <c r="S124" s="4" t="n">
        <f aca="false">MIN(1,I124*R124*K124)</f>
        <v>0.648</v>
      </c>
      <c r="T124" s="4" t="n">
        <f aca="false">T123*S124</f>
        <v>0.314928</v>
      </c>
      <c r="U124" s="4" t="str">
        <f aca="false">IF(E124=4,N124,"")</f>
        <v/>
      </c>
      <c r="V124" s="4" t="str">
        <f aca="false">IF(E124=4,Q124,"")</f>
        <v/>
      </c>
      <c r="W124" s="4" t="str">
        <f aca="false">IF(E124=4,T124,"")</f>
        <v/>
      </c>
      <c r="X124" s="4" t="str">
        <f aca="false">IF(E124=4,IFERROR((LN(U124)-LN(V124))/(LN(W124)-LN(V124)),0),"")</f>
        <v/>
      </c>
      <c r="Y124" s="3" t="str">
        <f aca="false">IF(E124=4,IF(X124&gt;='Settings '!$B$7,"Risk A",IF(X124&gt;='Settings '!$B$6,"Risk B","Risk C")),"")</f>
        <v/>
      </c>
      <c r="Z124" s="3" t="n">
        <f aca="false">IF(Y124="Risk B",1,0)</f>
        <v>0</v>
      </c>
      <c r="AA124" s="3" t="n">
        <f aca="false">IF(J124&gt;='Settings '!$B$10,1,0)</f>
        <v>0</v>
      </c>
      <c r="AB124" s="3" t="n">
        <f aca="false">IF(M124&gt;='Settings '!$B$11,1,0)</f>
        <v>0</v>
      </c>
      <c r="AC124" s="4" t="n">
        <f aca="false">ABS(M124-MIN(1,I124*J124*K124))</f>
        <v>0</v>
      </c>
    </row>
    <row r="125" customFormat="false" ht="14.25" hidden="false" customHeight="true" outlineLevel="0" collapsed="false">
      <c r="A125" s="3" t="s">
        <v>29</v>
      </c>
      <c r="B125" s="3" t="n">
        <v>31</v>
      </c>
      <c r="C125" s="3" t="s">
        <v>88</v>
      </c>
      <c r="D125" s="3" t="s">
        <v>43</v>
      </c>
      <c r="E125" s="3" t="n">
        <v>4</v>
      </c>
      <c r="F125" s="3" t="s">
        <v>51</v>
      </c>
      <c r="G125" s="3" t="s">
        <v>52</v>
      </c>
      <c r="H125" s="3" t="s">
        <v>46</v>
      </c>
      <c r="I125" s="4" t="n">
        <v>0.18</v>
      </c>
      <c r="J125" s="4" t="n">
        <v>0.28</v>
      </c>
      <c r="K125" s="4" t="n">
        <v>2</v>
      </c>
      <c r="L125" s="4" t="n">
        <f aca="false">I125*J125</f>
        <v>0.0504</v>
      </c>
      <c r="M125" s="4" t="n">
        <f aca="false">MIN(1,I125*J125*K125)</f>
        <v>0.1008</v>
      </c>
      <c r="N125" s="4" t="n">
        <f aca="false">N124*M125</f>
        <v>5.64350976E-005</v>
      </c>
      <c r="O125" s="4" t="n">
        <f aca="false">'Settings '!$B$8</f>
        <v>0.1</v>
      </c>
      <c r="P125" s="4" t="n">
        <f aca="false">MIN(1,I125*O125*K125)</f>
        <v>0.036</v>
      </c>
      <c r="Q125" s="4" t="n">
        <f aca="false">Q124*P125</f>
        <v>2.0155392E-005</v>
      </c>
      <c r="R125" s="4" t="n">
        <f aca="false">'Settings '!$B$9</f>
        <v>0.9</v>
      </c>
      <c r="S125" s="4" t="n">
        <f aca="false">MIN(1,I125*R125*K125)</f>
        <v>0.324</v>
      </c>
      <c r="T125" s="4" t="n">
        <f aca="false">T124*S125</f>
        <v>0.102036672</v>
      </c>
      <c r="U125" s="4" t="n">
        <f aca="false">IF(E125=4,N125,"")</f>
        <v>5.64350976E-005</v>
      </c>
      <c r="V125" s="4" t="n">
        <f aca="false">IF(E125=4,Q125,"")</f>
        <v>2.0155392E-005</v>
      </c>
      <c r="W125" s="4" t="n">
        <f aca="false">IF(E125=4,T125,"")</f>
        <v>0.102036672</v>
      </c>
      <c r="X125" s="4" t="n">
        <f aca="false">IF(E125=4,IFERROR((LN(U125)-LN(V125))/(LN(W125)-LN(V125)),0),"")</f>
        <v>0.120711114312368</v>
      </c>
      <c r="Y125" s="3" t="str">
        <f aca="false">IF(E125=4,IF(X125&gt;='Settings '!$B$7,"Risk A",IF(X125&gt;='Settings '!$B$6,"Risk B","Risk C")),"")</f>
        <v>Risk C</v>
      </c>
      <c r="Z125" s="3" t="n">
        <f aca="false">IF(Y125="Risk B",1,0)</f>
        <v>0</v>
      </c>
      <c r="AA125" s="3" t="n">
        <f aca="false">IF(J125&gt;='Settings '!$B$10,1,0)</f>
        <v>1</v>
      </c>
      <c r="AB125" s="3" t="n">
        <f aca="false">IF(M125&gt;='Settings '!$B$11,1,0)</f>
        <v>0</v>
      </c>
      <c r="AC125" s="4" t="n">
        <f aca="false">ABS(M125-MIN(1,I125*J125*K125))</f>
        <v>0</v>
      </c>
    </row>
    <row r="126" customFormat="false" ht="25.5" hidden="false" customHeight="true" outlineLevel="0" collapsed="false">
      <c r="A126" s="3" t="s">
        <v>29</v>
      </c>
      <c r="B126" s="3" t="n">
        <v>32</v>
      </c>
      <c r="C126" s="3" t="s">
        <v>89</v>
      </c>
      <c r="D126" s="3" t="s">
        <v>31</v>
      </c>
      <c r="E126" s="3" t="n">
        <v>1</v>
      </c>
      <c r="F126" s="3" t="s">
        <v>32</v>
      </c>
      <c r="G126" s="3" t="s">
        <v>33</v>
      </c>
      <c r="H126" s="3" t="s">
        <v>34</v>
      </c>
      <c r="I126" s="4" t="n">
        <v>0.72</v>
      </c>
      <c r="J126" s="4" t="n">
        <v>0.1</v>
      </c>
      <c r="K126" s="4" t="n">
        <v>2</v>
      </c>
      <c r="L126" s="4" t="n">
        <f aca="false">I126*J126</f>
        <v>0.072</v>
      </c>
      <c r="M126" s="4" t="n">
        <f aca="false">MIN(1,I126*J126*K126)</f>
        <v>0.144</v>
      </c>
      <c r="N126" s="4" t="n">
        <f aca="false">M126</f>
        <v>0.144</v>
      </c>
      <c r="O126" s="4" t="n">
        <f aca="false">'Settings '!$B$8</f>
        <v>0.1</v>
      </c>
      <c r="P126" s="4" t="n">
        <f aca="false">MIN(1,I126*O126*K126)</f>
        <v>0.144</v>
      </c>
      <c r="Q126" s="4" t="n">
        <f aca="false">P126</f>
        <v>0.144</v>
      </c>
      <c r="R126" s="4" t="n">
        <f aca="false">'Settings '!$B$9</f>
        <v>0.9</v>
      </c>
      <c r="S126" s="4" t="n">
        <f aca="false">MIN(1,I126*R126*K126)</f>
        <v>1</v>
      </c>
      <c r="T126" s="4" t="n">
        <f aca="false">S126</f>
        <v>1</v>
      </c>
      <c r="U126" s="4" t="str">
        <f aca="false">IF(E126=4,N126,"")</f>
        <v/>
      </c>
      <c r="V126" s="4" t="str">
        <f aca="false">IF(E126=4,Q126,"")</f>
        <v/>
      </c>
      <c r="W126" s="4" t="str">
        <f aca="false">IF(E126=4,T126,"")</f>
        <v/>
      </c>
      <c r="X126" s="4" t="str">
        <f aca="false">IF(E126=4,IFERROR((LN(U126)-LN(V126))/(LN(W126)-LN(V126)),0),"")</f>
        <v/>
      </c>
      <c r="Y126" s="3" t="str">
        <f aca="false">IF(E126=4,IF(X126&gt;='Settings '!$B$7,"Risk A",IF(X126&gt;='Settings '!$B$6,"Risk B","Risk C")),"")</f>
        <v/>
      </c>
      <c r="Z126" s="3" t="n">
        <f aca="false">IF(Y126="Risk B",1,0)</f>
        <v>0</v>
      </c>
      <c r="AA126" s="3" t="n">
        <f aca="false">IF(J126&gt;='Settings '!$B$10,1,0)</f>
        <v>0</v>
      </c>
      <c r="AB126" s="3" t="n">
        <f aca="false">IF(M126&gt;='Settings '!$B$11,1,0)</f>
        <v>0</v>
      </c>
      <c r="AC126" s="4" t="n">
        <f aca="false">ABS(M126-MIN(1,I126*J126*K126))</f>
        <v>0</v>
      </c>
    </row>
    <row r="127" customFormat="false" ht="14.25" hidden="false" customHeight="true" outlineLevel="0" collapsed="false">
      <c r="A127" s="3" t="s">
        <v>29</v>
      </c>
      <c r="B127" s="3" t="n">
        <v>32</v>
      </c>
      <c r="C127" s="3" t="s">
        <v>89</v>
      </c>
      <c r="D127" s="3" t="s">
        <v>35</v>
      </c>
      <c r="E127" s="3" t="n">
        <v>2</v>
      </c>
      <c r="F127" s="3" t="s">
        <v>40</v>
      </c>
      <c r="G127" s="3" t="s">
        <v>41</v>
      </c>
      <c r="H127" s="3" t="s">
        <v>38</v>
      </c>
      <c r="I127" s="4" t="n">
        <v>0.36</v>
      </c>
      <c r="J127" s="4" t="n">
        <v>0.1</v>
      </c>
      <c r="K127" s="4" t="n">
        <v>1.5</v>
      </c>
      <c r="L127" s="4" t="n">
        <f aca="false">I127*J127</f>
        <v>0.036</v>
      </c>
      <c r="M127" s="4" t="n">
        <f aca="false">MIN(1,I127*J127*K127)</f>
        <v>0.054</v>
      </c>
      <c r="N127" s="4" t="n">
        <f aca="false">N126*M127</f>
        <v>0.007776</v>
      </c>
      <c r="O127" s="4" t="n">
        <f aca="false">'Settings '!$B$8</f>
        <v>0.1</v>
      </c>
      <c r="P127" s="4" t="n">
        <f aca="false">MIN(1,I127*O127*K127)</f>
        <v>0.054</v>
      </c>
      <c r="Q127" s="4" t="n">
        <f aca="false">Q126*P127</f>
        <v>0.007776</v>
      </c>
      <c r="R127" s="4" t="n">
        <f aca="false">'Settings '!$B$9</f>
        <v>0.9</v>
      </c>
      <c r="S127" s="4" t="n">
        <f aca="false">MIN(1,I127*R127*K127)</f>
        <v>0.486</v>
      </c>
      <c r="T127" s="4" t="n">
        <f aca="false">T126*S127</f>
        <v>0.486</v>
      </c>
      <c r="U127" s="4" t="str">
        <f aca="false">IF(E127=4,N127,"")</f>
        <v/>
      </c>
      <c r="V127" s="4" t="str">
        <f aca="false">IF(E127=4,Q127,"")</f>
        <v/>
      </c>
      <c r="W127" s="4" t="str">
        <f aca="false">IF(E127=4,T127,"")</f>
        <v/>
      </c>
      <c r="X127" s="4" t="str">
        <f aca="false">IF(E127=4,IFERROR((LN(U127)-LN(V127))/(LN(W127)-LN(V127)),0),"")</f>
        <v/>
      </c>
      <c r="Y127" s="3" t="str">
        <f aca="false">IF(E127=4,IF(X127&gt;='Settings '!$B$7,"Risk A",IF(X127&gt;='Settings '!$B$6,"Risk B","Risk C")),"")</f>
        <v/>
      </c>
      <c r="Z127" s="3" t="n">
        <f aca="false">IF(Y127="Risk B",1,0)</f>
        <v>0</v>
      </c>
      <c r="AA127" s="3" t="n">
        <f aca="false">IF(J127&gt;='Settings '!$B$10,1,0)</f>
        <v>0</v>
      </c>
      <c r="AB127" s="3" t="n">
        <f aca="false">IF(M127&gt;='Settings '!$B$11,1,0)</f>
        <v>0</v>
      </c>
      <c r="AC127" s="4" t="n">
        <f aca="false">ABS(M127-MIN(1,I127*J127*K127))</f>
        <v>0</v>
      </c>
    </row>
    <row r="128" customFormat="false" ht="14.25" hidden="false" customHeight="true" outlineLevel="0" collapsed="false">
      <c r="A128" s="3" t="s">
        <v>29</v>
      </c>
      <c r="B128" s="3" t="n">
        <v>32</v>
      </c>
      <c r="C128" s="3" t="s">
        <v>89</v>
      </c>
      <c r="D128" s="3" t="s">
        <v>39</v>
      </c>
      <c r="E128" s="3" t="n">
        <v>3</v>
      </c>
      <c r="F128" s="3" t="s">
        <v>69</v>
      </c>
      <c r="G128" s="3" t="s">
        <v>70</v>
      </c>
      <c r="H128" s="3" t="s">
        <v>42</v>
      </c>
      <c r="I128" s="4" t="n">
        <v>0.36</v>
      </c>
      <c r="J128" s="4" t="n">
        <v>0.1</v>
      </c>
      <c r="K128" s="4" t="n">
        <v>2</v>
      </c>
      <c r="L128" s="4" t="n">
        <f aca="false">I128*J128</f>
        <v>0.036</v>
      </c>
      <c r="M128" s="4" t="n">
        <f aca="false">MIN(1,I128*J128*K128)</f>
        <v>0.072</v>
      </c>
      <c r="N128" s="4" t="n">
        <f aca="false">N127*M128</f>
        <v>0.000559872</v>
      </c>
      <c r="O128" s="4" t="n">
        <f aca="false">'Settings '!$B$8</f>
        <v>0.1</v>
      </c>
      <c r="P128" s="4" t="n">
        <f aca="false">MIN(1,I128*O128*K128)</f>
        <v>0.072</v>
      </c>
      <c r="Q128" s="4" t="n">
        <f aca="false">Q127*P128</f>
        <v>0.000559872</v>
      </c>
      <c r="R128" s="4" t="n">
        <f aca="false">'Settings '!$B$9</f>
        <v>0.9</v>
      </c>
      <c r="S128" s="4" t="n">
        <f aca="false">MIN(1,I128*R128*K128)</f>
        <v>0.648</v>
      </c>
      <c r="T128" s="4" t="n">
        <f aca="false">T127*S128</f>
        <v>0.314928</v>
      </c>
      <c r="U128" s="4" t="str">
        <f aca="false">IF(E128=4,N128,"")</f>
        <v/>
      </c>
      <c r="V128" s="4" t="str">
        <f aca="false">IF(E128=4,Q128,"")</f>
        <v/>
      </c>
      <c r="W128" s="4" t="str">
        <f aca="false">IF(E128=4,T128,"")</f>
        <v/>
      </c>
      <c r="X128" s="4" t="str">
        <f aca="false">IF(E128=4,IFERROR((LN(U128)-LN(V128))/(LN(W128)-LN(V128)),0),"")</f>
        <v/>
      </c>
      <c r="Y128" s="3" t="str">
        <f aca="false">IF(E128=4,IF(X128&gt;='Settings '!$B$7,"Risk A",IF(X128&gt;='Settings '!$B$6,"Risk B","Risk C")),"")</f>
        <v/>
      </c>
      <c r="Z128" s="3" t="n">
        <f aca="false">IF(Y128="Risk B",1,0)</f>
        <v>0</v>
      </c>
      <c r="AA128" s="3" t="n">
        <f aca="false">IF(J128&gt;='Settings '!$B$10,1,0)</f>
        <v>0</v>
      </c>
      <c r="AB128" s="3" t="n">
        <f aca="false">IF(M128&gt;='Settings '!$B$11,1,0)</f>
        <v>0</v>
      </c>
      <c r="AC128" s="4" t="n">
        <f aca="false">ABS(M128-MIN(1,I128*J128*K128))</f>
        <v>0</v>
      </c>
    </row>
    <row r="129" customFormat="false" ht="14.25" hidden="false" customHeight="true" outlineLevel="0" collapsed="false">
      <c r="A129" s="3" t="s">
        <v>29</v>
      </c>
      <c r="B129" s="3" t="n">
        <v>32</v>
      </c>
      <c r="C129" s="3" t="s">
        <v>89</v>
      </c>
      <c r="D129" s="3" t="s">
        <v>43</v>
      </c>
      <c r="E129" s="3" t="n">
        <v>4</v>
      </c>
      <c r="F129" s="3" t="s">
        <v>54</v>
      </c>
      <c r="G129" s="3" t="s">
        <v>55</v>
      </c>
      <c r="H129" s="3" t="s">
        <v>46</v>
      </c>
      <c r="I129" s="4" t="n">
        <v>0.18</v>
      </c>
      <c r="J129" s="4" t="n">
        <v>0.28</v>
      </c>
      <c r="K129" s="4" t="n">
        <v>2</v>
      </c>
      <c r="L129" s="4" t="n">
        <f aca="false">I129*J129</f>
        <v>0.0504</v>
      </c>
      <c r="M129" s="4" t="n">
        <f aca="false">MIN(1,I129*J129*K129)</f>
        <v>0.1008</v>
      </c>
      <c r="N129" s="4" t="n">
        <f aca="false">N128*M129</f>
        <v>5.64350976E-005</v>
      </c>
      <c r="O129" s="4" t="n">
        <f aca="false">'Settings '!$B$8</f>
        <v>0.1</v>
      </c>
      <c r="P129" s="4" t="n">
        <f aca="false">MIN(1,I129*O129*K129)</f>
        <v>0.036</v>
      </c>
      <c r="Q129" s="4" t="n">
        <f aca="false">Q128*P129</f>
        <v>2.0155392E-005</v>
      </c>
      <c r="R129" s="4" t="n">
        <f aca="false">'Settings '!$B$9</f>
        <v>0.9</v>
      </c>
      <c r="S129" s="4" t="n">
        <f aca="false">MIN(1,I129*R129*K129)</f>
        <v>0.324</v>
      </c>
      <c r="T129" s="4" t="n">
        <f aca="false">T128*S129</f>
        <v>0.102036672</v>
      </c>
      <c r="U129" s="4" t="n">
        <f aca="false">IF(E129=4,N129,"")</f>
        <v>5.64350976E-005</v>
      </c>
      <c r="V129" s="4" t="n">
        <f aca="false">IF(E129=4,Q129,"")</f>
        <v>2.0155392E-005</v>
      </c>
      <c r="W129" s="4" t="n">
        <f aca="false">IF(E129=4,T129,"")</f>
        <v>0.102036672</v>
      </c>
      <c r="X129" s="4" t="n">
        <f aca="false">IF(E129=4,IFERROR((LN(U129)-LN(V129))/(LN(W129)-LN(V129)),0),"")</f>
        <v>0.120711114312368</v>
      </c>
      <c r="Y129" s="3" t="str">
        <f aca="false">IF(E129=4,IF(X129&gt;='Settings '!$B$7,"Risk A",IF(X129&gt;='Settings '!$B$6,"Risk B","Risk C")),"")</f>
        <v>Risk C</v>
      </c>
      <c r="Z129" s="3" t="n">
        <f aca="false">IF(Y129="Risk B",1,0)</f>
        <v>0</v>
      </c>
      <c r="AA129" s="3" t="n">
        <f aca="false">IF(J129&gt;='Settings '!$B$10,1,0)</f>
        <v>1</v>
      </c>
      <c r="AB129" s="3" t="n">
        <f aca="false">IF(M129&gt;='Settings '!$B$11,1,0)</f>
        <v>0</v>
      </c>
      <c r="AC129" s="4" t="n">
        <f aca="false">ABS(M129-MIN(1,I129*J129*K129))</f>
        <v>0</v>
      </c>
    </row>
    <row r="130" customFormat="false" ht="25.5" hidden="false" customHeight="true" outlineLevel="0" collapsed="false">
      <c r="A130" s="3" t="s">
        <v>29</v>
      </c>
      <c r="B130" s="3" t="n">
        <v>33</v>
      </c>
      <c r="C130" s="3" t="s">
        <v>90</v>
      </c>
      <c r="D130" s="3" t="s">
        <v>31</v>
      </c>
      <c r="E130" s="3" t="n">
        <v>1</v>
      </c>
      <c r="F130" s="3" t="s">
        <v>32</v>
      </c>
      <c r="G130" s="3" t="s">
        <v>33</v>
      </c>
      <c r="H130" s="3" t="s">
        <v>34</v>
      </c>
      <c r="I130" s="4" t="n">
        <v>0.72</v>
      </c>
      <c r="J130" s="4" t="n">
        <v>0.1</v>
      </c>
      <c r="K130" s="4" t="n">
        <v>2</v>
      </c>
      <c r="L130" s="4" t="n">
        <f aca="false">I130*J130</f>
        <v>0.072</v>
      </c>
      <c r="M130" s="4" t="n">
        <f aca="false">MIN(1,I130*J130*K130)</f>
        <v>0.144</v>
      </c>
      <c r="N130" s="4" t="n">
        <f aca="false">M130</f>
        <v>0.144</v>
      </c>
      <c r="O130" s="4" t="n">
        <f aca="false">'Settings '!$B$8</f>
        <v>0.1</v>
      </c>
      <c r="P130" s="4" t="n">
        <f aca="false">MIN(1,I130*O130*K130)</f>
        <v>0.144</v>
      </c>
      <c r="Q130" s="4" t="n">
        <f aca="false">P130</f>
        <v>0.144</v>
      </c>
      <c r="R130" s="4" t="n">
        <f aca="false">'Settings '!$B$9</f>
        <v>0.9</v>
      </c>
      <c r="S130" s="4" t="n">
        <f aca="false">MIN(1,I130*R130*K130)</f>
        <v>1</v>
      </c>
      <c r="T130" s="4" t="n">
        <f aca="false">S130</f>
        <v>1</v>
      </c>
      <c r="U130" s="4" t="str">
        <f aca="false">IF(E130=4,N130,"")</f>
        <v/>
      </c>
      <c r="V130" s="4" t="str">
        <f aca="false">IF(E130=4,Q130,"")</f>
        <v/>
      </c>
      <c r="W130" s="4" t="str">
        <f aca="false">IF(E130=4,T130,"")</f>
        <v/>
      </c>
      <c r="X130" s="4" t="str">
        <f aca="false">IF(E130=4,IFERROR((LN(U130)-LN(V130))/(LN(W130)-LN(V130)),0),"")</f>
        <v/>
      </c>
      <c r="Y130" s="3" t="str">
        <f aca="false">IF(E130=4,IF(X130&gt;='Settings '!$B$7,"Risk A",IF(X130&gt;='Settings '!$B$6,"Risk B","Risk C")),"")</f>
        <v/>
      </c>
      <c r="Z130" s="3" t="n">
        <f aca="false">IF(Y130="Risk B",1,0)</f>
        <v>0</v>
      </c>
      <c r="AA130" s="3" t="n">
        <f aca="false">IF(J130&gt;='Settings '!$B$10,1,0)</f>
        <v>0</v>
      </c>
      <c r="AB130" s="3" t="n">
        <f aca="false">IF(M130&gt;='Settings '!$B$11,1,0)</f>
        <v>0</v>
      </c>
      <c r="AC130" s="4" t="n">
        <f aca="false">ABS(M130-MIN(1,I130*J130*K130))</f>
        <v>0</v>
      </c>
    </row>
    <row r="131" customFormat="false" ht="14.25" hidden="false" customHeight="true" outlineLevel="0" collapsed="false">
      <c r="A131" s="3" t="s">
        <v>29</v>
      </c>
      <c r="B131" s="3" t="n">
        <v>33</v>
      </c>
      <c r="C131" s="3" t="s">
        <v>90</v>
      </c>
      <c r="D131" s="3" t="s">
        <v>35</v>
      </c>
      <c r="E131" s="3" t="n">
        <v>2</v>
      </c>
      <c r="F131" s="3" t="s">
        <v>91</v>
      </c>
      <c r="G131" s="3" t="s">
        <v>92</v>
      </c>
      <c r="H131" s="3" t="s">
        <v>38</v>
      </c>
      <c r="I131" s="4" t="n">
        <v>0.36</v>
      </c>
      <c r="J131" s="4" t="n">
        <v>0.46</v>
      </c>
      <c r="K131" s="4" t="n">
        <v>1.5</v>
      </c>
      <c r="L131" s="4" t="n">
        <f aca="false">I131*J131</f>
        <v>0.1656</v>
      </c>
      <c r="M131" s="4" t="n">
        <f aca="false">MIN(1,I131*J131*K131)</f>
        <v>0.2484</v>
      </c>
      <c r="N131" s="4" t="n">
        <f aca="false">N130*M131</f>
        <v>0.0357696</v>
      </c>
      <c r="O131" s="4" t="n">
        <f aca="false">'Settings '!$B$8</f>
        <v>0.1</v>
      </c>
      <c r="P131" s="4" t="n">
        <f aca="false">MIN(1,I131*O131*K131)</f>
        <v>0.054</v>
      </c>
      <c r="Q131" s="4" t="n">
        <f aca="false">Q130*P131</f>
        <v>0.007776</v>
      </c>
      <c r="R131" s="4" t="n">
        <f aca="false">'Settings '!$B$9</f>
        <v>0.9</v>
      </c>
      <c r="S131" s="4" t="n">
        <f aca="false">MIN(1,I131*R131*K131)</f>
        <v>0.486</v>
      </c>
      <c r="T131" s="4" t="n">
        <f aca="false">T130*S131</f>
        <v>0.486</v>
      </c>
      <c r="U131" s="4" t="str">
        <f aca="false">IF(E131=4,N131,"")</f>
        <v/>
      </c>
      <c r="V131" s="4" t="str">
        <f aca="false">IF(E131=4,Q131,"")</f>
        <v/>
      </c>
      <c r="W131" s="4" t="str">
        <f aca="false">IF(E131=4,T131,"")</f>
        <v/>
      </c>
      <c r="X131" s="4" t="str">
        <f aca="false">IF(E131=4,IFERROR((LN(U131)-LN(V131))/(LN(W131)-LN(V131)),0),"")</f>
        <v/>
      </c>
      <c r="Y131" s="3" t="str">
        <f aca="false">IF(E131=4,IF(X131&gt;='Settings '!$B$7,"Risk A",IF(X131&gt;='Settings '!$B$6,"Risk B","Risk C")),"")</f>
        <v/>
      </c>
      <c r="Z131" s="3" t="n">
        <f aca="false">IF(Y131="Risk B",1,0)</f>
        <v>0</v>
      </c>
      <c r="AA131" s="3" t="n">
        <f aca="false">IF(J131&gt;='Settings '!$B$10,1,0)</f>
        <v>1</v>
      </c>
      <c r="AB131" s="3" t="n">
        <f aca="false">IF(M131&gt;='Settings '!$B$11,1,0)</f>
        <v>0</v>
      </c>
      <c r="AC131" s="4" t="n">
        <f aca="false">ABS(M131-MIN(1,I131*J131*K131))</f>
        <v>0</v>
      </c>
    </row>
    <row r="132" customFormat="false" ht="14.25" hidden="false" customHeight="true" outlineLevel="0" collapsed="false">
      <c r="A132" s="3" t="s">
        <v>29</v>
      </c>
      <c r="B132" s="3" t="n">
        <v>33</v>
      </c>
      <c r="C132" s="3" t="s">
        <v>90</v>
      </c>
      <c r="D132" s="3" t="s">
        <v>39</v>
      </c>
      <c r="E132" s="3" t="n">
        <v>3</v>
      </c>
      <c r="F132" s="3" t="s">
        <v>40</v>
      </c>
      <c r="G132" s="3" t="s">
        <v>41</v>
      </c>
      <c r="H132" s="3" t="s">
        <v>42</v>
      </c>
      <c r="I132" s="4" t="n">
        <v>0.36</v>
      </c>
      <c r="J132" s="4" t="n">
        <v>0.1</v>
      </c>
      <c r="K132" s="4" t="n">
        <v>2</v>
      </c>
      <c r="L132" s="4" t="n">
        <f aca="false">I132*J132</f>
        <v>0.036</v>
      </c>
      <c r="M132" s="4" t="n">
        <f aca="false">MIN(1,I132*J132*K132)</f>
        <v>0.072</v>
      </c>
      <c r="N132" s="4" t="n">
        <f aca="false">N131*M132</f>
        <v>0.0025754112</v>
      </c>
      <c r="O132" s="4" t="n">
        <f aca="false">'Settings '!$B$8</f>
        <v>0.1</v>
      </c>
      <c r="P132" s="4" t="n">
        <f aca="false">MIN(1,I132*O132*K132)</f>
        <v>0.072</v>
      </c>
      <c r="Q132" s="4" t="n">
        <f aca="false">Q131*P132</f>
        <v>0.000559872</v>
      </c>
      <c r="R132" s="4" t="n">
        <f aca="false">'Settings '!$B$9</f>
        <v>0.9</v>
      </c>
      <c r="S132" s="4" t="n">
        <f aca="false">MIN(1,I132*R132*K132)</f>
        <v>0.648</v>
      </c>
      <c r="T132" s="4" t="n">
        <f aca="false">T131*S132</f>
        <v>0.314928</v>
      </c>
      <c r="U132" s="4" t="str">
        <f aca="false">IF(E132=4,N132,"")</f>
        <v/>
      </c>
      <c r="V132" s="4" t="str">
        <f aca="false">IF(E132=4,Q132,"")</f>
        <v/>
      </c>
      <c r="W132" s="4" t="str">
        <f aca="false">IF(E132=4,T132,"")</f>
        <v/>
      </c>
      <c r="X132" s="4" t="str">
        <f aca="false">IF(E132=4,IFERROR((LN(U132)-LN(V132))/(LN(W132)-LN(V132)),0),"")</f>
        <v/>
      </c>
      <c r="Y132" s="3" t="str">
        <f aca="false">IF(E132=4,IF(X132&gt;='Settings '!$B$7,"Risk A",IF(X132&gt;='Settings '!$B$6,"Risk B","Risk C")),"")</f>
        <v/>
      </c>
      <c r="Z132" s="3" t="n">
        <f aca="false">IF(Y132="Risk B",1,0)</f>
        <v>0</v>
      </c>
      <c r="AA132" s="3" t="n">
        <f aca="false">IF(J132&gt;='Settings '!$B$10,1,0)</f>
        <v>0</v>
      </c>
      <c r="AB132" s="3" t="n">
        <f aca="false">IF(M132&gt;='Settings '!$B$11,1,0)</f>
        <v>0</v>
      </c>
      <c r="AC132" s="4" t="n">
        <f aca="false">ABS(M132-MIN(1,I132*J132*K132))</f>
        <v>0</v>
      </c>
    </row>
    <row r="133" customFormat="false" ht="14.25" hidden="false" customHeight="true" outlineLevel="0" collapsed="false">
      <c r="A133" s="3" t="s">
        <v>29</v>
      </c>
      <c r="B133" s="3" t="n">
        <v>33</v>
      </c>
      <c r="C133" s="3" t="s">
        <v>90</v>
      </c>
      <c r="D133" s="3" t="s">
        <v>43</v>
      </c>
      <c r="E133" s="3" t="n">
        <v>4</v>
      </c>
      <c r="F133" s="3" t="s">
        <v>44</v>
      </c>
      <c r="G133" s="3" t="s">
        <v>45</v>
      </c>
      <c r="H133" s="3" t="s">
        <v>46</v>
      </c>
      <c r="I133" s="4" t="n">
        <v>0.9</v>
      </c>
      <c r="J133" s="4" t="n">
        <v>0.1</v>
      </c>
      <c r="K133" s="4" t="n">
        <v>2</v>
      </c>
      <c r="L133" s="4" t="n">
        <f aca="false">I133*J133</f>
        <v>0.09</v>
      </c>
      <c r="M133" s="4" t="n">
        <f aca="false">MIN(1,I133*J133*K133)</f>
        <v>0.18</v>
      </c>
      <c r="N133" s="4" t="n">
        <f aca="false">N132*M133</f>
        <v>0.000463574016</v>
      </c>
      <c r="O133" s="4" t="n">
        <f aca="false">'Settings '!$B$8</f>
        <v>0.1</v>
      </c>
      <c r="P133" s="4" t="n">
        <f aca="false">MIN(1,I133*O133*K133)</f>
        <v>0.18</v>
      </c>
      <c r="Q133" s="4" t="n">
        <f aca="false">Q132*P133</f>
        <v>0.00010077696</v>
      </c>
      <c r="R133" s="4" t="n">
        <f aca="false">'Settings '!$B$9</f>
        <v>0.9</v>
      </c>
      <c r="S133" s="4" t="n">
        <f aca="false">MIN(1,I133*R133*K133)</f>
        <v>1</v>
      </c>
      <c r="T133" s="4" t="n">
        <f aca="false">T132*S133</f>
        <v>0.314928</v>
      </c>
      <c r="U133" s="4" t="n">
        <f aca="false">IF(E133=4,N133,"")</f>
        <v>0.000463574016</v>
      </c>
      <c r="V133" s="4" t="n">
        <f aca="false">IF(E133=4,Q133,"")</f>
        <v>0.00010077696</v>
      </c>
      <c r="W133" s="4" t="n">
        <f aca="false">IF(E133=4,T133,"")</f>
        <v>0.314928</v>
      </c>
      <c r="X133" s="4" t="n">
        <f aca="false">IF(E133=4,IFERROR((LN(U133)-LN(V133))/(LN(W133)-LN(V133)),0),"")</f>
        <v>0.189638418693276</v>
      </c>
      <c r="Y133" s="3" t="str">
        <f aca="false">IF(E133=4,IF(X133&gt;='Settings '!$B$7,"Risk A",IF(X133&gt;='Settings '!$B$6,"Risk B","Risk C")),"")</f>
        <v>Risk C</v>
      </c>
      <c r="Z133" s="3" t="n">
        <f aca="false">IF(Y133="Risk B",1,0)</f>
        <v>0</v>
      </c>
      <c r="AA133" s="3" t="n">
        <f aca="false">IF(J133&gt;='Settings '!$B$10,1,0)</f>
        <v>0</v>
      </c>
      <c r="AB133" s="3" t="n">
        <f aca="false">IF(M133&gt;='Settings '!$B$11,1,0)</f>
        <v>0</v>
      </c>
      <c r="AC133" s="4" t="n">
        <f aca="false">ABS(M133-MIN(1,I133*J133*K133))</f>
        <v>0</v>
      </c>
    </row>
    <row r="134" customFormat="false" ht="25.5" hidden="false" customHeight="true" outlineLevel="0" collapsed="false">
      <c r="A134" s="3" t="s">
        <v>29</v>
      </c>
      <c r="B134" s="3" t="n">
        <v>34</v>
      </c>
      <c r="C134" s="3" t="s">
        <v>93</v>
      </c>
      <c r="D134" s="3" t="s">
        <v>31</v>
      </c>
      <c r="E134" s="3" t="n">
        <v>1</v>
      </c>
      <c r="F134" s="3" t="s">
        <v>32</v>
      </c>
      <c r="G134" s="3" t="s">
        <v>33</v>
      </c>
      <c r="H134" s="3" t="s">
        <v>34</v>
      </c>
      <c r="I134" s="4" t="n">
        <v>0.72</v>
      </c>
      <c r="J134" s="4" t="n">
        <v>0.1</v>
      </c>
      <c r="K134" s="4" t="n">
        <v>2</v>
      </c>
      <c r="L134" s="4" t="n">
        <f aca="false">I134*J134</f>
        <v>0.072</v>
      </c>
      <c r="M134" s="4" t="n">
        <f aca="false">MIN(1,I134*J134*K134)</f>
        <v>0.144</v>
      </c>
      <c r="N134" s="4" t="n">
        <f aca="false">M134</f>
        <v>0.144</v>
      </c>
      <c r="O134" s="4" t="n">
        <f aca="false">'Settings '!$B$8</f>
        <v>0.1</v>
      </c>
      <c r="P134" s="4" t="n">
        <f aca="false">MIN(1,I134*O134*K134)</f>
        <v>0.144</v>
      </c>
      <c r="Q134" s="4" t="n">
        <f aca="false">P134</f>
        <v>0.144</v>
      </c>
      <c r="R134" s="4" t="n">
        <f aca="false">'Settings '!$B$9</f>
        <v>0.9</v>
      </c>
      <c r="S134" s="4" t="n">
        <f aca="false">MIN(1,I134*R134*K134)</f>
        <v>1</v>
      </c>
      <c r="T134" s="4" t="n">
        <f aca="false">S134</f>
        <v>1</v>
      </c>
      <c r="U134" s="4" t="str">
        <f aca="false">IF(E134=4,N134,"")</f>
        <v/>
      </c>
      <c r="V134" s="4" t="str">
        <f aca="false">IF(E134=4,Q134,"")</f>
        <v/>
      </c>
      <c r="W134" s="4" t="str">
        <f aca="false">IF(E134=4,T134,"")</f>
        <v/>
      </c>
      <c r="X134" s="4" t="str">
        <f aca="false">IF(E134=4,IFERROR((LN(U134)-LN(V134))/(LN(W134)-LN(V134)),0),"")</f>
        <v/>
      </c>
      <c r="Y134" s="3" t="str">
        <f aca="false">IF(E134=4,IF(X134&gt;='Settings '!$B$7,"Risk A",IF(X134&gt;='Settings '!$B$6,"Risk B","Risk C")),"")</f>
        <v/>
      </c>
      <c r="Z134" s="3" t="n">
        <f aca="false">IF(Y134="Risk B",1,0)</f>
        <v>0</v>
      </c>
      <c r="AA134" s="3" t="n">
        <f aca="false">IF(J134&gt;='Settings '!$B$10,1,0)</f>
        <v>0</v>
      </c>
      <c r="AB134" s="3" t="n">
        <f aca="false">IF(M134&gt;='Settings '!$B$11,1,0)</f>
        <v>0</v>
      </c>
      <c r="AC134" s="4" t="n">
        <f aca="false">ABS(M134-MIN(1,I134*J134*K134))</f>
        <v>0</v>
      </c>
    </row>
    <row r="135" customFormat="false" ht="14.25" hidden="false" customHeight="true" outlineLevel="0" collapsed="false">
      <c r="A135" s="3" t="s">
        <v>29</v>
      </c>
      <c r="B135" s="3" t="n">
        <v>34</v>
      </c>
      <c r="C135" s="3" t="s">
        <v>93</v>
      </c>
      <c r="D135" s="3" t="s">
        <v>35</v>
      </c>
      <c r="E135" s="3" t="n">
        <v>2</v>
      </c>
      <c r="F135" s="3" t="s">
        <v>91</v>
      </c>
      <c r="G135" s="3" t="s">
        <v>92</v>
      </c>
      <c r="H135" s="3" t="s">
        <v>38</v>
      </c>
      <c r="I135" s="4" t="n">
        <v>0.36</v>
      </c>
      <c r="J135" s="4" t="n">
        <v>0.46</v>
      </c>
      <c r="K135" s="4" t="n">
        <v>1.5</v>
      </c>
      <c r="L135" s="4" t="n">
        <f aca="false">I135*J135</f>
        <v>0.1656</v>
      </c>
      <c r="M135" s="4" t="n">
        <f aca="false">MIN(1,I135*J135*K135)</f>
        <v>0.2484</v>
      </c>
      <c r="N135" s="4" t="n">
        <f aca="false">N134*M135</f>
        <v>0.0357696</v>
      </c>
      <c r="O135" s="4" t="n">
        <f aca="false">'Settings '!$B$8</f>
        <v>0.1</v>
      </c>
      <c r="P135" s="4" t="n">
        <f aca="false">MIN(1,I135*O135*K135)</f>
        <v>0.054</v>
      </c>
      <c r="Q135" s="4" t="n">
        <f aca="false">Q134*P135</f>
        <v>0.007776</v>
      </c>
      <c r="R135" s="4" t="n">
        <f aca="false">'Settings '!$B$9</f>
        <v>0.9</v>
      </c>
      <c r="S135" s="4" t="n">
        <f aca="false">MIN(1,I135*R135*K135)</f>
        <v>0.486</v>
      </c>
      <c r="T135" s="4" t="n">
        <f aca="false">T134*S135</f>
        <v>0.486</v>
      </c>
      <c r="U135" s="4" t="str">
        <f aca="false">IF(E135=4,N135,"")</f>
        <v/>
      </c>
      <c r="V135" s="4" t="str">
        <f aca="false">IF(E135=4,Q135,"")</f>
        <v/>
      </c>
      <c r="W135" s="4" t="str">
        <f aca="false">IF(E135=4,T135,"")</f>
        <v/>
      </c>
      <c r="X135" s="4" t="str">
        <f aca="false">IF(E135=4,IFERROR((LN(U135)-LN(V135))/(LN(W135)-LN(V135)),0),"")</f>
        <v/>
      </c>
      <c r="Y135" s="3" t="str">
        <f aca="false">IF(E135=4,IF(X135&gt;='Settings '!$B$7,"Risk A",IF(X135&gt;='Settings '!$B$6,"Risk B","Risk C")),"")</f>
        <v/>
      </c>
      <c r="Z135" s="3" t="n">
        <f aca="false">IF(Y135="Risk B",1,0)</f>
        <v>0</v>
      </c>
      <c r="AA135" s="3" t="n">
        <f aca="false">IF(J135&gt;='Settings '!$B$10,1,0)</f>
        <v>1</v>
      </c>
      <c r="AB135" s="3" t="n">
        <f aca="false">IF(M135&gt;='Settings '!$B$11,1,0)</f>
        <v>0</v>
      </c>
      <c r="AC135" s="4" t="n">
        <f aca="false">ABS(M135-MIN(1,I135*J135*K135))</f>
        <v>0</v>
      </c>
    </row>
    <row r="136" customFormat="false" ht="14.25" hidden="false" customHeight="true" outlineLevel="0" collapsed="false">
      <c r="A136" s="3" t="s">
        <v>29</v>
      </c>
      <c r="B136" s="3" t="n">
        <v>34</v>
      </c>
      <c r="C136" s="3" t="s">
        <v>93</v>
      </c>
      <c r="D136" s="3" t="s">
        <v>39</v>
      </c>
      <c r="E136" s="3" t="n">
        <v>3</v>
      </c>
      <c r="F136" s="3" t="s">
        <v>40</v>
      </c>
      <c r="G136" s="3" t="s">
        <v>41</v>
      </c>
      <c r="H136" s="3" t="s">
        <v>42</v>
      </c>
      <c r="I136" s="4" t="n">
        <v>0.36</v>
      </c>
      <c r="J136" s="4" t="n">
        <v>0.1</v>
      </c>
      <c r="K136" s="4" t="n">
        <v>2</v>
      </c>
      <c r="L136" s="4" t="n">
        <f aca="false">I136*J136</f>
        <v>0.036</v>
      </c>
      <c r="M136" s="4" t="n">
        <f aca="false">MIN(1,I136*J136*K136)</f>
        <v>0.072</v>
      </c>
      <c r="N136" s="4" t="n">
        <f aca="false">N135*M136</f>
        <v>0.0025754112</v>
      </c>
      <c r="O136" s="4" t="n">
        <f aca="false">'Settings '!$B$8</f>
        <v>0.1</v>
      </c>
      <c r="P136" s="4" t="n">
        <f aca="false">MIN(1,I136*O136*K136)</f>
        <v>0.072</v>
      </c>
      <c r="Q136" s="4" t="n">
        <f aca="false">Q135*P136</f>
        <v>0.000559872</v>
      </c>
      <c r="R136" s="4" t="n">
        <f aca="false">'Settings '!$B$9</f>
        <v>0.9</v>
      </c>
      <c r="S136" s="4" t="n">
        <f aca="false">MIN(1,I136*R136*K136)</f>
        <v>0.648</v>
      </c>
      <c r="T136" s="4" t="n">
        <f aca="false">T135*S136</f>
        <v>0.314928</v>
      </c>
      <c r="U136" s="4" t="str">
        <f aca="false">IF(E136=4,N136,"")</f>
        <v/>
      </c>
      <c r="V136" s="4" t="str">
        <f aca="false">IF(E136=4,Q136,"")</f>
        <v/>
      </c>
      <c r="W136" s="4" t="str">
        <f aca="false">IF(E136=4,T136,"")</f>
        <v/>
      </c>
      <c r="X136" s="4" t="str">
        <f aca="false">IF(E136=4,IFERROR((LN(U136)-LN(V136))/(LN(W136)-LN(V136)),0),"")</f>
        <v/>
      </c>
      <c r="Y136" s="3" t="str">
        <f aca="false">IF(E136=4,IF(X136&gt;='Settings '!$B$7,"Risk A",IF(X136&gt;='Settings '!$B$6,"Risk B","Risk C")),"")</f>
        <v/>
      </c>
      <c r="Z136" s="3" t="n">
        <f aca="false">IF(Y136="Risk B",1,0)</f>
        <v>0</v>
      </c>
      <c r="AA136" s="3" t="n">
        <f aca="false">IF(J136&gt;='Settings '!$B$10,1,0)</f>
        <v>0</v>
      </c>
      <c r="AB136" s="3" t="n">
        <f aca="false">IF(M136&gt;='Settings '!$B$11,1,0)</f>
        <v>0</v>
      </c>
      <c r="AC136" s="4" t="n">
        <f aca="false">ABS(M136-MIN(1,I136*J136*K136))</f>
        <v>0</v>
      </c>
    </row>
    <row r="137" customFormat="false" ht="14.25" hidden="false" customHeight="true" outlineLevel="0" collapsed="false">
      <c r="A137" s="3" t="s">
        <v>29</v>
      </c>
      <c r="B137" s="3" t="n">
        <v>34</v>
      </c>
      <c r="C137" s="3" t="s">
        <v>93</v>
      </c>
      <c r="D137" s="3" t="s">
        <v>43</v>
      </c>
      <c r="E137" s="3" t="n">
        <v>4</v>
      </c>
      <c r="F137" s="3" t="s">
        <v>48</v>
      </c>
      <c r="G137" s="3" t="s">
        <v>49</v>
      </c>
      <c r="H137" s="3" t="s">
        <v>46</v>
      </c>
      <c r="I137" s="4" t="n">
        <v>0.72</v>
      </c>
      <c r="J137" s="4" t="n">
        <v>0.28</v>
      </c>
      <c r="K137" s="4" t="n">
        <v>2</v>
      </c>
      <c r="L137" s="4" t="n">
        <f aca="false">I137*J137</f>
        <v>0.2016</v>
      </c>
      <c r="M137" s="4" t="n">
        <f aca="false">MIN(1,I137*J137*K137)</f>
        <v>0.4032</v>
      </c>
      <c r="N137" s="4" t="n">
        <f aca="false">N136*M137</f>
        <v>0.00103840579584</v>
      </c>
      <c r="O137" s="4" t="n">
        <f aca="false">'Settings '!$B$8</f>
        <v>0.1</v>
      </c>
      <c r="P137" s="4" t="n">
        <f aca="false">MIN(1,I137*O137*K137)</f>
        <v>0.144</v>
      </c>
      <c r="Q137" s="4" t="n">
        <f aca="false">Q136*P137</f>
        <v>8.0621568E-005</v>
      </c>
      <c r="R137" s="4" t="n">
        <f aca="false">'Settings '!$B$9</f>
        <v>0.9</v>
      </c>
      <c r="S137" s="4" t="n">
        <f aca="false">MIN(1,I137*R137*K137)</f>
        <v>1</v>
      </c>
      <c r="T137" s="4" t="n">
        <f aca="false">T136*S137</f>
        <v>0.314928</v>
      </c>
      <c r="U137" s="4" t="n">
        <f aca="false">IF(E137=4,N137,"")</f>
        <v>0.00103840579584</v>
      </c>
      <c r="V137" s="4" t="n">
        <f aca="false">IF(E137=4,Q137,"")</f>
        <v>8.0621568E-005</v>
      </c>
      <c r="W137" s="4" t="n">
        <f aca="false">IF(E137=4,T137,"")</f>
        <v>0.314928</v>
      </c>
      <c r="X137" s="4" t="n">
        <f aca="false">IF(E137=4,IFERROR((LN(U137)-LN(V137))/(LN(W137)-LN(V137)),0),"")</f>
        <v>0.309017265158183</v>
      </c>
      <c r="Y137" s="3" t="str">
        <f aca="false">IF(E137=4,IF(X137&gt;='Settings '!$B$7,"Risk A",IF(X137&gt;='Settings '!$B$6,"Risk B","Risk C")),"")</f>
        <v>Risk C</v>
      </c>
      <c r="Z137" s="3" t="n">
        <f aca="false">IF(Y137="Risk B",1,0)</f>
        <v>0</v>
      </c>
      <c r="AA137" s="3" t="n">
        <f aca="false">IF(J137&gt;='Settings '!$B$10,1,0)</f>
        <v>1</v>
      </c>
      <c r="AB137" s="3" t="n">
        <f aca="false">IF(M137&gt;='Settings '!$B$11,1,0)</f>
        <v>1</v>
      </c>
      <c r="AC137" s="4" t="n">
        <f aca="false">ABS(M137-MIN(1,I137*J137*K137))</f>
        <v>0</v>
      </c>
    </row>
    <row r="138" customFormat="false" ht="25.5" hidden="false" customHeight="true" outlineLevel="0" collapsed="false">
      <c r="A138" s="3" t="s">
        <v>29</v>
      </c>
      <c r="B138" s="3" t="n">
        <v>35</v>
      </c>
      <c r="C138" s="3" t="s">
        <v>94</v>
      </c>
      <c r="D138" s="3" t="s">
        <v>31</v>
      </c>
      <c r="E138" s="3" t="n">
        <v>1</v>
      </c>
      <c r="F138" s="3" t="s">
        <v>32</v>
      </c>
      <c r="G138" s="3" t="s">
        <v>33</v>
      </c>
      <c r="H138" s="3" t="s">
        <v>34</v>
      </c>
      <c r="I138" s="4" t="n">
        <v>0.72</v>
      </c>
      <c r="J138" s="4" t="n">
        <v>0.1</v>
      </c>
      <c r="K138" s="4" t="n">
        <v>2</v>
      </c>
      <c r="L138" s="4" t="n">
        <f aca="false">I138*J138</f>
        <v>0.072</v>
      </c>
      <c r="M138" s="4" t="n">
        <f aca="false">MIN(1,I138*J138*K138)</f>
        <v>0.144</v>
      </c>
      <c r="N138" s="4" t="n">
        <f aca="false">M138</f>
        <v>0.144</v>
      </c>
      <c r="O138" s="4" t="n">
        <f aca="false">'Settings '!$B$8</f>
        <v>0.1</v>
      </c>
      <c r="P138" s="4" t="n">
        <f aca="false">MIN(1,I138*O138*K138)</f>
        <v>0.144</v>
      </c>
      <c r="Q138" s="4" t="n">
        <f aca="false">P138</f>
        <v>0.144</v>
      </c>
      <c r="R138" s="4" t="n">
        <f aca="false">'Settings '!$B$9</f>
        <v>0.9</v>
      </c>
      <c r="S138" s="4" t="n">
        <f aca="false">MIN(1,I138*R138*K138)</f>
        <v>1</v>
      </c>
      <c r="T138" s="4" t="n">
        <f aca="false">S138</f>
        <v>1</v>
      </c>
      <c r="U138" s="4" t="str">
        <f aca="false">IF(E138=4,N138,"")</f>
        <v/>
      </c>
      <c r="V138" s="4" t="str">
        <f aca="false">IF(E138=4,Q138,"")</f>
        <v/>
      </c>
      <c r="W138" s="4" t="str">
        <f aca="false">IF(E138=4,T138,"")</f>
        <v/>
      </c>
      <c r="X138" s="4" t="str">
        <f aca="false">IF(E138=4,IFERROR((LN(U138)-LN(V138))/(LN(W138)-LN(V138)),0),"")</f>
        <v/>
      </c>
      <c r="Y138" s="3" t="str">
        <f aca="false">IF(E138=4,IF(X138&gt;='Settings '!$B$7,"Risk A",IF(X138&gt;='Settings '!$B$6,"Risk B","Risk C")),"")</f>
        <v/>
      </c>
      <c r="Z138" s="3" t="n">
        <f aca="false">IF(Y138="Risk B",1,0)</f>
        <v>0</v>
      </c>
      <c r="AA138" s="3" t="n">
        <f aca="false">IF(J138&gt;='Settings '!$B$10,1,0)</f>
        <v>0</v>
      </c>
      <c r="AB138" s="3" t="n">
        <f aca="false">IF(M138&gt;='Settings '!$B$11,1,0)</f>
        <v>0</v>
      </c>
      <c r="AC138" s="4" t="n">
        <f aca="false">ABS(M138-MIN(1,I138*J138*K138))</f>
        <v>0</v>
      </c>
    </row>
    <row r="139" customFormat="false" ht="14.25" hidden="false" customHeight="true" outlineLevel="0" collapsed="false">
      <c r="A139" s="3" t="s">
        <v>29</v>
      </c>
      <c r="B139" s="3" t="n">
        <v>35</v>
      </c>
      <c r="C139" s="3" t="s">
        <v>94</v>
      </c>
      <c r="D139" s="3" t="s">
        <v>35</v>
      </c>
      <c r="E139" s="3" t="n">
        <v>2</v>
      </c>
      <c r="F139" s="3" t="s">
        <v>91</v>
      </c>
      <c r="G139" s="3" t="s">
        <v>92</v>
      </c>
      <c r="H139" s="3" t="s">
        <v>38</v>
      </c>
      <c r="I139" s="4" t="n">
        <v>0.36</v>
      </c>
      <c r="J139" s="4" t="n">
        <v>0.46</v>
      </c>
      <c r="K139" s="4" t="n">
        <v>1.5</v>
      </c>
      <c r="L139" s="4" t="n">
        <f aca="false">I139*J139</f>
        <v>0.1656</v>
      </c>
      <c r="M139" s="4" t="n">
        <f aca="false">MIN(1,I139*J139*K139)</f>
        <v>0.2484</v>
      </c>
      <c r="N139" s="4" t="n">
        <f aca="false">N138*M139</f>
        <v>0.0357696</v>
      </c>
      <c r="O139" s="4" t="n">
        <f aca="false">'Settings '!$B$8</f>
        <v>0.1</v>
      </c>
      <c r="P139" s="4" t="n">
        <f aca="false">MIN(1,I139*O139*K139)</f>
        <v>0.054</v>
      </c>
      <c r="Q139" s="4" t="n">
        <f aca="false">Q138*P139</f>
        <v>0.007776</v>
      </c>
      <c r="R139" s="4" t="n">
        <f aca="false">'Settings '!$B$9</f>
        <v>0.9</v>
      </c>
      <c r="S139" s="4" t="n">
        <f aca="false">MIN(1,I139*R139*K139)</f>
        <v>0.486</v>
      </c>
      <c r="T139" s="4" t="n">
        <f aca="false">T138*S139</f>
        <v>0.486</v>
      </c>
      <c r="U139" s="4" t="str">
        <f aca="false">IF(E139=4,N139,"")</f>
        <v/>
      </c>
      <c r="V139" s="4" t="str">
        <f aca="false">IF(E139=4,Q139,"")</f>
        <v/>
      </c>
      <c r="W139" s="4" t="str">
        <f aca="false">IF(E139=4,T139,"")</f>
        <v/>
      </c>
      <c r="X139" s="4" t="str">
        <f aca="false">IF(E139=4,IFERROR((LN(U139)-LN(V139))/(LN(W139)-LN(V139)),0),"")</f>
        <v/>
      </c>
      <c r="Y139" s="3" t="str">
        <f aca="false">IF(E139=4,IF(X139&gt;='Settings '!$B$7,"Risk A",IF(X139&gt;='Settings '!$B$6,"Risk B","Risk C")),"")</f>
        <v/>
      </c>
      <c r="Z139" s="3" t="n">
        <f aca="false">IF(Y139="Risk B",1,0)</f>
        <v>0</v>
      </c>
      <c r="AA139" s="3" t="n">
        <f aca="false">IF(J139&gt;='Settings '!$B$10,1,0)</f>
        <v>1</v>
      </c>
      <c r="AB139" s="3" t="n">
        <f aca="false">IF(M139&gt;='Settings '!$B$11,1,0)</f>
        <v>0</v>
      </c>
      <c r="AC139" s="4" t="n">
        <f aca="false">ABS(M139-MIN(1,I139*J139*K139))</f>
        <v>0</v>
      </c>
    </row>
    <row r="140" customFormat="false" ht="14.25" hidden="false" customHeight="true" outlineLevel="0" collapsed="false">
      <c r="A140" s="3" t="s">
        <v>29</v>
      </c>
      <c r="B140" s="3" t="n">
        <v>35</v>
      </c>
      <c r="C140" s="3" t="s">
        <v>94</v>
      </c>
      <c r="D140" s="3" t="s">
        <v>39</v>
      </c>
      <c r="E140" s="3" t="n">
        <v>3</v>
      </c>
      <c r="F140" s="3" t="s">
        <v>40</v>
      </c>
      <c r="G140" s="3" t="s">
        <v>41</v>
      </c>
      <c r="H140" s="3" t="s">
        <v>42</v>
      </c>
      <c r="I140" s="4" t="n">
        <v>0.36</v>
      </c>
      <c r="J140" s="4" t="n">
        <v>0.1</v>
      </c>
      <c r="K140" s="4" t="n">
        <v>2</v>
      </c>
      <c r="L140" s="4" t="n">
        <f aca="false">I140*J140</f>
        <v>0.036</v>
      </c>
      <c r="M140" s="4" t="n">
        <f aca="false">MIN(1,I140*J140*K140)</f>
        <v>0.072</v>
      </c>
      <c r="N140" s="4" t="n">
        <f aca="false">N139*M140</f>
        <v>0.0025754112</v>
      </c>
      <c r="O140" s="4" t="n">
        <f aca="false">'Settings '!$B$8</f>
        <v>0.1</v>
      </c>
      <c r="P140" s="4" t="n">
        <f aca="false">MIN(1,I140*O140*K140)</f>
        <v>0.072</v>
      </c>
      <c r="Q140" s="4" t="n">
        <f aca="false">Q139*P140</f>
        <v>0.000559872</v>
      </c>
      <c r="R140" s="4" t="n">
        <f aca="false">'Settings '!$B$9</f>
        <v>0.9</v>
      </c>
      <c r="S140" s="4" t="n">
        <f aca="false">MIN(1,I140*R140*K140)</f>
        <v>0.648</v>
      </c>
      <c r="T140" s="4" t="n">
        <f aca="false">T139*S140</f>
        <v>0.314928</v>
      </c>
      <c r="U140" s="4" t="str">
        <f aca="false">IF(E140=4,N140,"")</f>
        <v/>
      </c>
      <c r="V140" s="4" t="str">
        <f aca="false">IF(E140=4,Q140,"")</f>
        <v/>
      </c>
      <c r="W140" s="4" t="str">
        <f aca="false">IF(E140=4,T140,"")</f>
        <v/>
      </c>
      <c r="X140" s="4" t="str">
        <f aca="false">IF(E140=4,IFERROR((LN(U140)-LN(V140))/(LN(W140)-LN(V140)),0),"")</f>
        <v/>
      </c>
      <c r="Y140" s="3" t="str">
        <f aca="false">IF(E140=4,IF(X140&gt;='Settings '!$B$7,"Risk A",IF(X140&gt;='Settings '!$B$6,"Risk B","Risk C")),"")</f>
        <v/>
      </c>
      <c r="Z140" s="3" t="n">
        <f aca="false">IF(Y140="Risk B",1,0)</f>
        <v>0</v>
      </c>
      <c r="AA140" s="3" t="n">
        <f aca="false">IF(J140&gt;='Settings '!$B$10,1,0)</f>
        <v>0</v>
      </c>
      <c r="AB140" s="3" t="n">
        <f aca="false">IF(M140&gt;='Settings '!$B$11,1,0)</f>
        <v>0</v>
      </c>
      <c r="AC140" s="4" t="n">
        <f aca="false">ABS(M140-MIN(1,I140*J140*K140))</f>
        <v>0</v>
      </c>
    </row>
    <row r="141" customFormat="false" ht="14.25" hidden="false" customHeight="true" outlineLevel="0" collapsed="false">
      <c r="A141" s="3" t="s">
        <v>29</v>
      </c>
      <c r="B141" s="3" t="n">
        <v>35</v>
      </c>
      <c r="C141" s="3" t="s">
        <v>94</v>
      </c>
      <c r="D141" s="3" t="s">
        <v>43</v>
      </c>
      <c r="E141" s="3" t="n">
        <v>4</v>
      </c>
      <c r="F141" s="3" t="s">
        <v>51</v>
      </c>
      <c r="G141" s="3" t="s">
        <v>52</v>
      </c>
      <c r="H141" s="3" t="s">
        <v>46</v>
      </c>
      <c r="I141" s="4" t="n">
        <v>0.18</v>
      </c>
      <c r="J141" s="4" t="n">
        <v>0.28</v>
      </c>
      <c r="K141" s="4" t="n">
        <v>2</v>
      </c>
      <c r="L141" s="4" t="n">
        <f aca="false">I141*J141</f>
        <v>0.0504</v>
      </c>
      <c r="M141" s="4" t="n">
        <f aca="false">MIN(1,I141*J141*K141)</f>
        <v>0.1008</v>
      </c>
      <c r="N141" s="4" t="n">
        <f aca="false">N140*M141</f>
        <v>0.00025960144896</v>
      </c>
      <c r="O141" s="4" t="n">
        <f aca="false">'Settings '!$B$8</f>
        <v>0.1</v>
      </c>
      <c r="P141" s="4" t="n">
        <f aca="false">MIN(1,I141*O141*K141)</f>
        <v>0.036</v>
      </c>
      <c r="Q141" s="4" t="n">
        <f aca="false">Q140*P141</f>
        <v>2.0155392E-005</v>
      </c>
      <c r="R141" s="4" t="n">
        <f aca="false">'Settings '!$B$9</f>
        <v>0.9</v>
      </c>
      <c r="S141" s="4" t="n">
        <f aca="false">MIN(1,I141*R141*K141)</f>
        <v>0.324</v>
      </c>
      <c r="T141" s="4" t="n">
        <f aca="false">T140*S141</f>
        <v>0.102036672</v>
      </c>
      <c r="U141" s="4" t="n">
        <f aca="false">IF(E141=4,N141,"")</f>
        <v>0.00025960144896</v>
      </c>
      <c r="V141" s="4" t="n">
        <f aca="false">IF(E141=4,Q141,"")</f>
        <v>2.0155392E-005</v>
      </c>
      <c r="W141" s="4" t="n">
        <f aca="false">IF(E141=4,T141,"")</f>
        <v>0.102036672</v>
      </c>
      <c r="X141" s="4" t="n">
        <f aca="false">IF(E141=4,IFERROR((LN(U141)-LN(V141))/(LN(W141)-LN(V141)),0),"")</f>
        <v>0.29962378225974</v>
      </c>
      <c r="Y141" s="3" t="str">
        <f aca="false">IF(E141=4,IF(X141&gt;='Settings '!$B$7,"Risk A",IF(X141&gt;='Settings '!$B$6,"Risk B","Risk C")),"")</f>
        <v>Risk C</v>
      </c>
      <c r="Z141" s="3" t="n">
        <f aca="false">IF(Y141="Risk B",1,0)</f>
        <v>0</v>
      </c>
      <c r="AA141" s="3" t="n">
        <f aca="false">IF(J141&gt;='Settings '!$B$10,1,0)</f>
        <v>1</v>
      </c>
      <c r="AB141" s="3" t="n">
        <f aca="false">IF(M141&gt;='Settings '!$B$11,1,0)</f>
        <v>0</v>
      </c>
      <c r="AC141" s="4" t="n">
        <f aca="false">ABS(M141-MIN(1,I141*J141*K141))</f>
        <v>0</v>
      </c>
    </row>
    <row r="142" customFormat="false" ht="25.5" hidden="false" customHeight="true" outlineLevel="0" collapsed="false">
      <c r="A142" s="3" t="s">
        <v>29</v>
      </c>
      <c r="B142" s="3" t="n">
        <v>36</v>
      </c>
      <c r="C142" s="3" t="s">
        <v>95</v>
      </c>
      <c r="D142" s="3" t="s">
        <v>31</v>
      </c>
      <c r="E142" s="3" t="n">
        <v>1</v>
      </c>
      <c r="F142" s="3" t="s">
        <v>32</v>
      </c>
      <c r="G142" s="3" t="s">
        <v>33</v>
      </c>
      <c r="H142" s="3" t="s">
        <v>34</v>
      </c>
      <c r="I142" s="4" t="n">
        <v>0.72</v>
      </c>
      <c r="J142" s="4" t="n">
        <v>0.1</v>
      </c>
      <c r="K142" s="4" t="n">
        <v>2</v>
      </c>
      <c r="L142" s="4" t="n">
        <f aca="false">I142*J142</f>
        <v>0.072</v>
      </c>
      <c r="M142" s="4" t="n">
        <f aca="false">MIN(1,I142*J142*K142)</f>
        <v>0.144</v>
      </c>
      <c r="N142" s="4" t="n">
        <f aca="false">M142</f>
        <v>0.144</v>
      </c>
      <c r="O142" s="4" t="n">
        <f aca="false">'Settings '!$B$8</f>
        <v>0.1</v>
      </c>
      <c r="P142" s="4" t="n">
        <f aca="false">MIN(1,I142*O142*K142)</f>
        <v>0.144</v>
      </c>
      <c r="Q142" s="4" t="n">
        <f aca="false">P142</f>
        <v>0.144</v>
      </c>
      <c r="R142" s="4" t="n">
        <f aca="false">'Settings '!$B$9</f>
        <v>0.9</v>
      </c>
      <c r="S142" s="4" t="n">
        <f aca="false">MIN(1,I142*R142*K142)</f>
        <v>1</v>
      </c>
      <c r="T142" s="4" t="n">
        <f aca="false">S142</f>
        <v>1</v>
      </c>
      <c r="U142" s="4" t="str">
        <f aca="false">IF(E142=4,N142,"")</f>
        <v/>
      </c>
      <c r="V142" s="4" t="str">
        <f aca="false">IF(E142=4,Q142,"")</f>
        <v/>
      </c>
      <c r="W142" s="4" t="str">
        <f aca="false">IF(E142=4,T142,"")</f>
        <v/>
      </c>
      <c r="X142" s="4" t="str">
        <f aca="false">IF(E142=4,IFERROR((LN(U142)-LN(V142))/(LN(W142)-LN(V142)),0),"")</f>
        <v/>
      </c>
      <c r="Y142" s="3" t="str">
        <f aca="false">IF(E142=4,IF(X142&gt;='Settings '!$B$7,"Risk A",IF(X142&gt;='Settings '!$B$6,"Risk B","Risk C")),"")</f>
        <v/>
      </c>
      <c r="Z142" s="3" t="n">
        <f aca="false">IF(Y142="Risk B",1,0)</f>
        <v>0</v>
      </c>
      <c r="AA142" s="3" t="n">
        <f aca="false">IF(J142&gt;='Settings '!$B$10,1,0)</f>
        <v>0</v>
      </c>
      <c r="AB142" s="3" t="n">
        <f aca="false">IF(M142&gt;='Settings '!$B$11,1,0)</f>
        <v>0</v>
      </c>
      <c r="AC142" s="4" t="n">
        <f aca="false">ABS(M142-MIN(1,I142*J142*K142))</f>
        <v>0</v>
      </c>
    </row>
    <row r="143" customFormat="false" ht="14.25" hidden="false" customHeight="true" outlineLevel="0" collapsed="false">
      <c r="A143" s="3" t="s">
        <v>29</v>
      </c>
      <c r="B143" s="3" t="n">
        <v>36</v>
      </c>
      <c r="C143" s="3" t="s">
        <v>95</v>
      </c>
      <c r="D143" s="3" t="s">
        <v>35</v>
      </c>
      <c r="E143" s="3" t="n">
        <v>2</v>
      </c>
      <c r="F143" s="3" t="s">
        <v>91</v>
      </c>
      <c r="G143" s="3" t="s">
        <v>92</v>
      </c>
      <c r="H143" s="3" t="s">
        <v>38</v>
      </c>
      <c r="I143" s="4" t="n">
        <v>0.36</v>
      </c>
      <c r="J143" s="4" t="n">
        <v>0.46</v>
      </c>
      <c r="K143" s="4" t="n">
        <v>1.5</v>
      </c>
      <c r="L143" s="4" t="n">
        <f aca="false">I143*J143</f>
        <v>0.1656</v>
      </c>
      <c r="M143" s="4" t="n">
        <f aca="false">MIN(1,I143*J143*K143)</f>
        <v>0.2484</v>
      </c>
      <c r="N143" s="4" t="n">
        <f aca="false">N142*M143</f>
        <v>0.0357696</v>
      </c>
      <c r="O143" s="4" t="n">
        <f aca="false">'Settings '!$B$8</f>
        <v>0.1</v>
      </c>
      <c r="P143" s="4" t="n">
        <f aca="false">MIN(1,I143*O143*K143)</f>
        <v>0.054</v>
      </c>
      <c r="Q143" s="4" t="n">
        <f aca="false">Q142*P143</f>
        <v>0.007776</v>
      </c>
      <c r="R143" s="4" t="n">
        <f aca="false">'Settings '!$B$9</f>
        <v>0.9</v>
      </c>
      <c r="S143" s="4" t="n">
        <f aca="false">MIN(1,I143*R143*K143)</f>
        <v>0.486</v>
      </c>
      <c r="T143" s="4" t="n">
        <f aca="false">T142*S143</f>
        <v>0.486</v>
      </c>
      <c r="U143" s="4" t="str">
        <f aca="false">IF(E143=4,N143,"")</f>
        <v/>
      </c>
      <c r="V143" s="4" t="str">
        <f aca="false">IF(E143=4,Q143,"")</f>
        <v/>
      </c>
      <c r="W143" s="4" t="str">
        <f aca="false">IF(E143=4,T143,"")</f>
        <v/>
      </c>
      <c r="X143" s="4" t="str">
        <f aca="false">IF(E143=4,IFERROR((LN(U143)-LN(V143))/(LN(W143)-LN(V143)),0),"")</f>
        <v/>
      </c>
      <c r="Y143" s="3" t="str">
        <f aca="false">IF(E143=4,IF(X143&gt;='Settings '!$B$7,"Risk A",IF(X143&gt;='Settings '!$B$6,"Risk B","Risk C")),"")</f>
        <v/>
      </c>
      <c r="Z143" s="3" t="n">
        <f aca="false">IF(Y143="Risk B",1,0)</f>
        <v>0</v>
      </c>
      <c r="AA143" s="3" t="n">
        <f aca="false">IF(J143&gt;='Settings '!$B$10,1,0)</f>
        <v>1</v>
      </c>
      <c r="AB143" s="3" t="n">
        <f aca="false">IF(M143&gt;='Settings '!$B$11,1,0)</f>
        <v>0</v>
      </c>
      <c r="AC143" s="4" t="n">
        <f aca="false">ABS(M143-MIN(1,I143*J143*K143))</f>
        <v>0</v>
      </c>
    </row>
    <row r="144" customFormat="false" ht="14.25" hidden="false" customHeight="true" outlineLevel="0" collapsed="false">
      <c r="A144" s="3" t="s">
        <v>29</v>
      </c>
      <c r="B144" s="3" t="n">
        <v>36</v>
      </c>
      <c r="C144" s="3" t="s">
        <v>95</v>
      </c>
      <c r="D144" s="3" t="s">
        <v>39</v>
      </c>
      <c r="E144" s="3" t="n">
        <v>3</v>
      </c>
      <c r="F144" s="3" t="s">
        <v>40</v>
      </c>
      <c r="G144" s="3" t="s">
        <v>41</v>
      </c>
      <c r="H144" s="3" t="s">
        <v>42</v>
      </c>
      <c r="I144" s="4" t="n">
        <v>0.36</v>
      </c>
      <c r="J144" s="4" t="n">
        <v>0.1</v>
      </c>
      <c r="K144" s="4" t="n">
        <v>2</v>
      </c>
      <c r="L144" s="4" t="n">
        <f aca="false">I144*J144</f>
        <v>0.036</v>
      </c>
      <c r="M144" s="4" t="n">
        <f aca="false">MIN(1,I144*J144*K144)</f>
        <v>0.072</v>
      </c>
      <c r="N144" s="4" t="n">
        <f aca="false">N143*M144</f>
        <v>0.0025754112</v>
      </c>
      <c r="O144" s="4" t="n">
        <f aca="false">'Settings '!$B$8</f>
        <v>0.1</v>
      </c>
      <c r="P144" s="4" t="n">
        <f aca="false">MIN(1,I144*O144*K144)</f>
        <v>0.072</v>
      </c>
      <c r="Q144" s="4" t="n">
        <f aca="false">Q143*P144</f>
        <v>0.000559872</v>
      </c>
      <c r="R144" s="4" t="n">
        <f aca="false">'Settings '!$B$9</f>
        <v>0.9</v>
      </c>
      <c r="S144" s="4" t="n">
        <f aca="false">MIN(1,I144*R144*K144)</f>
        <v>0.648</v>
      </c>
      <c r="T144" s="4" t="n">
        <f aca="false">T143*S144</f>
        <v>0.314928</v>
      </c>
      <c r="U144" s="4" t="str">
        <f aca="false">IF(E144=4,N144,"")</f>
        <v/>
      </c>
      <c r="V144" s="4" t="str">
        <f aca="false">IF(E144=4,Q144,"")</f>
        <v/>
      </c>
      <c r="W144" s="4" t="str">
        <f aca="false">IF(E144=4,T144,"")</f>
        <v/>
      </c>
      <c r="X144" s="4" t="str">
        <f aca="false">IF(E144=4,IFERROR((LN(U144)-LN(V144))/(LN(W144)-LN(V144)),0),"")</f>
        <v/>
      </c>
      <c r="Y144" s="3" t="str">
        <f aca="false">IF(E144=4,IF(X144&gt;='Settings '!$B$7,"Risk A",IF(X144&gt;='Settings '!$B$6,"Risk B","Risk C")),"")</f>
        <v/>
      </c>
      <c r="Z144" s="3" t="n">
        <f aca="false">IF(Y144="Risk B",1,0)</f>
        <v>0</v>
      </c>
      <c r="AA144" s="3" t="n">
        <f aca="false">IF(J144&gt;='Settings '!$B$10,1,0)</f>
        <v>0</v>
      </c>
      <c r="AB144" s="3" t="n">
        <f aca="false">IF(M144&gt;='Settings '!$B$11,1,0)</f>
        <v>0</v>
      </c>
      <c r="AC144" s="4" t="n">
        <f aca="false">ABS(M144-MIN(1,I144*J144*K144))</f>
        <v>0</v>
      </c>
    </row>
    <row r="145" customFormat="false" ht="14.25" hidden="false" customHeight="true" outlineLevel="0" collapsed="false">
      <c r="A145" s="3" t="s">
        <v>29</v>
      </c>
      <c r="B145" s="3" t="n">
        <v>36</v>
      </c>
      <c r="C145" s="3" t="s">
        <v>95</v>
      </c>
      <c r="D145" s="3" t="s">
        <v>43</v>
      </c>
      <c r="E145" s="3" t="n">
        <v>4</v>
      </c>
      <c r="F145" s="3" t="s">
        <v>54</v>
      </c>
      <c r="G145" s="3" t="s">
        <v>55</v>
      </c>
      <c r="H145" s="3" t="s">
        <v>46</v>
      </c>
      <c r="I145" s="4" t="n">
        <v>0.18</v>
      </c>
      <c r="J145" s="4" t="n">
        <v>0.28</v>
      </c>
      <c r="K145" s="4" t="n">
        <v>2</v>
      </c>
      <c r="L145" s="4" t="n">
        <f aca="false">I145*J145</f>
        <v>0.0504</v>
      </c>
      <c r="M145" s="4" t="n">
        <f aca="false">MIN(1,I145*J145*K145)</f>
        <v>0.1008</v>
      </c>
      <c r="N145" s="4" t="n">
        <f aca="false">N144*M145</f>
        <v>0.00025960144896</v>
      </c>
      <c r="O145" s="4" t="n">
        <f aca="false">'Settings '!$B$8</f>
        <v>0.1</v>
      </c>
      <c r="P145" s="4" t="n">
        <f aca="false">MIN(1,I145*O145*K145)</f>
        <v>0.036</v>
      </c>
      <c r="Q145" s="4" t="n">
        <f aca="false">Q144*P145</f>
        <v>2.0155392E-005</v>
      </c>
      <c r="R145" s="4" t="n">
        <f aca="false">'Settings '!$B$9</f>
        <v>0.9</v>
      </c>
      <c r="S145" s="4" t="n">
        <f aca="false">MIN(1,I145*R145*K145)</f>
        <v>0.324</v>
      </c>
      <c r="T145" s="4" t="n">
        <f aca="false">T144*S145</f>
        <v>0.102036672</v>
      </c>
      <c r="U145" s="4" t="n">
        <f aca="false">IF(E145=4,N145,"")</f>
        <v>0.00025960144896</v>
      </c>
      <c r="V145" s="4" t="n">
        <f aca="false">IF(E145=4,Q145,"")</f>
        <v>2.0155392E-005</v>
      </c>
      <c r="W145" s="4" t="n">
        <f aca="false">IF(E145=4,T145,"")</f>
        <v>0.102036672</v>
      </c>
      <c r="X145" s="4" t="n">
        <f aca="false">IF(E145=4,IFERROR((LN(U145)-LN(V145))/(LN(W145)-LN(V145)),0),"")</f>
        <v>0.29962378225974</v>
      </c>
      <c r="Y145" s="3" t="str">
        <f aca="false">IF(E145=4,IF(X145&gt;='Settings '!$B$7,"Risk A",IF(X145&gt;='Settings '!$B$6,"Risk B","Risk C")),"")</f>
        <v>Risk C</v>
      </c>
      <c r="Z145" s="3" t="n">
        <f aca="false">IF(Y145="Risk B",1,0)</f>
        <v>0</v>
      </c>
      <c r="AA145" s="3" t="n">
        <f aca="false">IF(J145&gt;='Settings '!$B$10,1,0)</f>
        <v>1</v>
      </c>
      <c r="AB145" s="3" t="n">
        <f aca="false">IF(M145&gt;='Settings '!$B$11,1,0)</f>
        <v>0</v>
      </c>
      <c r="AC145" s="4" t="n">
        <f aca="false">ABS(M145-MIN(1,I145*J145*K145))</f>
        <v>0</v>
      </c>
    </row>
    <row r="146" customFormat="false" ht="25.5" hidden="false" customHeight="true" outlineLevel="0" collapsed="false">
      <c r="A146" s="3" t="s">
        <v>29</v>
      </c>
      <c r="B146" s="3" t="n">
        <v>37</v>
      </c>
      <c r="C146" s="3" t="s">
        <v>96</v>
      </c>
      <c r="D146" s="3" t="s">
        <v>31</v>
      </c>
      <c r="E146" s="3" t="n">
        <v>1</v>
      </c>
      <c r="F146" s="3" t="s">
        <v>32</v>
      </c>
      <c r="G146" s="3" t="s">
        <v>33</v>
      </c>
      <c r="H146" s="3" t="s">
        <v>34</v>
      </c>
      <c r="I146" s="4" t="n">
        <v>0.72</v>
      </c>
      <c r="J146" s="4" t="n">
        <v>0.1</v>
      </c>
      <c r="K146" s="4" t="n">
        <v>2</v>
      </c>
      <c r="L146" s="4" t="n">
        <f aca="false">I146*J146</f>
        <v>0.072</v>
      </c>
      <c r="M146" s="4" t="n">
        <f aca="false">MIN(1,I146*J146*K146)</f>
        <v>0.144</v>
      </c>
      <c r="N146" s="4" t="n">
        <f aca="false">M146</f>
        <v>0.144</v>
      </c>
      <c r="O146" s="4" t="n">
        <f aca="false">'Settings '!$B$8</f>
        <v>0.1</v>
      </c>
      <c r="P146" s="4" t="n">
        <f aca="false">MIN(1,I146*O146*K146)</f>
        <v>0.144</v>
      </c>
      <c r="Q146" s="4" t="n">
        <f aca="false">P146</f>
        <v>0.144</v>
      </c>
      <c r="R146" s="4" t="n">
        <f aca="false">'Settings '!$B$9</f>
        <v>0.9</v>
      </c>
      <c r="S146" s="4" t="n">
        <f aca="false">MIN(1,I146*R146*K146)</f>
        <v>1</v>
      </c>
      <c r="T146" s="4" t="n">
        <f aca="false">S146</f>
        <v>1</v>
      </c>
      <c r="U146" s="4" t="str">
        <f aca="false">IF(E146=4,N146,"")</f>
        <v/>
      </c>
      <c r="V146" s="4" t="str">
        <f aca="false">IF(E146=4,Q146,"")</f>
        <v/>
      </c>
      <c r="W146" s="4" t="str">
        <f aca="false">IF(E146=4,T146,"")</f>
        <v/>
      </c>
      <c r="X146" s="4" t="str">
        <f aca="false">IF(E146=4,IFERROR((LN(U146)-LN(V146))/(LN(W146)-LN(V146)),0),"")</f>
        <v/>
      </c>
      <c r="Y146" s="3" t="str">
        <f aca="false">IF(E146=4,IF(X146&gt;='Settings '!$B$7,"Risk A",IF(X146&gt;='Settings '!$B$6,"Risk B","Risk C")),"")</f>
        <v/>
      </c>
      <c r="Z146" s="3" t="n">
        <f aca="false">IF(Y146="Risk B",1,0)</f>
        <v>0</v>
      </c>
      <c r="AA146" s="3" t="n">
        <f aca="false">IF(J146&gt;='Settings '!$B$10,1,0)</f>
        <v>0</v>
      </c>
      <c r="AB146" s="3" t="n">
        <f aca="false">IF(M146&gt;='Settings '!$B$11,1,0)</f>
        <v>0</v>
      </c>
      <c r="AC146" s="4" t="n">
        <f aca="false">ABS(M146-MIN(1,I146*J146*K146))</f>
        <v>0</v>
      </c>
    </row>
    <row r="147" customFormat="false" ht="14.25" hidden="false" customHeight="true" outlineLevel="0" collapsed="false">
      <c r="A147" s="3" t="s">
        <v>29</v>
      </c>
      <c r="B147" s="3" t="n">
        <v>37</v>
      </c>
      <c r="C147" s="3" t="s">
        <v>96</v>
      </c>
      <c r="D147" s="3" t="s">
        <v>35</v>
      </c>
      <c r="E147" s="3" t="n">
        <v>2</v>
      </c>
      <c r="F147" s="3" t="s">
        <v>91</v>
      </c>
      <c r="G147" s="3" t="s">
        <v>92</v>
      </c>
      <c r="H147" s="3" t="s">
        <v>38</v>
      </c>
      <c r="I147" s="4" t="n">
        <v>0.36</v>
      </c>
      <c r="J147" s="4" t="n">
        <v>0.46</v>
      </c>
      <c r="K147" s="4" t="n">
        <v>1.5</v>
      </c>
      <c r="L147" s="4" t="n">
        <f aca="false">I147*J147</f>
        <v>0.1656</v>
      </c>
      <c r="M147" s="4" t="n">
        <f aca="false">MIN(1,I147*J147*K147)</f>
        <v>0.2484</v>
      </c>
      <c r="N147" s="4" t="n">
        <f aca="false">N146*M147</f>
        <v>0.0357696</v>
      </c>
      <c r="O147" s="4" t="n">
        <f aca="false">'Settings '!$B$8</f>
        <v>0.1</v>
      </c>
      <c r="P147" s="4" t="n">
        <f aca="false">MIN(1,I147*O147*K147)</f>
        <v>0.054</v>
      </c>
      <c r="Q147" s="4" t="n">
        <f aca="false">Q146*P147</f>
        <v>0.007776</v>
      </c>
      <c r="R147" s="4" t="n">
        <f aca="false">'Settings '!$B$9</f>
        <v>0.9</v>
      </c>
      <c r="S147" s="4" t="n">
        <f aca="false">MIN(1,I147*R147*K147)</f>
        <v>0.486</v>
      </c>
      <c r="T147" s="4" t="n">
        <f aca="false">T146*S147</f>
        <v>0.486</v>
      </c>
      <c r="U147" s="4" t="str">
        <f aca="false">IF(E147=4,N147,"")</f>
        <v/>
      </c>
      <c r="V147" s="4" t="str">
        <f aca="false">IF(E147=4,Q147,"")</f>
        <v/>
      </c>
      <c r="W147" s="4" t="str">
        <f aca="false">IF(E147=4,T147,"")</f>
        <v/>
      </c>
      <c r="X147" s="4" t="str">
        <f aca="false">IF(E147=4,IFERROR((LN(U147)-LN(V147))/(LN(W147)-LN(V147)),0),"")</f>
        <v/>
      </c>
      <c r="Y147" s="3" t="str">
        <f aca="false">IF(E147=4,IF(X147&gt;='Settings '!$B$7,"Risk A",IF(X147&gt;='Settings '!$B$6,"Risk B","Risk C")),"")</f>
        <v/>
      </c>
      <c r="Z147" s="3" t="n">
        <f aca="false">IF(Y147="Risk B",1,0)</f>
        <v>0</v>
      </c>
      <c r="AA147" s="3" t="n">
        <f aca="false">IF(J147&gt;='Settings '!$B$10,1,0)</f>
        <v>1</v>
      </c>
      <c r="AB147" s="3" t="n">
        <f aca="false">IF(M147&gt;='Settings '!$B$11,1,0)</f>
        <v>0</v>
      </c>
      <c r="AC147" s="4" t="n">
        <f aca="false">ABS(M147-MIN(1,I147*J147*K147))</f>
        <v>0</v>
      </c>
    </row>
    <row r="148" customFormat="false" ht="14.25" hidden="false" customHeight="true" outlineLevel="0" collapsed="false">
      <c r="A148" s="3" t="s">
        <v>29</v>
      </c>
      <c r="B148" s="3" t="n">
        <v>37</v>
      </c>
      <c r="C148" s="3" t="s">
        <v>96</v>
      </c>
      <c r="D148" s="3" t="s">
        <v>39</v>
      </c>
      <c r="E148" s="3" t="n">
        <v>3</v>
      </c>
      <c r="F148" s="3" t="s">
        <v>57</v>
      </c>
      <c r="G148" s="3" t="s">
        <v>58</v>
      </c>
      <c r="H148" s="3" t="s">
        <v>42</v>
      </c>
      <c r="I148" s="4" t="n">
        <v>0.36</v>
      </c>
      <c r="J148" s="4" t="n">
        <v>0.1</v>
      </c>
      <c r="K148" s="4" t="n">
        <v>2</v>
      </c>
      <c r="L148" s="4" t="n">
        <f aca="false">I148*J148</f>
        <v>0.036</v>
      </c>
      <c r="M148" s="4" t="n">
        <f aca="false">MIN(1,I148*J148*K148)</f>
        <v>0.072</v>
      </c>
      <c r="N148" s="4" t="n">
        <f aca="false">N147*M148</f>
        <v>0.0025754112</v>
      </c>
      <c r="O148" s="4" t="n">
        <f aca="false">'Settings '!$B$8</f>
        <v>0.1</v>
      </c>
      <c r="P148" s="4" t="n">
        <f aca="false">MIN(1,I148*O148*K148)</f>
        <v>0.072</v>
      </c>
      <c r="Q148" s="4" t="n">
        <f aca="false">Q147*P148</f>
        <v>0.000559872</v>
      </c>
      <c r="R148" s="4" t="n">
        <f aca="false">'Settings '!$B$9</f>
        <v>0.9</v>
      </c>
      <c r="S148" s="4" t="n">
        <f aca="false">MIN(1,I148*R148*K148)</f>
        <v>0.648</v>
      </c>
      <c r="T148" s="4" t="n">
        <f aca="false">T147*S148</f>
        <v>0.314928</v>
      </c>
      <c r="U148" s="4" t="str">
        <f aca="false">IF(E148=4,N148,"")</f>
        <v/>
      </c>
      <c r="V148" s="4" t="str">
        <f aca="false">IF(E148=4,Q148,"")</f>
        <v/>
      </c>
      <c r="W148" s="4" t="str">
        <f aca="false">IF(E148=4,T148,"")</f>
        <v/>
      </c>
      <c r="X148" s="4" t="str">
        <f aca="false">IF(E148=4,IFERROR((LN(U148)-LN(V148))/(LN(W148)-LN(V148)),0),"")</f>
        <v/>
      </c>
      <c r="Y148" s="3" t="str">
        <f aca="false">IF(E148=4,IF(X148&gt;='Settings '!$B$7,"Risk A",IF(X148&gt;='Settings '!$B$6,"Risk B","Risk C")),"")</f>
        <v/>
      </c>
      <c r="Z148" s="3" t="n">
        <f aca="false">IF(Y148="Risk B",1,0)</f>
        <v>0</v>
      </c>
      <c r="AA148" s="3" t="n">
        <f aca="false">IF(J148&gt;='Settings '!$B$10,1,0)</f>
        <v>0</v>
      </c>
      <c r="AB148" s="3" t="n">
        <f aca="false">IF(M148&gt;='Settings '!$B$11,1,0)</f>
        <v>0</v>
      </c>
      <c r="AC148" s="4" t="n">
        <f aca="false">ABS(M148-MIN(1,I148*J148*K148))</f>
        <v>0</v>
      </c>
    </row>
    <row r="149" customFormat="false" ht="14.25" hidden="false" customHeight="true" outlineLevel="0" collapsed="false">
      <c r="A149" s="3" t="s">
        <v>29</v>
      </c>
      <c r="B149" s="3" t="n">
        <v>37</v>
      </c>
      <c r="C149" s="3" t="s">
        <v>96</v>
      </c>
      <c r="D149" s="3" t="s">
        <v>43</v>
      </c>
      <c r="E149" s="3" t="n">
        <v>4</v>
      </c>
      <c r="F149" s="3" t="s">
        <v>44</v>
      </c>
      <c r="G149" s="3" t="s">
        <v>45</v>
      </c>
      <c r="H149" s="3" t="s">
        <v>46</v>
      </c>
      <c r="I149" s="4" t="n">
        <v>0.9</v>
      </c>
      <c r="J149" s="4" t="n">
        <v>0.1</v>
      </c>
      <c r="K149" s="4" t="n">
        <v>2</v>
      </c>
      <c r="L149" s="4" t="n">
        <f aca="false">I149*J149</f>
        <v>0.09</v>
      </c>
      <c r="M149" s="4" t="n">
        <f aca="false">MIN(1,I149*J149*K149)</f>
        <v>0.18</v>
      </c>
      <c r="N149" s="4" t="n">
        <f aca="false">N148*M149</f>
        <v>0.000463574016</v>
      </c>
      <c r="O149" s="4" t="n">
        <f aca="false">'Settings '!$B$8</f>
        <v>0.1</v>
      </c>
      <c r="P149" s="4" t="n">
        <f aca="false">MIN(1,I149*O149*K149)</f>
        <v>0.18</v>
      </c>
      <c r="Q149" s="4" t="n">
        <f aca="false">Q148*P149</f>
        <v>0.00010077696</v>
      </c>
      <c r="R149" s="4" t="n">
        <f aca="false">'Settings '!$B$9</f>
        <v>0.9</v>
      </c>
      <c r="S149" s="4" t="n">
        <f aca="false">MIN(1,I149*R149*K149)</f>
        <v>1</v>
      </c>
      <c r="T149" s="4" t="n">
        <f aca="false">T148*S149</f>
        <v>0.314928</v>
      </c>
      <c r="U149" s="4" t="n">
        <f aca="false">IF(E149=4,N149,"")</f>
        <v>0.000463574016</v>
      </c>
      <c r="V149" s="4" t="n">
        <f aca="false">IF(E149=4,Q149,"")</f>
        <v>0.00010077696</v>
      </c>
      <c r="W149" s="4" t="n">
        <f aca="false">IF(E149=4,T149,"")</f>
        <v>0.314928</v>
      </c>
      <c r="X149" s="4" t="n">
        <f aca="false">IF(E149=4,IFERROR((LN(U149)-LN(V149))/(LN(W149)-LN(V149)),0),"")</f>
        <v>0.189638418693276</v>
      </c>
      <c r="Y149" s="3" t="str">
        <f aca="false">IF(E149=4,IF(X149&gt;='Settings '!$B$7,"Risk A",IF(X149&gt;='Settings '!$B$6,"Risk B","Risk C")),"")</f>
        <v>Risk C</v>
      </c>
      <c r="Z149" s="3" t="n">
        <f aca="false">IF(Y149="Risk B",1,0)</f>
        <v>0</v>
      </c>
      <c r="AA149" s="3" t="n">
        <f aca="false">IF(J149&gt;='Settings '!$B$10,1,0)</f>
        <v>0</v>
      </c>
      <c r="AB149" s="3" t="n">
        <f aca="false">IF(M149&gt;='Settings '!$B$11,1,0)</f>
        <v>0</v>
      </c>
      <c r="AC149" s="4" t="n">
        <f aca="false">ABS(M149-MIN(1,I149*J149*K149))</f>
        <v>0</v>
      </c>
    </row>
    <row r="150" customFormat="false" ht="25.5" hidden="false" customHeight="true" outlineLevel="0" collapsed="false">
      <c r="A150" s="3" t="s">
        <v>29</v>
      </c>
      <c r="B150" s="3" t="n">
        <v>38</v>
      </c>
      <c r="C150" s="3" t="s">
        <v>97</v>
      </c>
      <c r="D150" s="3" t="s">
        <v>31</v>
      </c>
      <c r="E150" s="3" t="n">
        <v>1</v>
      </c>
      <c r="F150" s="3" t="s">
        <v>32</v>
      </c>
      <c r="G150" s="3" t="s">
        <v>33</v>
      </c>
      <c r="H150" s="3" t="s">
        <v>34</v>
      </c>
      <c r="I150" s="4" t="n">
        <v>0.72</v>
      </c>
      <c r="J150" s="4" t="n">
        <v>0.1</v>
      </c>
      <c r="K150" s="4" t="n">
        <v>2</v>
      </c>
      <c r="L150" s="4" t="n">
        <f aca="false">I150*J150</f>
        <v>0.072</v>
      </c>
      <c r="M150" s="4" t="n">
        <f aca="false">MIN(1,I150*J150*K150)</f>
        <v>0.144</v>
      </c>
      <c r="N150" s="4" t="n">
        <f aca="false">M150</f>
        <v>0.144</v>
      </c>
      <c r="O150" s="4" t="n">
        <f aca="false">'Settings '!$B$8</f>
        <v>0.1</v>
      </c>
      <c r="P150" s="4" t="n">
        <f aca="false">MIN(1,I150*O150*K150)</f>
        <v>0.144</v>
      </c>
      <c r="Q150" s="4" t="n">
        <f aca="false">P150</f>
        <v>0.144</v>
      </c>
      <c r="R150" s="4" t="n">
        <f aca="false">'Settings '!$B$9</f>
        <v>0.9</v>
      </c>
      <c r="S150" s="4" t="n">
        <f aca="false">MIN(1,I150*R150*K150)</f>
        <v>1</v>
      </c>
      <c r="T150" s="4" t="n">
        <f aca="false">S150</f>
        <v>1</v>
      </c>
      <c r="U150" s="4" t="str">
        <f aca="false">IF(E150=4,N150,"")</f>
        <v/>
      </c>
      <c r="V150" s="4" t="str">
        <f aca="false">IF(E150=4,Q150,"")</f>
        <v/>
      </c>
      <c r="W150" s="4" t="str">
        <f aca="false">IF(E150=4,T150,"")</f>
        <v/>
      </c>
      <c r="X150" s="4" t="str">
        <f aca="false">IF(E150=4,IFERROR((LN(U150)-LN(V150))/(LN(W150)-LN(V150)),0),"")</f>
        <v/>
      </c>
      <c r="Y150" s="3" t="str">
        <f aca="false">IF(E150=4,IF(X150&gt;='Settings '!$B$7,"Risk A",IF(X150&gt;='Settings '!$B$6,"Risk B","Risk C")),"")</f>
        <v/>
      </c>
      <c r="Z150" s="3" t="n">
        <f aca="false">IF(Y150="Risk B",1,0)</f>
        <v>0</v>
      </c>
      <c r="AA150" s="3" t="n">
        <f aca="false">IF(J150&gt;='Settings '!$B$10,1,0)</f>
        <v>0</v>
      </c>
      <c r="AB150" s="3" t="n">
        <f aca="false">IF(M150&gt;='Settings '!$B$11,1,0)</f>
        <v>0</v>
      </c>
      <c r="AC150" s="4" t="n">
        <f aca="false">ABS(M150-MIN(1,I150*J150*K150))</f>
        <v>0</v>
      </c>
    </row>
    <row r="151" customFormat="false" ht="14.25" hidden="false" customHeight="true" outlineLevel="0" collapsed="false">
      <c r="A151" s="3" t="s">
        <v>29</v>
      </c>
      <c r="B151" s="3" t="n">
        <v>38</v>
      </c>
      <c r="C151" s="3" t="s">
        <v>97</v>
      </c>
      <c r="D151" s="3" t="s">
        <v>35</v>
      </c>
      <c r="E151" s="3" t="n">
        <v>2</v>
      </c>
      <c r="F151" s="3" t="s">
        <v>91</v>
      </c>
      <c r="G151" s="3" t="s">
        <v>92</v>
      </c>
      <c r="H151" s="3" t="s">
        <v>38</v>
      </c>
      <c r="I151" s="4" t="n">
        <v>0.36</v>
      </c>
      <c r="J151" s="4" t="n">
        <v>0.46</v>
      </c>
      <c r="K151" s="4" t="n">
        <v>1.5</v>
      </c>
      <c r="L151" s="4" t="n">
        <f aca="false">I151*J151</f>
        <v>0.1656</v>
      </c>
      <c r="M151" s="4" t="n">
        <f aca="false">MIN(1,I151*J151*K151)</f>
        <v>0.2484</v>
      </c>
      <c r="N151" s="4" t="n">
        <f aca="false">N150*M151</f>
        <v>0.0357696</v>
      </c>
      <c r="O151" s="4" t="n">
        <f aca="false">'Settings '!$B$8</f>
        <v>0.1</v>
      </c>
      <c r="P151" s="4" t="n">
        <f aca="false">MIN(1,I151*O151*K151)</f>
        <v>0.054</v>
      </c>
      <c r="Q151" s="4" t="n">
        <f aca="false">Q150*P151</f>
        <v>0.007776</v>
      </c>
      <c r="R151" s="4" t="n">
        <f aca="false">'Settings '!$B$9</f>
        <v>0.9</v>
      </c>
      <c r="S151" s="4" t="n">
        <f aca="false">MIN(1,I151*R151*K151)</f>
        <v>0.486</v>
      </c>
      <c r="T151" s="4" t="n">
        <f aca="false">T150*S151</f>
        <v>0.486</v>
      </c>
      <c r="U151" s="4" t="str">
        <f aca="false">IF(E151=4,N151,"")</f>
        <v/>
      </c>
      <c r="V151" s="4" t="str">
        <f aca="false">IF(E151=4,Q151,"")</f>
        <v/>
      </c>
      <c r="W151" s="4" t="str">
        <f aca="false">IF(E151=4,T151,"")</f>
        <v/>
      </c>
      <c r="X151" s="4" t="str">
        <f aca="false">IF(E151=4,IFERROR((LN(U151)-LN(V151))/(LN(W151)-LN(V151)),0),"")</f>
        <v/>
      </c>
      <c r="Y151" s="3" t="str">
        <f aca="false">IF(E151=4,IF(X151&gt;='Settings '!$B$7,"Risk A",IF(X151&gt;='Settings '!$B$6,"Risk B","Risk C")),"")</f>
        <v/>
      </c>
      <c r="Z151" s="3" t="n">
        <f aca="false">IF(Y151="Risk B",1,0)</f>
        <v>0</v>
      </c>
      <c r="AA151" s="3" t="n">
        <f aca="false">IF(J151&gt;='Settings '!$B$10,1,0)</f>
        <v>1</v>
      </c>
      <c r="AB151" s="3" t="n">
        <f aca="false">IF(M151&gt;='Settings '!$B$11,1,0)</f>
        <v>0</v>
      </c>
      <c r="AC151" s="4" t="n">
        <f aca="false">ABS(M151-MIN(1,I151*J151*K151))</f>
        <v>0</v>
      </c>
    </row>
    <row r="152" customFormat="false" ht="14.25" hidden="false" customHeight="true" outlineLevel="0" collapsed="false">
      <c r="A152" s="3" t="s">
        <v>29</v>
      </c>
      <c r="B152" s="3" t="n">
        <v>38</v>
      </c>
      <c r="C152" s="3" t="s">
        <v>97</v>
      </c>
      <c r="D152" s="3" t="s">
        <v>39</v>
      </c>
      <c r="E152" s="3" t="n">
        <v>3</v>
      </c>
      <c r="F152" s="3" t="s">
        <v>57</v>
      </c>
      <c r="G152" s="3" t="s">
        <v>58</v>
      </c>
      <c r="H152" s="3" t="s">
        <v>42</v>
      </c>
      <c r="I152" s="4" t="n">
        <v>0.36</v>
      </c>
      <c r="J152" s="4" t="n">
        <v>0.1</v>
      </c>
      <c r="K152" s="4" t="n">
        <v>2</v>
      </c>
      <c r="L152" s="4" t="n">
        <f aca="false">I152*J152</f>
        <v>0.036</v>
      </c>
      <c r="M152" s="4" t="n">
        <f aca="false">MIN(1,I152*J152*K152)</f>
        <v>0.072</v>
      </c>
      <c r="N152" s="4" t="n">
        <f aca="false">N151*M152</f>
        <v>0.0025754112</v>
      </c>
      <c r="O152" s="4" t="n">
        <f aca="false">'Settings '!$B$8</f>
        <v>0.1</v>
      </c>
      <c r="P152" s="4" t="n">
        <f aca="false">MIN(1,I152*O152*K152)</f>
        <v>0.072</v>
      </c>
      <c r="Q152" s="4" t="n">
        <f aca="false">Q151*P152</f>
        <v>0.000559872</v>
      </c>
      <c r="R152" s="4" t="n">
        <f aca="false">'Settings '!$B$9</f>
        <v>0.9</v>
      </c>
      <c r="S152" s="4" t="n">
        <f aca="false">MIN(1,I152*R152*K152)</f>
        <v>0.648</v>
      </c>
      <c r="T152" s="4" t="n">
        <f aca="false">T151*S152</f>
        <v>0.314928</v>
      </c>
      <c r="U152" s="4" t="str">
        <f aca="false">IF(E152=4,N152,"")</f>
        <v/>
      </c>
      <c r="V152" s="4" t="str">
        <f aca="false">IF(E152=4,Q152,"")</f>
        <v/>
      </c>
      <c r="W152" s="4" t="str">
        <f aca="false">IF(E152=4,T152,"")</f>
        <v/>
      </c>
      <c r="X152" s="4" t="str">
        <f aca="false">IF(E152=4,IFERROR((LN(U152)-LN(V152))/(LN(W152)-LN(V152)),0),"")</f>
        <v/>
      </c>
      <c r="Y152" s="3" t="str">
        <f aca="false">IF(E152=4,IF(X152&gt;='Settings '!$B$7,"Risk A",IF(X152&gt;='Settings '!$B$6,"Risk B","Risk C")),"")</f>
        <v/>
      </c>
      <c r="Z152" s="3" t="n">
        <f aca="false">IF(Y152="Risk B",1,0)</f>
        <v>0</v>
      </c>
      <c r="AA152" s="3" t="n">
        <f aca="false">IF(J152&gt;='Settings '!$B$10,1,0)</f>
        <v>0</v>
      </c>
      <c r="AB152" s="3" t="n">
        <f aca="false">IF(M152&gt;='Settings '!$B$11,1,0)</f>
        <v>0</v>
      </c>
      <c r="AC152" s="4" t="n">
        <f aca="false">ABS(M152-MIN(1,I152*J152*K152))</f>
        <v>0</v>
      </c>
    </row>
    <row r="153" customFormat="false" ht="14.25" hidden="false" customHeight="true" outlineLevel="0" collapsed="false">
      <c r="A153" s="3" t="s">
        <v>29</v>
      </c>
      <c r="B153" s="3" t="n">
        <v>38</v>
      </c>
      <c r="C153" s="3" t="s">
        <v>97</v>
      </c>
      <c r="D153" s="3" t="s">
        <v>43</v>
      </c>
      <c r="E153" s="3" t="n">
        <v>4</v>
      </c>
      <c r="F153" s="3" t="s">
        <v>48</v>
      </c>
      <c r="G153" s="3" t="s">
        <v>49</v>
      </c>
      <c r="H153" s="3" t="s">
        <v>46</v>
      </c>
      <c r="I153" s="4" t="n">
        <v>0.72</v>
      </c>
      <c r="J153" s="4" t="n">
        <v>0.28</v>
      </c>
      <c r="K153" s="4" t="n">
        <v>2</v>
      </c>
      <c r="L153" s="4" t="n">
        <f aca="false">I153*J153</f>
        <v>0.2016</v>
      </c>
      <c r="M153" s="4" t="n">
        <f aca="false">MIN(1,I153*J153*K153)</f>
        <v>0.4032</v>
      </c>
      <c r="N153" s="4" t="n">
        <f aca="false">N152*M153</f>
        <v>0.00103840579584</v>
      </c>
      <c r="O153" s="4" t="n">
        <f aca="false">'Settings '!$B$8</f>
        <v>0.1</v>
      </c>
      <c r="P153" s="4" t="n">
        <f aca="false">MIN(1,I153*O153*K153)</f>
        <v>0.144</v>
      </c>
      <c r="Q153" s="4" t="n">
        <f aca="false">Q152*P153</f>
        <v>8.0621568E-005</v>
      </c>
      <c r="R153" s="4" t="n">
        <f aca="false">'Settings '!$B$9</f>
        <v>0.9</v>
      </c>
      <c r="S153" s="4" t="n">
        <f aca="false">MIN(1,I153*R153*K153)</f>
        <v>1</v>
      </c>
      <c r="T153" s="4" t="n">
        <f aca="false">T152*S153</f>
        <v>0.314928</v>
      </c>
      <c r="U153" s="4" t="n">
        <f aca="false">IF(E153=4,N153,"")</f>
        <v>0.00103840579584</v>
      </c>
      <c r="V153" s="4" t="n">
        <f aca="false">IF(E153=4,Q153,"")</f>
        <v>8.0621568E-005</v>
      </c>
      <c r="W153" s="4" t="n">
        <f aca="false">IF(E153=4,T153,"")</f>
        <v>0.314928</v>
      </c>
      <c r="X153" s="4" t="n">
        <f aca="false">IF(E153=4,IFERROR((LN(U153)-LN(V153))/(LN(W153)-LN(V153)),0),"")</f>
        <v>0.309017265158183</v>
      </c>
      <c r="Y153" s="3" t="str">
        <f aca="false">IF(E153=4,IF(X153&gt;='Settings '!$B$7,"Risk A",IF(X153&gt;='Settings '!$B$6,"Risk B","Risk C")),"")</f>
        <v>Risk C</v>
      </c>
      <c r="Z153" s="3" t="n">
        <f aca="false">IF(Y153="Risk B",1,0)</f>
        <v>0</v>
      </c>
      <c r="AA153" s="3" t="n">
        <f aca="false">IF(J153&gt;='Settings '!$B$10,1,0)</f>
        <v>1</v>
      </c>
      <c r="AB153" s="3" t="n">
        <f aca="false">IF(M153&gt;='Settings '!$B$11,1,0)</f>
        <v>1</v>
      </c>
      <c r="AC153" s="4" t="n">
        <f aca="false">ABS(M153-MIN(1,I153*J153*K153))</f>
        <v>0</v>
      </c>
    </row>
    <row r="154" customFormat="false" ht="25.5" hidden="false" customHeight="true" outlineLevel="0" collapsed="false">
      <c r="A154" s="3" t="s">
        <v>29</v>
      </c>
      <c r="B154" s="3" t="n">
        <v>39</v>
      </c>
      <c r="C154" s="3" t="s">
        <v>98</v>
      </c>
      <c r="D154" s="3" t="s">
        <v>31</v>
      </c>
      <c r="E154" s="3" t="n">
        <v>1</v>
      </c>
      <c r="F154" s="3" t="s">
        <v>32</v>
      </c>
      <c r="G154" s="3" t="s">
        <v>33</v>
      </c>
      <c r="H154" s="3" t="s">
        <v>34</v>
      </c>
      <c r="I154" s="4" t="n">
        <v>0.72</v>
      </c>
      <c r="J154" s="4" t="n">
        <v>0.1</v>
      </c>
      <c r="K154" s="4" t="n">
        <v>2</v>
      </c>
      <c r="L154" s="4" t="n">
        <f aca="false">I154*J154</f>
        <v>0.072</v>
      </c>
      <c r="M154" s="4" t="n">
        <f aca="false">MIN(1,I154*J154*K154)</f>
        <v>0.144</v>
      </c>
      <c r="N154" s="4" t="n">
        <f aca="false">M154</f>
        <v>0.144</v>
      </c>
      <c r="O154" s="4" t="n">
        <f aca="false">'Settings '!$B$8</f>
        <v>0.1</v>
      </c>
      <c r="P154" s="4" t="n">
        <f aca="false">MIN(1,I154*O154*K154)</f>
        <v>0.144</v>
      </c>
      <c r="Q154" s="4" t="n">
        <f aca="false">P154</f>
        <v>0.144</v>
      </c>
      <c r="R154" s="4" t="n">
        <f aca="false">'Settings '!$B$9</f>
        <v>0.9</v>
      </c>
      <c r="S154" s="4" t="n">
        <f aca="false">MIN(1,I154*R154*K154)</f>
        <v>1</v>
      </c>
      <c r="T154" s="4" t="n">
        <f aca="false">S154</f>
        <v>1</v>
      </c>
      <c r="U154" s="4" t="str">
        <f aca="false">IF(E154=4,N154,"")</f>
        <v/>
      </c>
      <c r="V154" s="4" t="str">
        <f aca="false">IF(E154=4,Q154,"")</f>
        <v/>
      </c>
      <c r="W154" s="4" t="str">
        <f aca="false">IF(E154=4,T154,"")</f>
        <v/>
      </c>
      <c r="X154" s="4" t="str">
        <f aca="false">IF(E154=4,IFERROR((LN(U154)-LN(V154))/(LN(W154)-LN(V154)),0),"")</f>
        <v/>
      </c>
      <c r="Y154" s="3" t="str">
        <f aca="false">IF(E154=4,IF(X154&gt;='Settings '!$B$7,"Risk A",IF(X154&gt;='Settings '!$B$6,"Risk B","Risk C")),"")</f>
        <v/>
      </c>
      <c r="Z154" s="3" t="n">
        <f aca="false">IF(Y154="Risk B",1,0)</f>
        <v>0</v>
      </c>
      <c r="AA154" s="3" t="n">
        <f aca="false">IF(J154&gt;='Settings '!$B$10,1,0)</f>
        <v>0</v>
      </c>
      <c r="AB154" s="3" t="n">
        <f aca="false">IF(M154&gt;='Settings '!$B$11,1,0)</f>
        <v>0</v>
      </c>
      <c r="AC154" s="4" t="n">
        <f aca="false">ABS(M154-MIN(1,I154*J154*K154))</f>
        <v>0</v>
      </c>
    </row>
    <row r="155" customFormat="false" ht="14.25" hidden="false" customHeight="true" outlineLevel="0" collapsed="false">
      <c r="A155" s="3" t="s">
        <v>29</v>
      </c>
      <c r="B155" s="3" t="n">
        <v>39</v>
      </c>
      <c r="C155" s="3" t="s">
        <v>98</v>
      </c>
      <c r="D155" s="3" t="s">
        <v>35</v>
      </c>
      <c r="E155" s="3" t="n">
        <v>2</v>
      </c>
      <c r="F155" s="3" t="s">
        <v>91</v>
      </c>
      <c r="G155" s="3" t="s">
        <v>92</v>
      </c>
      <c r="H155" s="3" t="s">
        <v>38</v>
      </c>
      <c r="I155" s="4" t="n">
        <v>0.36</v>
      </c>
      <c r="J155" s="4" t="n">
        <v>0.46</v>
      </c>
      <c r="K155" s="4" t="n">
        <v>1.5</v>
      </c>
      <c r="L155" s="4" t="n">
        <f aca="false">I155*J155</f>
        <v>0.1656</v>
      </c>
      <c r="M155" s="4" t="n">
        <f aca="false">MIN(1,I155*J155*K155)</f>
        <v>0.2484</v>
      </c>
      <c r="N155" s="4" t="n">
        <f aca="false">N154*M155</f>
        <v>0.0357696</v>
      </c>
      <c r="O155" s="4" t="n">
        <f aca="false">'Settings '!$B$8</f>
        <v>0.1</v>
      </c>
      <c r="P155" s="4" t="n">
        <f aca="false">MIN(1,I155*O155*K155)</f>
        <v>0.054</v>
      </c>
      <c r="Q155" s="4" t="n">
        <f aca="false">Q154*P155</f>
        <v>0.007776</v>
      </c>
      <c r="R155" s="4" t="n">
        <f aca="false">'Settings '!$B$9</f>
        <v>0.9</v>
      </c>
      <c r="S155" s="4" t="n">
        <f aca="false">MIN(1,I155*R155*K155)</f>
        <v>0.486</v>
      </c>
      <c r="T155" s="4" t="n">
        <f aca="false">T154*S155</f>
        <v>0.486</v>
      </c>
      <c r="U155" s="4" t="str">
        <f aca="false">IF(E155=4,N155,"")</f>
        <v/>
      </c>
      <c r="V155" s="4" t="str">
        <f aca="false">IF(E155=4,Q155,"")</f>
        <v/>
      </c>
      <c r="W155" s="4" t="str">
        <f aca="false">IF(E155=4,T155,"")</f>
        <v/>
      </c>
      <c r="X155" s="4" t="str">
        <f aca="false">IF(E155=4,IFERROR((LN(U155)-LN(V155))/(LN(W155)-LN(V155)),0),"")</f>
        <v/>
      </c>
      <c r="Y155" s="3" t="str">
        <f aca="false">IF(E155=4,IF(X155&gt;='Settings '!$B$7,"Risk A",IF(X155&gt;='Settings '!$B$6,"Risk B","Risk C")),"")</f>
        <v/>
      </c>
      <c r="Z155" s="3" t="n">
        <f aca="false">IF(Y155="Risk B",1,0)</f>
        <v>0</v>
      </c>
      <c r="AA155" s="3" t="n">
        <f aca="false">IF(J155&gt;='Settings '!$B$10,1,0)</f>
        <v>1</v>
      </c>
      <c r="AB155" s="3" t="n">
        <f aca="false">IF(M155&gt;='Settings '!$B$11,1,0)</f>
        <v>0</v>
      </c>
      <c r="AC155" s="4" t="n">
        <f aca="false">ABS(M155-MIN(1,I155*J155*K155))</f>
        <v>0</v>
      </c>
    </row>
    <row r="156" customFormat="false" ht="14.25" hidden="false" customHeight="true" outlineLevel="0" collapsed="false">
      <c r="A156" s="3" t="s">
        <v>29</v>
      </c>
      <c r="B156" s="3" t="n">
        <v>39</v>
      </c>
      <c r="C156" s="3" t="s">
        <v>98</v>
      </c>
      <c r="D156" s="3" t="s">
        <v>39</v>
      </c>
      <c r="E156" s="3" t="n">
        <v>3</v>
      </c>
      <c r="F156" s="3" t="s">
        <v>57</v>
      </c>
      <c r="G156" s="3" t="s">
        <v>58</v>
      </c>
      <c r="H156" s="3" t="s">
        <v>42</v>
      </c>
      <c r="I156" s="4" t="n">
        <v>0.36</v>
      </c>
      <c r="J156" s="4" t="n">
        <v>0.1</v>
      </c>
      <c r="K156" s="4" t="n">
        <v>2</v>
      </c>
      <c r="L156" s="4" t="n">
        <f aca="false">I156*J156</f>
        <v>0.036</v>
      </c>
      <c r="M156" s="4" t="n">
        <f aca="false">MIN(1,I156*J156*K156)</f>
        <v>0.072</v>
      </c>
      <c r="N156" s="4" t="n">
        <f aca="false">N155*M156</f>
        <v>0.0025754112</v>
      </c>
      <c r="O156" s="4" t="n">
        <f aca="false">'Settings '!$B$8</f>
        <v>0.1</v>
      </c>
      <c r="P156" s="4" t="n">
        <f aca="false">MIN(1,I156*O156*K156)</f>
        <v>0.072</v>
      </c>
      <c r="Q156" s="4" t="n">
        <f aca="false">Q155*P156</f>
        <v>0.000559872</v>
      </c>
      <c r="R156" s="4" t="n">
        <f aca="false">'Settings '!$B$9</f>
        <v>0.9</v>
      </c>
      <c r="S156" s="4" t="n">
        <f aca="false">MIN(1,I156*R156*K156)</f>
        <v>0.648</v>
      </c>
      <c r="T156" s="4" t="n">
        <f aca="false">T155*S156</f>
        <v>0.314928</v>
      </c>
      <c r="U156" s="4" t="str">
        <f aca="false">IF(E156=4,N156,"")</f>
        <v/>
      </c>
      <c r="V156" s="4" t="str">
        <f aca="false">IF(E156=4,Q156,"")</f>
        <v/>
      </c>
      <c r="W156" s="4" t="str">
        <f aca="false">IF(E156=4,T156,"")</f>
        <v/>
      </c>
      <c r="X156" s="4" t="str">
        <f aca="false">IF(E156=4,IFERROR((LN(U156)-LN(V156))/(LN(W156)-LN(V156)),0),"")</f>
        <v/>
      </c>
      <c r="Y156" s="3" t="str">
        <f aca="false">IF(E156=4,IF(X156&gt;='Settings '!$B$7,"Risk A",IF(X156&gt;='Settings '!$B$6,"Risk B","Risk C")),"")</f>
        <v/>
      </c>
      <c r="Z156" s="3" t="n">
        <f aca="false">IF(Y156="Risk B",1,0)</f>
        <v>0</v>
      </c>
      <c r="AA156" s="3" t="n">
        <f aca="false">IF(J156&gt;='Settings '!$B$10,1,0)</f>
        <v>0</v>
      </c>
      <c r="AB156" s="3" t="n">
        <f aca="false">IF(M156&gt;='Settings '!$B$11,1,0)</f>
        <v>0</v>
      </c>
      <c r="AC156" s="4" t="n">
        <f aca="false">ABS(M156-MIN(1,I156*J156*K156))</f>
        <v>0</v>
      </c>
    </row>
    <row r="157" customFormat="false" ht="14.25" hidden="false" customHeight="true" outlineLevel="0" collapsed="false">
      <c r="A157" s="3" t="s">
        <v>29</v>
      </c>
      <c r="B157" s="3" t="n">
        <v>39</v>
      </c>
      <c r="C157" s="3" t="s">
        <v>98</v>
      </c>
      <c r="D157" s="3" t="s">
        <v>43</v>
      </c>
      <c r="E157" s="3" t="n">
        <v>4</v>
      </c>
      <c r="F157" s="3" t="s">
        <v>51</v>
      </c>
      <c r="G157" s="3" t="s">
        <v>52</v>
      </c>
      <c r="H157" s="3" t="s">
        <v>46</v>
      </c>
      <c r="I157" s="4" t="n">
        <v>0.18</v>
      </c>
      <c r="J157" s="4" t="n">
        <v>0.28</v>
      </c>
      <c r="K157" s="4" t="n">
        <v>2</v>
      </c>
      <c r="L157" s="4" t="n">
        <f aca="false">I157*J157</f>
        <v>0.0504</v>
      </c>
      <c r="M157" s="4" t="n">
        <f aca="false">MIN(1,I157*J157*K157)</f>
        <v>0.1008</v>
      </c>
      <c r="N157" s="4" t="n">
        <f aca="false">N156*M157</f>
        <v>0.00025960144896</v>
      </c>
      <c r="O157" s="4" t="n">
        <f aca="false">'Settings '!$B$8</f>
        <v>0.1</v>
      </c>
      <c r="P157" s="4" t="n">
        <f aca="false">MIN(1,I157*O157*K157)</f>
        <v>0.036</v>
      </c>
      <c r="Q157" s="4" t="n">
        <f aca="false">Q156*P157</f>
        <v>2.0155392E-005</v>
      </c>
      <c r="R157" s="4" t="n">
        <f aca="false">'Settings '!$B$9</f>
        <v>0.9</v>
      </c>
      <c r="S157" s="4" t="n">
        <f aca="false">MIN(1,I157*R157*K157)</f>
        <v>0.324</v>
      </c>
      <c r="T157" s="4" t="n">
        <f aca="false">T156*S157</f>
        <v>0.102036672</v>
      </c>
      <c r="U157" s="4" t="n">
        <f aca="false">IF(E157=4,N157,"")</f>
        <v>0.00025960144896</v>
      </c>
      <c r="V157" s="4" t="n">
        <f aca="false">IF(E157=4,Q157,"")</f>
        <v>2.0155392E-005</v>
      </c>
      <c r="W157" s="4" t="n">
        <f aca="false">IF(E157=4,T157,"")</f>
        <v>0.102036672</v>
      </c>
      <c r="X157" s="4" t="n">
        <f aca="false">IF(E157=4,IFERROR((LN(U157)-LN(V157))/(LN(W157)-LN(V157)),0),"")</f>
        <v>0.29962378225974</v>
      </c>
      <c r="Y157" s="3" t="str">
        <f aca="false">IF(E157=4,IF(X157&gt;='Settings '!$B$7,"Risk A",IF(X157&gt;='Settings '!$B$6,"Risk B","Risk C")),"")</f>
        <v>Risk C</v>
      </c>
      <c r="Z157" s="3" t="n">
        <f aca="false">IF(Y157="Risk B",1,0)</f>
        <v>0</v>
      </c>
      <c r="AA157" s="3" t="n">
        <f aca="false">IF(J157&gt;='Settings '!$B$10,1,0)</f>
        <v>1</v>
      </c>
      <c r="AB157" s="3" t="n">
        <f aca="false">IF(M157&gt;='Settings '!$B$11,1,0)</f>
        <v>0</v>
      </c>
      <c r="AC157" s="4" t="n">
        <f aca="false">ABS(M157-MIN(1,I157*J157*K157))</f>
        <v>0</v>
      </c>
    </row>
    <row r="158" customFormat="false" ht="25.5" hidden="false" customHeight="true" outlineLevel="0" collapsed="false">
      <c r="A158" s="3" t="s">
        <v>29</v>
      </c>
      <c r="B158" s="3" t="n">
        <v>40</v>
      </c>
      <c r="C158" s="3" t="s">
        <v>99</v>
      </c>
      <c r="D158" s="3" t="s">
        <v>31</v>
      </c>
      <c r="E158" s="3" t="n">
        <v>1</v>
      </c>
      <c r="F158" s="3" t="s">
        <v>32</v>
      </c>
      <c r="G158" s="3" t="s">
        <v>33</v>
      </c>
      <c r="H158" s="3" t="s">
        <v>34</v>
      </c>
      <c r="I158" s="4" t="n">
        <v>0.72</v>
      </c>
      <c r="J158" s="4" t="n">
        <v>0.1</v>
      </c>
      <c r="K158" s="4" t="n">
        <v>2</v>
      </c>
      <c r="L158" s="4" t="n">
        <f aca="false">I158*J158</f>
        <v>0.072</v>
      </c>
      <c r="M158" s="4" t="n">
        <f aca="false">MIN(1,I158*J158*K158)</f>
        <v>0.144</v>
      </c>
      <c r="N158" s="4" t="n">
        <f aca="false">M158</f>
        <v>0.144</v>
      </c>
      <c r="O158" s="4" t="n">
        <f aca="false">'Settings '!$B$8</f>
        <v>0.1</v>
      </c>
      <c r="P158" s="4" t="n">
        <f aca="false">MIN(1,I158*O158*K158)</f>
        <v>0.144</v>
      </c>
      <c r="Q158" s="4" t="n">
        <f aca="false">P158</f>
        <v>0.144</v>
      </c>
      <c r="R158" s="4" t="n">
        <f aca="false">'Settings '!$B$9</f>
        <v>0.9</v>
      </c>
      <c r="S158" s="4" t="n">
        <f aca="false">MIN(1,I158*R158*K158)</f>
        <v>1</v>
      </c>
      <c r="T158" s="4" t="n">
        <f aca="false">S158</f>
        <v>1</v>
      </c>
      <c r="U158" s="4" t="str">
        <f aca="false">IF(E158=4,N158,"")</f>
        <v/>
      </c>
      <c r="V158" s="4" t="str">
        <f aca="false">IF(E158=4,Q158,"")</f>
        <v/>
      </c>
      <c r="W158" s="4" t="str">
        <f aca="false">IF(E158=4,T158,"")</f>
        <v/>
      </c>
      <c r="X158" s="4" t="str">
        <f aca="false">IF(E158=4,IFERROR((LN(U158)-LN(V158))/(LN(W158)-LN(V158)),0),"")</f>
        <v/>
      </c>
      <c r="Y158" s="3" t="str">
        <f aca="false">IF(E158=4,IF(X158&gt;='Settings '!$B$7,"Risk A",IF(X158&gt;='Settings '!$B$6,"Risk B","Risk C")),"")</f>
        <v/>
      </c>
      <c r="Z158" s="3" t="n">
        <f aca="false">IF(Y158="Risk B",1,0)</f>
        <v>0</v>
      </c>
      <c r="AA158" s="3" t="n">
        <f aca="false">IF(J158&gt;='Settings '!$B$10,1,0)</f>
        <v>0</v>
      </c>
      <c r="AB158" s="3" t="n">
        <f aca="false">IF(M158&gt;='Settings '!$B$11,1,0)</f>
        <v>0</v>
      </c>
      <c r="AC158" s="4" t="n">
        <f aca="false">ABS(M158-MIN(1,I158*J158*K158))</f>
        <v>0</v>
      </c>
    </row>
    <row r="159" customFormat="false" ht="14.25" hidden="false" customHeight="true" outlineLevel="0" collapsed="false">
      <c r="A159" s="3" t="s">
        <v>29</v>
      </c>
      <c r="B159" s="3" t="n">
        <v>40</v>
      </c>
      <c r="C159" s="3" t="s">
        <v>99</v>
      </c>
      <c r="D159" s="3" t="s">
        <v>35</v>
      </c>
      <c r="E159" s="3" t="n">
        <v>2</v>
      </c>
      <c r="F159" s="3" t="s">
        <v>91</v>
      </c>
      <c r="G159" s="3" t="s">
        <v>92</v>
      </c>
      <c r="H159" s="3" t="s">
        <v>38</v>
      </c>
      <c r="I159" s="4" t="n">
        <v>0.36</v>
      </c>
      <c r="J159" s="4" t="n">
        <v>0.46</v>
      </c>
      <c r="K159" s="4" t="n">
        <v>1.5</v>
      </c>
      <c r="L159" s="4" t="n">
        <f aca="false">I159*J159</f>
        <v>0.1656</v>
      </c>
      <c r="M159" s="4" t="n">
        <f aca="false">MIN(1,I159*J159*K159)</f>
        <v>0.2484</v>
      </c>
      <c r="N159" s="4" t="n">
        <f aca="false">N158*M159</f>
        <v>0.0357696</v>
      </c>
      <c r="O159" s="4" t="n">
        <f aca="false">'Settings '!$B$8</f>
        <v>0.1</v>
      </c>
      <c r="P159" s="4" t="n">
        <f aca="false">MIN(1,I159*O159*K159)</f>
        <v>0.054</v>
      </c>
      <c r="Q159" s="4" t="n">
        <f aca="false">Q158*P159</f>
        <v>0.007776</v>
      </c>
      <c r="R159" s="4" t="n">
        <f aca="false">'Settings '!$B$9</f>
        <v>0.9</v>
      </c>
      <c r="S159" s="4" t="n">
        <f aca="false">MIN(1,I159*R159*K159)</f>
        <v>0.486</v>
      </c>
      <c r="T159" s="4" t="n">
        <f aca="false">T158*S159</f>
        <v>0.486</v>
      </c>
      <c r="U159" s="4" t="str">
        <f aca="false">IF(E159=4,N159,"")</f>
        <v/>
      </c>
      <c r="V159" s="4" t="str">
        <f aca="false">IF(E159=4,Q159,"")</f>
        <v/>
      </c>
      <c r="W159" s="4" t="str">
        <f aca="false">IF(E159=4,T159,"")</f>
        <v/>
      </c>
      <c r="X159" s="4" t="str">
        <f aca="false">IF(E159=4,IFERROR((LN(U159)-LN(V159))/(LN(W159)-LN(V159)),0),"")</f>
        <v/>
      </c>
      <c r="Y159" s="3" t="str">
        <f aca="false">IF(E159=4,IF(X159&gt;='Settings '!$B$7,"Risk A",IF(X159&gt;='Settings '!$B$6,"Risk B","Risk C")),"")</f>
        <v/>
      </c>
      <c r="Z159" s="3" t="n">
        <f aca="false">IF(Y159="Risk B",1,0)</f>
        <v>0</v>
      </c>
      <c r="AA159" s="3" t="n">
        <f aca="false">IF(J159&gt;='Settings '!$B$10,1,0)</f>
        <v>1</v>
      </c>
      <c r="AB159" s="3" t="n">
        <f aca="false">IF(M159&gt;='Settings '!$B$11,1,0)</f>
        <v>0</v>
      </c>
      <c r="AC159" s="4" t="n">
        <f aca="false">ABS(M159-MIN(1,I159*J159*K159))</f>
        <v>0</v>
      </c>
    </row>
    <row r="160" customFormat="false" ht="14.25" hidden="false" customHeight="true" outlineLevel="0" collapsed="false">
      <c r="A160" s="3" t="s">
        <v>29</v>
      </c>
      <c r="B160" s="3" t="n">
        <v>40</v>
      </c>
      <c r="C160" s="3" t="s">
        <v>99</v>
      </c>
      <c r="D160" s="3" t="s">
        <v>39</v>
      </c>
      <c r="E160" s="3" t="n">
        <v>3</v>
      </c>
      <c r="F160" s="3" t="s">
        <v>57</v>
      </c>
      <c r="G160" s="3" t="s">
        <v>58</v>
      </c>
      <c r="H160" s="3" t="s">
        <v>42</v>
      </c>
      <c r="I160" s="4" t="n">
        <v>0.36</v>
      </c>
      <c r="J160" s="4" t="n">
        <v>0.1</v>
      </c>
      <c r="K160" s="4" t="n">
        <v>2</v>
      </c>
      <c r="L160" s="4" t="n">
        <f aca="false">I160*J160</f>
        <v>0.036</v>
      </c>
      <c r="M160" s="4" t="n">
        <f aca="false">MIN(1,I160*J160*K160)</f>
        <v>0.072</v>
      </c>
      <c r="N160" s="4" t="n">
        <f aca="false">N159*M160</f>
        <v>0.0025754112</v>
      </c>
      <c r="O160" s="4" t="n">
        <f aca="false">'Settings '!$B$8</f>
        <v>0.1</v>
      </c>
      <c r="P160" s="4" t="n">
        <f aca="false">MIN(1,I160*O160*K160)</f>
        <v>0.072</v>
      </c>
      <c r="Q160" s="4" t="n">
        <f aca="false">Q159*P160</f>
        <v>0.000559872</v>
      </c>
      <c r="R160" s="4" t="n">
        <f aca="false">'Settings '!$B$9</f>
        <v>0.9</v>
      </c>
      <c r="S160" s="4" t="n">
        <f aca="false">MIN(1,I160*R160*K160)</f>
        <v>0.648</v>
      </c>
      <c r="T160" s="4" t="n">
        <f aca="false">T159*S160</f>
        <v>0.314928</v>
      </c>
      <c r="U160" s="4" t="str">
        <f aca="false">IF(E160=4,N160,"")</f>
        <v/>
      </c>
      <c r="V160" s="4" t="str">
        <f aca="false">IF(E160=4,Q160,"")</f>
        <v/>
      </c>
      <c r="W160" s="4" t="str">
        <f aca="false">IF(E160=4,T160,"")</f>
        <v/>
      </c>
      <c r="X160" s="4" t="str">
        <f aca="false">IF(E160=4,IFERROR((LN(U160)-LN(V160))/(LN(W160)-LN(V160)),0),"")</f>
        <v/>
      </c>
      <c r="Y160" s="3" t="str">
        <f aca="false">IF(E160=4,IF(X160&gt;='Settings '!$B$7,"Risk A",IF(X160&gt;='Settings '!$B$6,"Risk B","Risk C")),"")</f>
        <v/>
      </c>
      <c r="Z160" s="3" t="n">
        <f aca="false">IF(Y160="Risk B",1,0)</f>
        <v>0</v>
      </c>
      <c r="AA160" s="3" t="n">
        <f aca="false">IF(J160&gt;='Settings '!$B$10,1,0)</f>
        <v>0</v>
      </c>
      <c r="AB160" s="3" t="n">
        <f aca="false">IF(M160&gt;='Settings '!$B$11,1,0)</f>
        <v>0</v>
      </c>
      <c r="AC160" s="4" t="n">
        <f aca="false">ABS(M160-MIN(1,I160*J160*K160))</f>
        <v>0</v>
      </c>
    </row>
    <row r="161" customFormat="false" ht="14.25" hidden="false" customHeight="true" outlineLevel="0" collapsed="false">
      <c r="A161" s="3" t="s">
        <v>29</v>
      </c>
      <c r="B161" s="3" t="n">
        <v>40</v>
      </c>
      <c r="C161" s="3" t="s">
        <v>99</v>
      </c>
      <c r="D161" s="3" t="s">
        <v>43</v>
      </c>
      <c r="E161" s="3" t="n">
        <v>4</v>
      </c>
      <c r="F161" s="3" t="s">
        <v>54</v>
      </c>
      <c r="G161" s="3" t="s">
        <v>55</v>
      </c>
      <c r="H161" s="3" t="s">
        <v>46</v>
      </c>
      <c r="I161" s="4" t="n">
        <v>0.18</v>
      </c>
      <c r="J161" s="4" t="n">
        <v>0.28</v>
      </c>
      <c r="K161" s="4" t="n">
        <v>2</v>
      </c>
      <c r="L161" s="4" t="n">
        <f aca="false">I161*J161</f>
        <v>0.0504</v>
      </c>
      <c r="M161" s="4" t="n">
        <f aca="false">MIN(1,I161*J161*K161)</f>
        <v>0.1008</v>
      </c>
      <c r="N161" s="4" t="n">
        <f aca="false">N160*M161</f>
        <v>0.00025960144896</v>
      </c>
      <c r="O161" s="4" t="n">
        <f aca="false">'Settings '!$B$8</f>
        <v>0.1</v>
      </c>
      <c r="P161" s="4" t="n">
        <f aca="false">MIN(1,I161*O161*K161)</f>
        <v>0.036</v>
      </c>
      <c r="Q161" s="4" t="n">
        <f aca="false">Q160*P161</f>
        <v>2.0155392E-005</v>
      </c>
      <c r="R161" s="4" t="n">
        <f aca="false">'Settings '!$B$9</f>
        <v>0.9</v>
      </c>
      <c r="S161" s="4" t="n">
        <f aca="false">MIN(1,I161*R161*K161)</f>
        <v>0.324</v>
      </c>
      <c r="T161" s="4" t="n">
        <f aca="false">T160*S161</f>
        <v>0.102036672</v>
      </c>
      <c r="U161" s="4" t="n">
        <f aca="false">IF(E161=4,N161,"")</f>
        <v>0.00025960144896</v>
      </c>
      <c r="V161" s="4" t="n">
        <f aca="false">IF(E161=4,Q161,"")</f>
        <v>2.0155392E-005</v>
      </c>
      <c r="W161" s="4" t="n">
        <f aca="false">IF(E161=4,T161,"")</f>
        <v>0.102036672</v>
      </c>
      <c r="X161" s="4" t="n">
        <f aca="false">IF(E161=4,IFERROR((LN(U161)-LN(V161))/(LN(W161)-LN(V161)),0),"")</f>
        <v>0.29962378225974</v>
      </c>
      <c r="Y161" s="3" t="str">
        <f aca="false">IF(E161=4,IF(X161&gt;='Settings '!$B$7,"Risk A",IF(X161&gt;='Settings '!$B$6,"Risk B","Risk C")),"")</f>
        <v>Risk C</v>
      </c>
      <c r="Z161" s="3" t="n">
        <f aca="false">IF(Y161="Risk B",1,0)</f>
        <v>0</v>
      </c>
      <c r="AA161" s="3" t="n">
        <f aca="false">IF(J161&gt;='Settings '!$B$10,1,0)</f>
        <v>1</v>
      </c>
      <c r="AB161" s="3" t="n">
        <f aca="false">IF(M161&gt;='Settings '!$B$11,1,0)</f>
        <v>0</v>
      </c>
      <c r="AC161" s="4" t="n">
        <f aca="false">ABS(M161-MIN(1,I161*J161*K161))</f>
        <v>0</v>
      </c>
    </row>
    <row r="162" customFormat="false" ht="25.5" hidden="false" customHeight="true" outlineLevel="0" collapsed="false">
      <c r="A162" s="3" t="s">
        <v>29</v>
      </c>
      <c r="B162" s="3" t="n">
        <v>41</v>
      </c>
      <c r="C162" s="3" t="s">
        <v>100</v>
      </c>
      <c r="D162" s="3" t="s">
        <v>31</v>
      </c>
      <c r="E162" s="3" t="n">
        <v>1</v>
      </c>
      <c r="F162" s="3" t="s">
        <v>32</v>
      </c>
      <c r="G162" s="3" t="s">
        <v>33</v>
      </c>
      <c r="H162" s="3" t="s">
        <v>34</v>
      </c>
      <c r="I162" s="4" t="n">
        <v>0.72</v>
      </c>
      <c r="J162" s="4" t="n">
        <v>0.1</v>
      </c>
      <c r="K162" s="4" t="n">
        <v>2</v>
      </c>
      <c r="L162" s="4" t="n">
        <f aca="false">I162*J162</f>
        <v>0.072</v>
      </c>
      <c r="M162" s="4" t="n">
        <f aca="false">MIN(1,I162*J162*K162)</f>
        <v>0.144</v>
      </c>
      <c r="N162" s="4" t="n">
        <f aca="false">M162</f>
        <v>0.144</v>
      </c>
      <c r="O162" s="4" t="n">
        <f aca="false">'Settings '!$B$8</f>
        <v>0.1</v>
      </c>
      <c r="P162" s="4" t="n">
        <f aca="false">MIN(1,I162*O162*K162)</f>
        <v>0.144</v>
      </c>
      <c r="Q162" s="4" t="n">
        <f aca="false">P162</f>
        <v>0.144</v>
      </c>
      <c r="R162" s="4" t="n">
        <f aca="false">'Settings '!$B$9</f>
        <v>0.9</v>
      </c>
      <c r="S162" s="4" t="n">
        <f aca="false">MIN(1,I162*R162*K162)</f>
        <v>1</v>
      </c>
      <c r="T162" s="4" t="n">
        <f aca="false">S162</f>
        <v>1</v>
      </c>
      <c r="U162" s="4" t="str">
        <f aca="false">IF(E162=4,N162,"")</f>
        <v/>
      </c>
      <c r="V162" s="4" t="str">
        <f aca="false">IF(E162=4,Q162,"")</f>
        <v/>
      </c>
      <c r="W162" s="4" t="str">
        <f aca="false">IF(E162=4,T162,"")</f>
        <v/>
      </c>
      <c r="X162" s="4" t="str">
        <f aca="false">IF(E162=4,IFERROR((LN(U162)-LN(V162))/(LN(W162)-LN(V162)),0),"")</f>
        <v/>
      </c>
      <c r="Y162" s="3" t="str">
        <f aca="false">IF(E162=4,IF(X162&gt;='Settings '!$B$7,"Risk A",IF(X162&gt;='Settings '!$B$6,"Risk B","Risk C")),"")</f>
        <v/>
      </c>
      <c r="Z162" s="3" t="n">
        <f aca="false">IF(Y162="Risk B",1,0)</f>
        <v>0</v>
      </c>
      <c r="AA162" s="3" t="n">
        <f aca="false">IF(J162&gt;='Settings '!$B$10,1,0)</f>
        <v>0</v>
      </c>
      <c r="AB162" s="3" t="n">
        <f aca="false">IF(M162&gt;='Settings '!$B$11,1,0)</f>
        <v>0</v>
      </c>
      <c r="AC162" s="4" t="n">
        <f aca="false">ABS(M162-MIN(1,I162*J162*K162))</f>
        <v>0</v>
      </c>
    </row>
    <row r="163" customFormat="false" ht="14.25" hidden="false" customHeight="true" outlineLevel="0" collapsed="false">
      <c r="A163" s="3" t="s">
        <v>29</v>
      </c>
      <c r="B163" s="3" t="n">
        <v>41</v>
      </c>
      <c r="C163" s="3" t="s">
        <v>100</v>
      </c>
      <c r="D163" s="3" t="s">
        <v>35</v>
      </c>
      <c r="E163" s="3" t="n">
        <v>2</v>
      </c>
      <c r="F163" s="3" t="s">
        <v>91</v>
      </c>
      <c r="G163" s="3" t="s">
        <v>92</v>
      </c>
      <c r="H163" s="3" t="s">
        <v>38</v>
      </c>
      <c r="I163" s="4" t="n">
        <v>0.36</v>
      </c>
      <c r="J163" s="4" t="n">
        <v>0.46</v>
      </c>
      <c r="K163" s="4" t="n">
        <v>1.5</v>
      </c>
      <c r="L163" s="4" t="n">
        <f aca="false">I163*J163</f>
        <v>0.1656</v>
      </c>
      <c r="M163" s="4" t="n">
        <f aca="false">MIN(1,I163*J163*K163)</f>
        <v>0.2484</v>
      </c>
      <c r="N163" s="4" t="n">
        <f aca="false">N162*M163</f>
        <v>0.0357696</v>
      </c>
      <c r="O163" s="4" t="n">
        <f aca="false">'Settings '!$B$8</f>
        <v>0.1</v>
      </c>
      <c r="P163" s="4" t="n">
        <f aca="false">MIN(1,I163*O163*K163)</f>
        <v>0.054</v>
      </c>
      <c r="Q163" s="4" t="n">
        <f aca="false">Q162*P163</f>
        <v>0.007776</v>
      </c>
      <c r="R163" s="4" t="n">
        <f aca="false">'Settings '!$B$9</f>
        <v>0.9</v>
      </c>
      <c r="S163" s="4" t="n">
        <f aca="false">MIN(1,I163*R163*K163)</f>
        <v>0.486</v>
      </c>
      <c r="T163" s="4" t="n">
        <f aca="false">T162*S163</f>
        <v>0.486</v>
      </c>
      <c r="U163" s="4" t="str">
        <f aca="false">IF(E163=4,N163,"")</f>
        <v/>
      </c>
      <c r="V163" s="4" t="str">
        <f aca="false">IF(E163=4,Q163,"")</f>
        <v/>
      </c>
      <c r="W163" s="4" t="str">
        <f aca="false">IF(E163=4,T163,"")</f>
        <v/>
      </c>
      <c r="X163" s="4" t="str">
        <f aca="false">IF(E163=4,IFERROR((LN(U163)-LN(V163))/(LN(W163)-LN(V163)),0),"")</f>
        <v/>
      </c>
      <c r="Y163" s="3" t="str">
        <f aca="false">IF(E163=4,IF(X163&gt;='Settings '!$B$7,"Risk A",IF(X163&gt;='Settings '!$B$6,"Risk B","Risk C")),"")</f>
        <v/>
      </c>
      <c r="Z163" s="3" t="n">
        <f aca="false">IF(Y163="Risk B",1,0)</f>
        <v>0</v>
      </c>
      <c r="AA163" s="3" t="n">
        <f aca="false">IF(J163&gt;='Settings '!$B$10,1,0)</f>
        <v>1</v>
      </c>
      <c r="AB163" s="3" t="n">
        <f aca="false">IF(M163&gt;='Settings '!$B$11,1,0)</f>
        <v>0</v>
      </c>
      <c r="AC163" s="4" t="n">
        <f aca="false">ABS(M163-MIN(1,I163*J163*K163))</f>
        <v>0</v>
      </c>
    </row>
    <row r="164" customFormat="false" ht="14.25" hidden="false" customHeight="true" outlineLevel="0" collapsed="false">
      <c r="A164" s="3" t="s">
        <v>29</v>
      </c>
      <c r="B164" s="3" t="n">
        <v>41</v>
      </c>
      <c r="C164" s="3" t="s">
        <v>100</v>
      </c>
      <c r="D164" s="3" t="s">
        <v>39</v>
      </c>
      <c r="E164" s="3" t="n">
        <v>3</v>
      </c>
      <c r="F164" s="3" t="s">
        <v>63</v>
      </c>
      <c r="G164" s="3" t="s">
        <v>64</v>
      </c>
      <c r="H164" s="3" t="s">
        <v>42</v>
      </c>
      <c r="I164" s="4" t="n">
        <v>0.36</v>
      </c>
      <c r="J164" s="4" t="n">
        <v>0.1</v>
      </c>
      <c r="K164" s="4" t="n">
        <v>2</v>
      </c>
      <c r="L164" s="4" t="n">
        <f aca="false">I164*J164</f>
        <v>0.036</v>
      </c>
      <c r="M164" s="4" t="n">
        <f aca="false">MIN(1,I164*J164*K164)</f>
        <v>0.072</v>
      </c>
      <c r="N164" s="4" t="n">
        <f aca="false">N163*M164</f>
        <v>0.0025754112</v>
      </c>
      <c r="O164" s="4" t="n">
        <f aca="false">'Settings '!$B$8</f>
        <v>0.1</v>
      </c>
      <c r="P164" s="4" t="n">
        <f aca="false">MIN(1,I164*O164*K164)</f>
        <v>0.072</v>
      </c>
      <c r="Q164" s="4" t="n">
        <f aca="false">Q163*P164</f>
        <v>0.000559872</v>
      </c>
      <c r="R164" s="4" t="n">
        <f aca="false">'Settings '!$B$9</f>
        <v>0.9</v>
      </c>
      <c r="S164" s="4" t="n">
        <f aca="false">MIN(1,I164*R164*K164)</f>
        <v>0.648</v>
      </c>
      <c r="T164" s="4" t="n">
        <f aca="false">T163*S164</f>
        <v>0.314928</v>
      </c>
      <c r="U164" s="4" t="str">
        <f aca="false">IF(E164=4,N164,"")</f>
        <v/>
      </c>
      <c r="V164" s="4" t="str">
        <f aca="false">IF(E164=4,Q164,"")</f>
        <v/>
      </c>
      <c r="W164" s="4" t="str">
        <f aca="false">IF(E164=4,T164,"")</f>
        <v/>
      </c>
      <c r="X164" s="4" t="str">
        <f aca="false">IF(E164=4,IFERROR((LN(U164)-LN(V164))/(LN(W164)-LN(V164)),0),"")</f>
        <v/>
      </c>
      <c r="Y164" s="3" t="str">
        <f aca="false">IF(E164=4,IF(X164&gt;='Settings '!$B$7,"Risk A",IF(X164&gt;='Settings '!$B$6,"Risk B","Risk C")),"")</f>
        <v/>
      </c>
      <c r="Z164" s="3" t="n">
        <f aca="false">IF(Y164="Risk B",1,0)</f>
        <v>0</v>
      </c>
      <c r="AA164" s="3" t="n">
        <f aca="false">IF(J164&gt;='Settings '!$B$10,1,0)</f>
        <v>0</v>
      </c>
      <c r="AB164" s="3" t="n">
        <f aca="false">IF(M164&gt;='Settings '!$B$11,1,0)</f>
        <v>0</v>
      </c>
      <c r="AC164" s="4" t="n">
        <f aca="false">ABS(M164-MIN(1,I164*J164*K164))</f>
        <v>0</v>
      </c>
    </row>
    <row r="165" customFormat="false" ht="14.25" hidden="false" customHeight="true" outlineLevel="0" collapsed="false">
      <c r="A165" s="3" t="s">
        <v>29</v>
      </c>
      <c r="B165" s="3" t="n">
        <v>41</v>
      </c>
      <c r="C165" s="3" t="s">
        <v>100</v>
      </c>
      <c r="D165" s="3" t="s">
        <v>43</v>
      </c>
      <c r="E165" s="3" t="n">
        <v>4</v>
      </c>
      <c r="F165" s="3" t="s">
        <v>44</v>
      </c>
      <c r="G165" s="3" t="s">
        <v>45</v>
      </c>
      <c r="H165" s="3" t="s">
        <v>46</v>
      </c>
      <c r="I165" s="4" t="n">
        <v>0.9</v>
      </c>
      <c r="J165" s="4" t="n">
        <v>0.1</v>
      </c>
      <c r="K165" s="4" t="n">
        <v>2</v>
      </c>
      <c r="L165" s="4" t="n">
        <f aca="false">I165*J165</f>
        <v>0.09</v>
      </c>
      <c r="M165" s="4" t="n">
        <f aca="false">MIN(1,I165*J165*K165)</f>
        <v>0.18</v>
      </c>
      <c r="N165" s="4" t="n">
        <f aca="false">N164*M165</f>
        <v>0.000463574016</v>
      </c>
      <c r="O165" s="4" t="n">
        <f aca="false">'Settings '!$B$8</f>
        <v>0.1</v>
      </c>
      <c r="P165" s="4" t="n">
        <f aca="false">MIN(1,I165*O165*K165)</f>
        <v>0.18</v>
      </c>
      <c r="Q165" s="4" t="n">
        <f aca="false">Q164*P165</f>
        <v>0.00010077696</v>
      </c>
      <c r="R165" s="4" t="n">
        <f aca="false">'Settings '!$B$9</f>
        <v>0.9</v>
      </c>
      <c r="S165" s="4" t="n">
        <f aca="false">MIN(1,I165*R165*K165)</f>
        <v>1</v>
      </c>
      <c r="T165" s="4" t="n">
        <f aca="false">T164*S165</f>
        <v>0.314928</v>
      </c>
      <c r="U165" s="4" t="n">
        <f aca="false">IF(E165=4,N165,"")</f>
        <v>0.000463574016</v>
      </c>
      <c r="V165" s="4" t="n">
        <f aca="false">IF(E165=4,Q165,"")</f>
        <v>0.00010077696</v>
      </c>
      <c r="W165" s="4" t="n">
        <f aca="false">IF(E165=4,T165,"")</f>
        <v>0.314928</v>
      </c>
      <c r="X165" s="4" t="n">
        <f aca="false">IF(E165=4,IFERROR((LN(U165)-LN(V165))/(LN(W165)-LN(V165)),0),"")</f>
        <v>0.189638418693276</v>
      </c>
      <c r="Y165" s="3" t="str">
        <f aca="false">IF(E165=4,IF(X165&gt;='Settings '!$B$7,"Risk A",IF(X165&gt;='Settings '!$B$6,"Risk B","Risk C")),"")</f>
        <v>Risk C</v>
      </c>
      <c r="Z165" s="3" t="n">
        <f aca="false">IF(Y165="Risk B",1,0)</f>
        <v>0</v>
      </c>
      <c r="AA165" s="3" t="n">
        <f aca="false">IF(J165&gt;='Settings '!$B$10,1,0)</f>
        <v>0</v>
      </c>
      <c r="AB165" s="3" t="n">
        <f aca="false">IF(M165&gt;='Settings '!$B$11,1,0)</f>
        <v>0</v>
      </c>
      <c r="AC165" s="4" t="n">
        <f aca="false">ABS(M165-MIN(1,I165*J165*K165))</f>
        <v>0</v>
      </c>
    </row>
    <row r="166" customFormat="false" ht="25.5" hidden="false" customHeight="true" outlineLevel="0" collapsed="false">
      <c r="A166" s="3" t="s">
        <v>29</v>
      </c>
      <c r="B166" s="3" t="n">
        <v>42</v>
      </c>
      <c r="C166" s="3" t="s">
        <v>101</v>
      </c>
      <c r="D166" s="3" t="s">
        <v>31</v>
      </c>
      <c r="E166" s="3" t="n">
        <v>1</v>
      </c>
      <c r="F166" s="3" t="s">
        <v>32</v>
      </c>
      <c r="G166" s="3" t="s">
        <v>33</v>
      </c>
      <c r="H166" s="3" t="s">
        <v>34</v>
      </c>
      <c r="I166" s="4" t="n">
        <v>0.72</v>
      </c>
      <c r="J166" s="4" t="n">
        <v>0.1</v>
      </c>
      <c r="K166" s="4" t="n">
        <v>2</v>
      </c>
      <c r="L166" s="4" t="n">
        <f aca="false">I166*J166</f>
        <v>0.072</v>
      </c>
      <c r="M166" s="4" t="n">
        <f aca="false">MIN(1,I166*J166*K166)</f>
        <v>0.144</v>
      </c>
      <c r="N166" s="4" t="n">
        <f aca="false">M166</f>
        <v>0.144</v>
      </c>
      <c r="O166" s="4" t="n">
        <f aca="false">'Settings '!$B$8</f>
        <v>0.1</v>
      </c>
      <c r="P166" s="4" t="n">
        <f aca="false">MIN(1,I166*O166*K166)</f>
        <v>0.144</v>
      </c>
      <c r="Q166" s="4" t="n">
        <f aca="false">P166</f>
        <v>0.144</v>
      </c>
      <c r="R166" s="4" t="n">
        <f aca="false">'Settings '!$B$9</f>
        <v>0.9</v>
      </c>
      <c r="S166" s="4" t="n">
        <f aca="false">MIN(1,I166*R166*K166)</f>
        <v>1</v>
      </c>
      <c r="T166" s="4" t="n">
        <f aca="false">S166</f>
        <v>1</v>
      </c>
      <c r="U166" s="4" t="str">
        <f aca="false">IF(E166=4,N166,"")</f>
        <v/>
      </c>
      <c r="V166" s="4" t="str">
        <f aca="false">IF(E166=4,Q166,"")</f>
        <v/>
      </c>
      <c r="W166" s="4" t="str">
        <f aca="false">IF(E166=4,T166,"")</f>
        <v/>
      </c>
      <c r="X166" s="4" t="str">
        <f aca="false">IF(E166=4,IFERROR((LN(U166)-LN(V166))/(LN(W166)-LN(V166)),0),"")</f>
        <v/>
      </c>
      <c r="Y166" s="3" t="str">
        <f aca="false">IF(E166=4,IF(X166&gt;='Settings '!$B$7,"Risk A",IF(X166&gt;='Settings '!$B$6,"Risk B","Risk C")),"")</f>
        <v/>
      </c>
      <c r="Z166" s="3" t="n">
        <f aca="false">IF(Y166="Risk B",1,0)</f>
        <v>0</v>
      </c>
      <c r="AA166" s="3" t="n">
        <f aca="false">IF(J166&gt;='Settings '!$B$10,1,0)</f>
        <v>0</v>
      </c>
      <c r="AB166" s="3" t="n">
        <f aca="false">IF(M166&gt;='Settings '!$B$11,1,0)</f>
        <v>0</v>
      </c>
      <c r="AC166" s="4" t="n">
        <f aca="false">ABS(M166-MIN(1,I166*J166*K166))</f>
        <v>0</v>
      </c>
    </row>
    <row r="167" customFormat="false" ht="14.25" hidden="false" customHeight="true" outlineLevel="0" collapsed="false">
      <c r="A167" s="3" t="s">
        <v>29</v>
      </c>
      <c r="B167" s="3" t="n">
        <v>42</v>
      </c>
      <c r="C167" s="3" t="s">
        <v>101</v>
      </c>
      <c r="D167" s="3" t="s">
        <v>35</v>
      </c>
      <c r="E167" s="3" t="n">
        <v>2</v>
      </c>
      <c r="F167" s="3" t="s">
        <v>91</v>
      </c>
      <c r="G167" s="3" t="s">
        <v>92</v>
      </c>
      <c r="H167" s="3" t="s">
        <v>38</v>
      </c>
      <c r="I167" s="4" t="n">
        <v>0.36</v>
      </c>
      <c r="J167" s="4" t="n">
        <v>0.46</v>
      </c>
      <c r="K167" s="4" t="n">
        <v>1.5</v>
      </c>
      <c r="L167" s="4" t="n">
        <f aca="false">I167*J167</f>
        <v>0.1656</v>
      </c>
      <c r="M167" s="4" t="n">
        <f aca="false">MIN(1,I167*J167*K167)</f>
        <v>0.2484</v>
      </c>
      <c r="N167" s="4" t="n">
        <f aca="false">N166*M167</f>
        <v>0.0357696</v>
      </c>
      <c r="O167" s="4" t="n">
        <f aca="false">'Settings '!$B$8</f>
        <v>0.1</v>
      </c>
      <c r="P167" s="4" t="n">
        <f aca="false">MIN(1,I167*O167*K167)</f>
        <v>0.054</v>
      </c>
      <c r="Q167" s="4" t="n">
        <f aca="false">Q166*P167</f>
        <v>0.007776</v>
      </c>
      <c r="R167" s="4" t="n">
        <f aca="false">'Settings '!$B$9</f>
        <v>0.9</v>
      </c>
      <c r="S167" s="4" t="n">
        <f aca="false">MIN(1,I167*R167*K167)</f>
        <v>0.486</v>
      </c>
      <c r="T167" s="4" t="n">
        <f aca="false">T166*S167</f>
        <v>0.486</v>
      </c>
      <c r="U167" s="4" t="str">
        <f aca="false">IF(E167=4,N167,"")</f>
        <v/>
      </c>
      <c r="V167" s="4" t="str">
        <f aca="false">IF(E167=4,Q167,"")</f>
        <v/>
      </c>
      <c r="W167" s="4" t="str">
        <f aca="false">IF(E167=4,T167,"")</f>
        <v/>
      </c>
      <c r="X167" s="4" t="str">
        <f aca="false">IF(E167=4,IFERROR((LN(U167)-LN(V167))/(LN(W167)-LN(V167)),0),"")</f>
        <v/>
      </c>
      <c r="Y167" s="3" t="str">
        <f aca="false">IF(E167=4,IF(X167&gt;='Settings '!$B$7,"Risk A",IF(X167&gt;='Settings '!$B$6,"Risk B","Risk C")),"")</f>
        <v/>
      </c>
      <c r="Z167" s="3" t="n">
        <f aca="false">IF(Y167="Risk B",1,0)</f>
        <v>0</v>
      </c>
      <c r="AA167" s="3" t="n">
        <f aca="false">IF(J167&gt;='Settings '!$B$10,1,0)</f>
        <v>1</v>
      </c>
      <c r="AB167" s="3" t="n">
        <f aca="false">IF(M167&gt;='Settings '!$B$11,1,0)</f>
        <v>0</v>
      </c>
      <c r="AC167" s="4" t="n">
        <f aca="false">ABS(M167-MIN(1,I167*J167*K167))</f>
        <v>0</v>
      </c>
    </row>
    <row r="168" customFormat="false" ht="14.25" hidden="false" customHeight="true" outlineLevel="0" collapsed="false">
      <c r="A168" s="3" t="s">
        <v>29</v>
      </c>
      <c r="B168" s="3" t="n">
        <v>42</v>
      </c>
      <c r="C168" s="3" t="s">
        <v>101</v>
      </c>
      <c r="D168" s="3" t="s">
        <v>39</v>
      </c>
      <c r="E168" s="3" t="n">
        <v>3</v>
      </c>
      <c r="F168" s="3" t="s">
        <v>63</v>
      </c>
      <c r="G168" s="3" t="s">
        <v>64</v>
      </c>
      <c r="H168" s="3" t="s">
        <v>42</v>
      </c>
      <c r="I168" s="4" t="n">
        <v>0.36</v>
      </c>
      <c r="J168" s="4" t="n">
        <v>0.1</v>
      </c>
      <c r="K168" s="4" t="n">
        <v>2</v>
      </c>
      <c r="L168" s="4" t="n">
        <f aca="false">I168*J168</f>
        <v>0.036</v>
      </c>
      <c r="M168" s="4" t="n">
        <f aca="false">MIN(1,I168*J168*K168)</f>
        <v>0.072</v>
      </c>
      <c r="N168" s="4" t="n">
        <f aca="false">N167*M168</f>
        <v>0.0025754112</v>
      </c>
      <c r="O168" s="4" t="n">
        <f aca="false">'Settings '!$B$8</f>
        <v>0.1</v>
      </c>
      <c r="P168" s="4" t="n">
        <f aca="false">MIN(1,I168*O168*K168)</f>
        <v>0.072</v>
      </c>
      <c r="Q168" s="4" t="n">
        <f aca="false">Q167*P168</f>
        <v>0.000559872</v>
      </c>
      <c r="R168" s="4" t="n">
        <f aca="false">'Settings '!$B$9</f>
        <v>0.9</v>
      </c>
      <c r="S168" s="4" t="n">
        <f aca="false">MIN(1,I168*R168*K168)</f>
        <v>0.648</v>
      </c>
      <c r="T168" s="4" t="n">
        <f aca="false">T167*S168</f>
        <v>0.314928</v>
      </c>
      <c r="U168" s="4" t="str">
        <f aca="false">IF(E168=4,N168,"")</f>
        <v/>
      </c>
      <c r="V168" s="4" t="str">
        <f aca="false">IF(E168=4,Q168,"")</f>
        <v/>
      </c>
      <c r="W168" s="4" t="str">
        <f aca="false">IF(E168=4,T168,"")</f>
        <v/>
      </c>
      <c r="X168" s="4" t="str">
        <f aca="false">IF(E168=4,IFERROR((LN(U168)-LN(V168))/(LN(W168)-LN(V168)),0),"")</f>
        <v/>
      </c>
      <c r="Y168" s="3" t="str">
        <f aca="false">IF(E168=4,IF(X168&gt;='Settings '!$B$7,"Risk A",IF(X168&gt;='Settings '!$B$6,"Risk B","Risk C")),"")</f>
        <v/>
      </c>
      <c r="Z168" s="3" t="n">
        <f aca="false">IF(Y168="Risk B",1,0)</f>
        <v>0</v>
      </c>
      <c r="AA168" s="3" t="n">
        <f aca="false">IF(J168&gt;='Settings '!$B$10,1,0)</f>
        <v>0</v>
      </c>
      <c r="AB168" s="3" t="n">
        <f aca="false">IF(M168&gt;='Settings '!$B$11,1,0)</f>
        <v>0</v>
      </c>
      <c r="AC168" s="4" t="n">
        <f aca="false">ABS(M168-MIN(1,I168*J168*K168))</f>
        <v>0</v>
      </c>
    </row>
    <row r="169" customFormat="false" ht="14.25" hidden="false" customHeight="true" outlineLevel="0" collapsed="false">
      <c r="A169" s="3" t="s">
        <v>29</v>
      </c>
      <c r="B169" s="3" t="n">
        <v>42</v>
      </c>
      <c r="C169" s="3" t="s">
        <v>101</v>
      </c>
      <c r="D169" s="3" t="s">
        <v>43</v>
      </c>
      <c r="E169" s="3" t="n">
        <v>4</v>
      </c>
      <c r="F169" s="3" t="s">
        <v>48</v>
      </c>
      <c r="G169" s="3" t="s">
        <v>49</v>
      </c>
      <c r="H169" s="3" t="s">
        <v>46</v>
      </c>
      <c r="I169" s="4" t="n">
        <v>0.72</v>
      </c>
      <c r="J169" s="4" t="n">
        <v>0.28</v>
      </c>
      <c r="K169" s="4" t="n">
        <v>2</v>
      </c>
      <c r="L169" s="4" t="n">
        <f aca="false">I169*J169</f>
        <v>0.2016</v>
      </c>
      <c r="M169" s="4" t="n">
        <f aca="false">MIN(1,I169*J169*K169)</f>
        <v>0.4032</v>
      </c>
      <c r="N169" s="4" t="n">
        <f aca="false">N168*M169</f>
        <v>0.00103840579584</v>
      </c>
      <c r="O169" s="4" t="n">
        <f aca="false">'Settings '!$B$8</f>
        <v>0.1</v>
      </c>
      <c r="P169" s="4" t="n">
        <f aca="false">MIN(1,I169*O169*K169)</f>
        <v>0.144</v>
      </c>
      <c r="Q169" s="4" t="n">
        <f aca="false">Q168*P169</f>
        <v>8.0621568E-005</v>
      </c>
      <c r="R169" s="4" t="n">
        <f aca="false">'Settings '!$B$9</f>
        <v>0.9</v>
      </c>
      <c r="S169" s="4" t="n">
        <f aca="false">MIN(1,I169*R169*K169)</f>
        <v>1</v>
      </c>
      <c r="T169" s="4" t="n">
        <f aca="false">T168*S169</f>
        <v>0.314928</v>
      </c>
      <c r="U169" s="4" t="n">
        <f aca="false">IF(E169=4,N169,"")</f>
        <v>0.00103840579584</v>
      </c>
      <c r="V169" s="4" t="n">
        <f aca="false">IF(E169=4,Q169,"")</f>
        <v>8.0621568E-005</v>
      </c>
      <c r="W169" s="4" t="n">
        <f aca="false">IF(E169=4,T169,"")</f>
        <v>0.314928</v>
      </c>
      <c r="X169" s="4" t="n">
        <f aca="false">IF(E169=4,IFERROR((LN(U169)-LN(V169))/(LN(W169)-LN(V169)),0),"")</f>
        <v>0.309017265158183</v>
      </c>
      <c r="Y169" s="3" t="str">
        <f aca="false">IF(E169=4,IF(X169&gt;='Settings '!$B$7,"Risk A",IF(X169&gt;='Settings '!$B$6,"Risk B","Risk C")),"")</f>
        <v>Risk C</v>
      </c>
      <c r="Z169" s="3" t="n">
        <f aca="false">IF(Y169="Risk B",1,0)</f>
        <v>0</v>
      </c>
      <c r="AA169" s="3" t="n">
        <f aca="false">IF(J169&gt;='Settings '!$B$10,1,0)</f>
        <v>1</v>
      </c>
      <c r="AB169" s="3" t="n">
        <f aca="false">IF(M169&gt;='Settings '!$B$11,1,0)</f>
        <v>1</v>
      </c>
      <c r="AC169" s="4" t="n">
        <f aca="false">ABS(M169-MIN(1,I169*J169*K169))</f>
        <v>0</v>
      </c>
    </row>
    <row r="170" customFormat="false" ht="25.5" hidden="false" customHeight="true" outlineLevel="0" collapsed="false">
      <c r="A170" s="3" t="s">
        <v>29</v>
      </c>
      <c r="B170" s="3" t="n">
        <v>43</v>
      </c>
      <c r="C170" s="3" t="s">
        <v>102</v>
      </c>
      <c r="D170" s="3" t="s">
        <v>31</v>
      </c>
      <c r="E170" s="3" t="n">
        <v>1</v>
      </c>
      <c r="F170" s="3" t="s">
        <v>32</v>
      </c>
      <c r="G170" s="3" t="s">
        <v>33</v>
      </c>
      <c r="H170" s="3" t="s">
        <v>34</v>
      </c>
      <c r="I170" s="4" t="n">
        <v>0.72</v>
      </c>
      <c r="J170" s="4" t="n">
        <v>0.1</v>
      </c>
      <c r="K170" s="4" t="n">
        <v>2</v>
      </c>
      <c r="L170" s="4" t="n">
        <f aca="false">I170*J170</f>
        <v>0.072</v>
      </c>
      <c r="M170" s="4" t="n">
        <f aca="false">MIN(1,I170*J170*K170)</f>
        <v>0.144</v>
      </c>
      <c r="N170" s="4" t="n">
        <f aca="false">M170</f>
        <v>0.144</v>
      </c>
      <c r="O170" s="4" t="n">
        <f aca="false">'Settings '!$B$8</f>
        <v>0.1</v>
      </c>
      <c r="P170" s="4" t="n">
        <f aca="false">MIN(1,I170*O170*K170)</f>
        <v>0.144</v>
      </c>
      <c r="Q170" s="4" t="n">
        <f aca="false">P170</f>
        <v>0.144</v>
      </c>
      <c r="R170" s="4" t="n">
        <f aca="false">'Settings '!$B$9</f>
        <v>0.9</v>
      </c>
      <c r="S170" s="4" t="n">
        <f aca="false">MIN(1,I170*R170*K170)</f>
        <v>1</v>
      </c>
      <c r="T170" s="4" t="n">
        <f aca="false">S170</f>
        <v>1</v>
      </c>
      <c r="U170" s="4" t="str">
        <f aca="false">IF(E170=4,N170,"")</f>
        <v/>
      </c>
      <c r="V170" s="4" t="str">
        <f aca="false">IF(E170=4,Q170,"")</f>
        <v/>
      </c>
      <c r="W170" s="4" t="str">
        <f aca="false">IF(E170=4,T170,"")</f>
        <v/>
      </c>
      <c r="X170" s="4" t="str">
        <f aca="false">IF(E170=4,IFERROR((LN(U170)-LN(V170))/(LN(W170)-LN(V170)),0),"")</f>
        <v/>
      </c>
      <c r="Y170" s="3" t="str">
        <f aca="false">IF(E170=4,IF(X170&gt;='Settings '!$B$7,"Risk A",IF(X170&gt;='Settings '!$B$6,"Risk B","Risk C")),"")</f>
        <v/>
      </c>
      <c r="Z170" s="3" t="n">
        <f aca="false">IF(Y170="Risk B",1,0)</f>
        <v>0</v>
      </c>
      <c r="AA170" s="3" t="n">
        <f aca="false">IF(J170&gt;='Settings '!$B$10,1,0)</f>
        <v>0</v>
      </c>
      <c r="AB170" s="3" t="n">
        <f aca="false">IF(M170&gt;='Settings '!$B$11,1,0)</f>
        <v>0</v>
      </c>
      <c r="AC170" s="4" t="n">
        <f aca="false">ABS(M170-MIN(1,I170*J170*K170))</f>
        <v>0</v>
      </c>
    </row>
    <row r="171" customFormat="false" ht="14.25" hidden="false" customHeight="true" outlineLevel="0" collapsed="false">
      <c r="A171" s="3" t="s">
        <v>29</v>
      </c>
      <c r="B171" s="3" t="n">
        <v>43</v>
      </c>
      <c r="C171" s="3" t="s">
        <v>102</v>
      </c>
      <c r="D171" s="3" t="s">
        <v>35</v>
      </c>
      <c r="E171" s="3" t="n">
        <v>2</v>
      </c>
      <c r="F171" s="3" t="s">
        <v>91</v>
      </c>
      <c r="G171" s="3" t="s">
        <v>92</v>
      </c>
      <c r="H171" s="3" t="s">
        <v>38</v>
      </c>
      <c r="I171" s="4" t="n">
        <v>0.36</v>
      </c>
      <c r="J171" s="4" t="n">
        <v>0.46</v>
      </c>
      <c r="K171" s="4" t="n">
        <v>1.5</v>
      </c>
      <c r="L171" s="4" t="n">
        <f aca="false">I171*J171</f>
        <v>0.1656</v>
      </c>
      <c r="M171" s="4" t="n">
        <f aca="false">MIN(1,I171*J171*K171)</f>
        <v>0.2484</v>
      </c>
      <c r="N171" s="4" t="n">
        <f aca="false">N170*M171</f>
        <v>0.0357696</v>
      </c>
      <c r="O171" s="4" t="n">
        <f aca="false">'Settings '!$B$8</f>
        <v>0.1</v>
      </c>
      <c r="P171" s="4" t="n">
        <f aca="false">MIN(1,I171*O171*K171)</f>
        <v>0.054</v>
      </c>
      <c r="Q171" s="4" t="n">
        <f aca="false">Q170*P171</f>
        <v>0.007776</v>
      </c>
      <c r="R171" s="4" t="n">
        <f aca="false">'Settings '!$B$9</f>
        <v>0.9</v>
      </c>
      <c r="S171" s="4" t="n">
        <f aca="false">MIN(1,I171*R171*K171)</f>
        <v>0.486</v>
      </c>
      <c r="T171" s="4" t="n">
        <f aca="false">T170*S171</f>
        <v>0.486</v>
      </c>
      <c r="U171" s="4" t="str">
        <f aca="false">IF(E171=4,N171,"")</f>
        <v/>
      </c>
      <c r="V171" s="4" t="str">
        <f aca="false">IF(E171=4,Q171,"")</f>
        <v/>
      </c>
      <c r="W171" s="4" t="str">
        <f aca="false">IF(E171=4,T171,"")</f>
        <v/>
      </c>
      <c r="X171" s="4" t="str">
        <f aca="false">IF(E171=4,IFERROR((LN(U171)-LN(V171))/(LN(W171)-LN(V171)),0),"")</f>
        <v/>
      </c>
      <c r="Y171" s="3" t="str">
        <f aca="false">IF(E171=4,IF(X171&gt;='Settings '!$B$7,"Risk A",IF(X171&gt;='Settings '!$B$6,"Risk B","Risk C")),"")</f>
        <v/>
      </c>
      <c r="Z171" s="3" t="n">
        <f aca="false">IF(Y171="Risk B",1,0)</f>
        <v>0</v>
      </c>
      <c r="AA171" s="3" t="n">
        <f aca="false">IF(J171&gt;='Settings '!$B$10,1,0)</f>
        <v>1</v>
      </c>
      <c r="AB171" s="3" t="n">
        <f aca="false">IF(M171&gt;='Settings '!$B$11,1,0)</f>
        <v>0</v>
      </c>
      <c r="AC171" s="4" t="n">
        <f aca="false">ABS(M171-MIN(1,I171*J171*K171))</f>
        <v>0</v>
      </c>
    </row>
    <row r="172" customFormat="false" ht="14.25" hidden="false" customHeight="true" outlineLevel="0" collapsed="false">
      <c r="A172" s="3" t="s">
        <v>29</v>
      </c>
      <c r="B172" s="3" t="n">
        <v>43</v>
      </c>
      <c r="C172" s="3" t="s">
        <v>102</v>
      </c>
      <c r="D172" s="3" t="s">
        <v>39</v>
      </c>
      <c r="E172" s="3" t="n">
        <v>3</v>
      </c>
      <c r="F172" s="3" t="s">
        <v>63</v>
      </c>
      <c r="G172" s="3" t="s">
        <v>64</v>
      </c>
      <c r="H172" s="3" t="s">
        <v>42</v>
      </c>
      <c r="I172" s="4" t="n">
        <v>0.36</v>
      </c>
      <c r="J172" s="4" t="n">
        <v>0.1</v>
      </c>
      <c r="K172" s="4" t="n">
        <v>2</v>
      </c>
      <c r="L172" s="4" t="n">
        <f aca="false">I172*J172</f>
        <v>0.036</v>
      </c>
      <c r="M172" s="4" t="n">
        <f aca="false">MIN(1,I172*J172*K172)</f>
        <v>0.072</v>
      </c>
      <c r="N172" s="4" t="n">
        <f aca="false">N171*M172</f>
        <v>0.0025754112</v>
      </c>
      <c r="O172" s="4" t="n">
        <f aca="false">'Settings '!$B$8</f>
        <v>0.1</v>
      </c>
      <c r="P172" s="4" t="n">
        <f aca="false">MIN(1,I172*O172*K172)</f>
        <v>0.072</v>
      </c>
      <c r="Q172" s="4" t="n">
        <f aca="false">Q171*P172</f>
        <v>0.000559872</v>
      </c>
      <c r="R172" s="4" t="n">
        <f aca="false">'Settings '!$B$9</f>
        <v>0.9</v>
      </c>
      <c r="S172" s="4" t="n">
        <f aca="false">MIN(1,I172*R172*K172)</f>
        <v>0.648</v>
      </c>
      <c r="T172" s="4" t="n">
        <f aca="false">T171*S172</f>
        <v>0.314928</v>
      </c>
      <c r="U172" s="4" t="str">
        <f aca="false">IF(E172=4,N172,"")</f>
        <v/>
      </c>
      <c r="V172" s="4" t="str">
        <f aca="false">IF(E172=4,Q172,"")</f>
        <v/>
      </c>
      <c r="W172" s="4" t="str">
        <f aca="false">IF(E172=4,T172,"")</f>
        <v/>
      </c>
      <c r="X172" s="4" t="str">
        <f aca="false">IF(E172=4,IFERROR((LN(U172)-LN(V172))/(LN(W172)-LN(V172)),0),"")</f>
        <v/>
      </c>
      <c r="Y172" s="3" t="str">
        <f aca="false">IF(E172=4,IF(X172&gt;='Settings '!$B$7,"Risk A",IF(X172&gt;='Settings '!$B$6,"Risk B","Risk C")),"")</f>
        <v/>
      </c>
      <c r="Z172" s="3" t="n">
        <f aca="false">IF(Y172="Risk B",1,0)</f>
        <v>0</v>
      </c>
      <c r="AA172" s="3" t="n">
        <f aca="false">IF(J172&gt;='Settings '!$B$10,1,0)</f>
        <v>0</v>
      </c>
      <c r="AB172" s="3" t="n">
        <f aca="false">IF(M172&gt;='Settings '!$B$11,1,0)</f>
        <v>0</v>
      </c>
      <c r="AC172" s="4" t="n">
        <f aca="false">ABS(M172-MIN(1,I172*J172*K172))</f>
        <v>0</v>
      </c>
    </row>
    <row r="173" customFormat="false" ht="14.25" hidden="false" customHeight="true" outlineLevel="0" collapsed="false">
      <c r="A173" s="3" t="s">
        <v>29</v>
      </c>
      <c r="B173" s="3" t="n">
        <v>43</v>
      </c>
      <c r="C173" s="3" t="s">
        <v>102</v>
      </c>
      <c r="D173" s="3" t="s">
        <v>43</v>
      </c>
      <c r="E173" s="3" t="n">
        <v>4</v>
      </c>
      <c r="F173" s="3" t="s">
        <v>51</v>
      </c>
      <c r="G173" s="3" t="s">
        <v>52</v>
      </c>
      <c r="H173" s="3" t="s">
        <v>46</v>
      </c>
      <c r="I173" s="4" t="n">
        <v>0.18</v>
      </c>
      <c r="J173" s="4" t="n">
        <v>0.28</v>
      </c>
      <c r="K173" s="4" t="n">
        <v>2</v>
      </c>
      <c r="L173" s="4" t="n">
        <f aca="false">I173*J173</f>
        <v>0.0504</v>
      </c>
      <c r="M173" s="4" t="n">
        <f aca="false">MIN(1,I173*J173*K173)</f>
        <v>0.1008</v>
      </c>
      <c r="N173" s="4" t="n">
        <f aca="false">N172*M173</f>
        <v>0.00025960144896</v>
      </c>
      <c r="O173" s="4" t="n">
        <f aca="false">'Settings '!$B$8</f>
        <v>0.1</v>
      </c>
      <c r="P173" s="4" t="n">
        <f aca="false">MIN(1,I173*O173*K173)</f>
        <v>0.036</v>
      </c>
      <c r="Q173" s="4" t="n">
        <f aca="false">Q172*P173</f>
        <v>2.0155392E-005</v>
      </c>
      <c r="R173" s="4" t="n">
        <f aca="false">'Settings '!$B$9</f>
        <v>0.9</v>
      </c>
      <c r="S173" s="4" t="n">
        <f aca="false">MIN(1,I173*R173*K173)</f>
        <v>0.324</v>
      </c>
      <c r="T173" s="4" t="n">
        <f aca="false">T172*S173</f>
        <v>0.102036672</v>
      </c>
      <c r="U173" s="4" t="n">
        <f aca="false">IF(E173=4,N173,"")</f>
        <v>0.00025960144896</v>
      </c>
      <c r="V173" s="4" t="n">
        <f aca="false">IF(E173=4,Q173,"")</f>
        <v>2.0155392E-005</v>
      </c>
      <c r="W173" s="4" t="n">
        <f aca="false">IF(E173=4,T173,"")</f>
        <v>0.102036672</v>
      </c>
      <c r="X173" s="4" t="n">
        <f aca="false">IF(E173=4,IFERROR((LN(U173)-LN(V173))/(LN(W173)-LN(V173)),0),"")</f>
        <v>0.29962378225974</v>
      </c>
      <c r="Y173" s="3" t="str">
        <f aca="false">IF(E173=4,IF(X173&gt;='Settings '!$B$7,"Risk A",IF(X173&gt;='Settings '!$B$6,"Risk B","Risk C")),"")</f>
        <v>Risk C</v>
      </c>
      <c r="Z173" s="3" t="n">
        <f aca="false">IF(Y173="Risk B",1,0)</f>
        <v>0</v>
      </c>
      <c r="AA173" s="3" t="n">
        <f aca="false">IF(J173&gt;='Settings '!$B$10,1,0)</f>
        <v>1</v>
      </c>
      <c r="AB173" s="3" t="n">
        <f aca="false">IF(M173&gt;='Settings '!$B$11,1,0)</f>
        <v>0</v>
      </c>
      <c r="AC173" s="4" t="n">
        <f aca="false">ABS(M173-MIN(1,I173*J173*K173))</f>
        <v>0</v>
      </c>
    </row>
    <row r="174" customFormat="false" ht="25.5" hidden="false" customHeight="true" outlineLevel="0" collapsed="false">
      <c r="A174" s="3" t="s">
        <v>29</v>
      </c>
      <c r="B174" s="3" t="n">
        <v>44</v>
      </c>
      <c r="C174" s="3" t="s">
        <v>103</v>
      </c>
      <c r="D174" s="3" t="s">
        <v>31</v>
      </c>
      <c r="E174" s="3" t="n">
        <v>1</v>
      </c>
      <c r="F174" s="3" t="s">
        <v>32</v>
      </c>
      <c r="G174" s="3" t="s">
        <v>33</v>
      </c>
      <c r="H174" s="3" t="s">
        <v>34</v>
      </c>
      <c r="I174" s="4" t="n">
        <v>0.72</v>
      </c>
      <c r="J174" s="4" t="n">
        <v>0.1</v>
      </c>
      <c r="K174" s="4" t="n">
        <v>2</v>
      </c>
      <c r="L174" s="4" t="n">
        <f aca="false">I174*J174</f>
        <v>0.072</v>
      </c>
      <c r="M174" s="4" t="n">
        <f aca="false">MIN(1,I174*J174*K174)</f>
        <v>0.144</v>
      </c>
      <c r="N174" s="4" t="n">
        <f aca="false">M174</f>
        <v>0.144</v>
      </c>
      <c r="O174" s="4" t="n">
        <f aca="false">'Settings '!$B$8</f>
        <v>0.1</v>
      </c>
      <c r="P174" s="4" t="n">
        <f aca="false">MIN(1,I174*O174*K174)</f>
        <v>0.144</v>
      </c>
      <c r="Q174" s="4" t="n">
        <f aca="false">P174</f>
        <v>0.144</v>
      </c>
      <c r="R174" s="4" t="n">
        <f aca="false">'Settings '!$B$9</f>
        <v>0.9</v>
      </c>
      <c r="S174" s="4" t="n">
        <f aca="false">MIN(1,I174*R174*K174)</f>
        <v>1</v>
      </c>
      <c r="T174" s="4" t="n">
        <f aca="false">S174</f>
        <v>1</v>
      </c>
      <c r="U174" s="4" t="str">
        <f aca="false">IF(E174=4,N174,"")</f>
        <v/>
      </c>
      <c r="V174" s="4" t="str">
        <f aca="false">IF(E174=4,Q174,"")</f>
        <v/>
      </c>
      <c r="W174" s="4" t="str">
        <f aca="false">IF(E174=4,T174,"")</f>
        <v/>
      </c>
      <c r="X174" s="4" t="str">
        <f aca="false">IF(E174=4,IFERROR((LN(U174)-LN(V174))/(LN(W174)-LN(V174)),0),"")</f>
        <v/>
      </c>
      <c r="Y174" s="3" t="str">
        <f aca="false">IF(E174=4,IF(X174&gt;='Settings '!$B$7,"Risk A",IF(X174&gt;='Settings '!$B$6,"Risk B","Risk C")),"")</f>
        <v/>
      </c>
      <c r="Z174" s="3" t="n">
        <f aca="false">IF(Y174="Risk B",1,0)</f>
        <v>0</v>
      </c>
      <c r="AA174" s="3" t="n">
        <f aca="false">IF(J174&gt;='Settings '!$B$10,1,0)</f>
        <v>0</v>
      </c>
      <c r="AB174" s="3" t="n">
        <f aca="false">IF(M174&gt;='Settings '!$B$11,1,0)</f>
        <v>0</v>
      </c>
      <c r="AC174" s="4" t="n">
        <f aca="false">ABS(M174-MIN(1,I174*J174*K174))</f>
        <v>0</v>
      </c>
    </row>
    <row r="175" customFormat="false" ht="14.25" hidden="false" customHeight="true" outlineLevel="0" collapsed="false">
      <c r="A175" s="3" t="s">
        <v>29</v>
      </c>
      <c r="B175" s="3" t="n">
        <v>44</v>
      </c>
      <c r="C175" s="3" t="s">
        <v>103</v>
      </c>
      <c r="D175" s="3" t="s">
        <v>35</v>
      </c>
      <c r="E175" s="3" t="n">
        <v>2</v>
      </c>
      <c r="F175" s="3" t="s">
        <v>91</v>
      </c>
      <c r="G175" s="3" t="s">
        <v>92</v>
      </c>
      <c r="H175" s="3" t="s">
        <v>38</v>
      </c>
      <c r="I175" s="4" t="n">
        <v>0.36</v>
      </c>
      <c r="J175" s="4" t="n">
        <v>0.46</v>
      </c>
      <c r="K175" s="4" t="n">
        <v>1.5</v>
      </c>
      <c r="L175" s="4" t="n">
        <f aca="false">I175*J175</f>
        <v>0.1656</v>
      </c>
      <c r="M175" s="4" t="n">
        <f aca="false">MIN(1,I175*J175*K175)</f>
        <v>0.2484</v>
      </c>
      <c r="N175" s="4" t="n">
        <f aca="false">N174*M175</f>
        <v>0.0357696</v>
      </c>
      <c r="O175" s="4" t="n">
        <f aca="false">'Settings '!$B$8</f>
        <v>0.1</v>
      </c>
      <c r="P175" s="4" t="n">
        <f aca="false">MIN(1,I175*O175*K175)</f>
        <v>0.054</v>
      </c>
      <c r="Q175" s="4" t="n">
        <f aca="false">Q174*P175</f>
        <v>0.007776</v>
      </c>
      <c r="R175" s="4" t="n">
        <f aca="false">'Settings '!$B$9</f>
        <v>0.9</v>
      </c>
      <c r="S175" s="4" t="n">
        <f aca="false">MIN(1,I175*R175*K175)</f>
        <v>0.486</v>
      </c>
      <c r="T175" s="4" t="n">
        <f aca="false">T174*S175</f>
        <v>0.486</v>
      </c>
      <c r="U175" s="4" t="str">
        <f aca="false">IF(E175=4,N175,"")</f>
        <v/>
      </c>
      <c r="V175" s="4" t="str">
        <f aca="false">IF(E175=4,Q175,"")</f>
        <v/>
      </c>
      <c r="W175" s="4" t="str">
        <f aca="false">IF(E175=4,T175,"")</f>
        <v/>
      </c>
      <c r="X175" s="4" t="str">
        <f aca="false">IF(E175=4,IFERROR((LN(U175)-LN(V175))/(LN(W175)-LN(V175)),0),"")</f>
        <v/>
      </c>
      <c r="Y175" s="3" t="str">
        <f aca="false">IF(E175=4,IF(X175&gt;='Settings '!$B$7,"Risk A",IF(X175&gt;='Settings '!$B$6,"Risk B","Risk C")),"")</f>
        <v/>
      </c>
      <c r="Z175" s="3" t="n">
        <f aca="false">IF(Y175="Risk B",1,0)</f>
        <v>0</v>
      </c>
      <c r="AA175" s="3" t="n">
        <f aca="false">IF(J175&gt;='Settings '!$B$10,1,0)</f>
        <v>1</v>
      </c>
      <c r="AB175" s="3" t="n">
        <f aca="false">IF(M175&gt;='Settings '!$B$11,1,0)</f>
        <v>0</v>
      </c>
      <c r="AC175" s="4" t="n">
        <f aca="false">ABS(M175-MIN(1,I175*J175*K175))</f>
        <v>0</v>
      </c>
    </row>
    <row r="176" customFormat="false" ht="14.25" hidden="false" customHeight="true" outlineLevel="0" collapsed="false">
      <c r="A176" s="3" t="s">
        <v>29</v>
      </c>
      <c r="B176" s="3" t="n">
        <v>44</v>
      </c>
      <c r="C176" s="3" t="s">
        <v>103</v>
      </c>
      <c r="D176" s="3" t="s">
        <v>39</v>
      </c>
      <c r="E176" s="3" t="n">
        <v>3</v>
      </c>
      <c r="F176" s="3" t="s">
        <v>63</v>
      </c>
      <c r="G176" s="3" t="s">
        <v>64</v>
      </c>
      <c r="H176" s="3" t="s">
        <v>42</v>
      </c>
      <c r="I176" s="4" t="n">
        <v>0.36</v>
      </c>
      <c r="J176" s="4" t="n">
        <v>0.1</v>
      </c>
      <c r="K176" s="4" t="n">
        <v>2</v>
      </c>
      <c r="L176" s="4" t="n">
        <f aca="false">I176*J176</f>
        <v>0.036</v>
      </c>
      <c r="M176" s="4" t="n">
        <f aca="false">MIN(1,I176*J176*K176)</f>
        <v>0.072</v>
      </c>
      <c r="N176" s="4" t="n">
        <f aca="false">N175*M176</f>
        <v>0.0025754112</v>
      </c>
      <c r="O176" s="4" t="n">
        <f aca="false">'Settings '!$B$8</f>
        <v>0.1</v>
      </c>
      <c r="P176" s="4" t="n">
        <f aca="false">MIN(1,I176*O176*K176)</f>
        <v>0.072</v>
      </c>
      <c r="Q176" s="4" t="n">
        <f aca="false">Q175*P176</f>
        <v>0.000559872</v>
      </c>
      <c r="R176" s="4" t="n">
        <f aca="false">'Settings '!$B$9</f>
        <v>0.9</v>
      </c>
      <c r="S176" s="4" t="n">
        <f aca="false">MIN(1,I176*R176*K176)</f>
        <v>0.648</v>
      </c>
      <c r="T176" s="4" t="n">
        <f aca="false">T175*S176</f>
        <v>0.314928</v>
      </c>
      <c r="U176" s="4" t="str">
        <f aca="false">IF(E176=4,N176,"")</f>
        <v/>
      </c>
      <c r="V176" s="4" t="str">
        <f aca="false">IF(E176=4,Q176,"")</f>
        <v/>
      </c>
      <c r="W176" s="4" t="str">
        <f aca="false">IF(E176=4,T176,"")</f>
        <v/>
      </c>
      <c r="X176" s="4" t="str">
        <f aca="false">IF(E176=4,IFERROR((LN(U176)-LN(V176))/(LN(W176)-LN(V176)),0),"")</f>
        <v/>
      </c>
      <c r="Y176" s="3" t="str">
        <f aca="false">IF(E176=4,IF(X176&gt;='Settings '!$B$7,"Risk A",IF(X176&gt;='Settings '!$B$6,"Risk B","Risk C")),"")</f>
        <v/>
      </c>
      <c r="Z176" s="3" t="n">
        <f aca="false">IF(Y176="Risk B",1,0)</f>
        <v>0</v>
      </c>
      <c r="AA176" s="3" t="n">
        <f aca="false">IF(J176&gt;='Settings '!$B$10,1,0)</f>
        <v>0</v>
      </c>
      <c r="AB176" s="3" t="n">
        <f aca="false">IF(M176&gt;='Settings '!$B$11,1,0)</f>
        <v>0</v>
      </c>
      <c r="AC176" s="4" t="n">
        <f aca="false">ABS(M176-MIN(1,I176*J176*K176))</f>
        <v>0</v>
      </c>
    </row>
    <row r="177" customFormat="false" ht="14.25" hidden="false" customHeight="true" outlineLevel="0" collapsed="false">
      <c r="A177" s="3" t="s">
        <v>29</v>
      </c>
      <c r="B177" s="3" t="n">
        <v>44</v>
      </c>
      <c r="C177" s="3" t="s">
        <v>103</v>
      </c>
      <c r="D177" s="3" t="s">
        <v>43</v>
      </c>
      <c r="E177" s="3" t="n">
        <v>4</v>
      </c>
      <c r="F177" s="3" t="s">
        <v>54</v>
      </c>
      <c r="G177" s="3" t="s">
        <v>55</v>
      </c>
      <c r="H177" s="3" t="s">
        <v>46</v>
      </c>
      <c r="I177" s="4" t="n">
        <v>0.18</v>
      </c>
      <c r="J177" s="4" t="n">
        <v>0.28</v>
      </c>
      <c r="K177" s="4" t="n">
        <v>2</v>
      </c>
      <c r="L177" s="4" t="n">
        <f aca="false">I177*J177</f>
        <v>0.0504</v>
      </c>
      <c r="M177" s="4" t="n">
        <f aca="false">MIN(1,I177*J177*K177)</f>
        <v>0.1008</v>
      </c>
      <c r="N177" s="4" t="n">
        <f aca="false">N176*M177</f>
        <v>0.00025960144896</v>
      </c>
      <c r="O177" s="4" t="n">
        <f aca="false">'Settings '!$B$8</f>
        <v>0.1</v>
      </c>
      <c r="P177" s="4" t="n">
        <f aca="false">MIN(1,I177*O177*K177)</f>
        <v>0.036</v>
      </c>
      <c r="Q177" s="4" t="n">
        <f aca="false">Q176*P177</f>
        <v>2.0155392E-005</v>
      </c>
      <c r="R177" s="4" t="n">
        <f aca="false">'Settings '!$B$9</f>
        <v>0.9</v>
      </c>
      <c r="S177" s="4" t="n">
        <f aca="false">MIN(1,I177*R177*K177)</f>
        <v>0.324</v>
      </c>
      <c r="T177" s="4" t="n">
        <f aca="false">T176*S177</f>
        <v>0.102036672</v>
      </c>
      <c r="U177" s="4" t="n">
        <f aca="false">IF(E177=4,N177,"")</f>
        <v>0.00025960144896</v>
      </c>
      <c r="V177" s="4" t="n">
        <f aca="false">IF(E177=4,Q177,"")</f>
        <v>2.0155392E-005</v>
      </c>
      <c r="W177" s="4" t="n">
        <f aca="false">IF(E177=4,T177,"")</f>
        <v>0.102036672</v>
      </c>
      <c r="X177" s="4" t="n">
        <f aca="false">IF(E177=4,IFERROR((LN(U177)-LN(V177))/(LN(W177)-LN(V177)),0),"")</f>
        <v>0.29962378225974</v>
      </c>
      <c r="Y177" s="3" t="str">
        <f aca="false">IF(E177=4,IF(X177&gt;='Settings '!$B$7,"Risk A",IF(X177&gt;='Settings '!$B$6,"Risk B","Risk C")),"")</f>
        <v>Risk C</v>
      </c>
      <c r="Z177" s="3" t="n">
        <f aca="false">IF(Y177="Risk B",1,0)</f>
        <v>0</v>
      </c>
      <c r="AA177" s="3" t="n">
        <f aca="false">IF(J177&gt;='Settings '!$B$10,1,0)</f>
        <v>1</v>
      </c>
      <c r="AB177" s="3" t="n">
        <f aca="false">IF(M177&gt;='Settings '!$B$11,1,0)</f>
        <v>0</v>
      </c>
      <c r="AC177" s="4" t="n">
        <f aca="false">ABS(M177-MIN(1,I177*J177*K177))</f>
        <v>0</v>
      </c>
    </row>
    <row r="178" customFormat="false" ht="25.5" hidden="false" customHeight="true" outlineLevel="0" collapsed="false">
      <c r="A178" s="3" t="s">
        <v>29</v>
      </c>
      <c r="B178" s="3" t="n">
        <v>45</v>
      </c>
      <c r="C178" s="3" t="s">
        <v>104</v>
      </c>
      <c r="D178" s="3" t="s">
        <v>31</v>
      </c>
      <c r="E178" s="3" t="n">
        <v>1</v>
      </c>
      <c r="F178" s="3" t="s">
        <v>32</v>
      </c>
      <c r="G178" s="3" t="s">
        <v>33</v>
      </c>
      <c r="H178" s="3" t="s">
        <v>34</v>
      </c>
      <c r="I178" s="4" t="n">
        <v>0.72</v>
      </c>
      <c r="J178" s="4" t="n">
        <v>0.1</v>
      </c>
      <c r="K178" s="4" t="n">
        <v>2</v>
      </c>
      <c r="L178" s="4" t="n">
        <f aca="false">I178*J178</f>
        <v>0.072</v>
      </c>
      <c r="M178" s="4" t="n">
        <f aca="false">MIN(1,I178*J178*K178)</f>
        <v>0.144</v>
      </c>
      <c r="N178" s="4" t="n">
        <f aca="false">M178</f>
        <v>0.144</v>
      </c>
      <c r="O178" s="4" t="n">
        <f aca="false">'Settings '!$B$8</f>
        <v>0.1</v>
      </c>
      <c r="P178" s="4" t="n">
        <f aca="false">MIN(1,I178*O178*K178)</f>
        <v>0.144</v>
      </c>
      <c r="Q178" s="4" t="n">
        <f aca="false">P178</f>
        <v>0.144</v>
      </c>
      <c r="R178" s="4" t="n">
        <f aca="false">'Settings '!$B$9</f>
        <v>0.9</v>
      </c>
      <c r="S178" s="4" t="n">
        <f aca="false">MIN(1,I178*R178*K178)</f>
        <v>1</v>
      </c>
      <c r="T178" s="4" t="n">
        <f aca="false">S178</f>
        <v>1</v>
      </c>
      <c r="U178" s="4" t="str">
        <f aca="false">IF(E178=4,N178,"")</f>
        <v/>
      </c>
      <c r="V178" s="4" t="str">
        <f aca="false">IF(E178=4,Q178,"")</f>
        <v/>
      </c>
      <c r="W178" s="4" t="str">
        <f aca="false">IF(E178=4,T178,"")</f>
        <v/>
      </c>
      <c r="X178" s="4" t="str">
        <f aca="false">IF(E178=4,IFERROR((LN(U178)-LN(V178))/(LN(W178)-LN(V178)),0),"")</f>
        <v/>
      </c>
      <c r="Y178" s="3" t="str">
        <f aca="false">IF(E178=4,IF(X178&gt;='Settings '!$B$7,"Risk A",IF(X178&gt;='Settings '!$B$6,"Risk B","Risk C")),"")</f>
        <v/>
      </c>
      <c r="Z178" s="3" t="n">
        <f aca="false">IF(Y178="Risk B",1,0)</f>
        <v>0</v>
      </c>
      <c r="AA178" s="3" t="n">
        <f aca="false">IF(J178&gt;='Settings '!$B$10,1,0)</f>
        <v>0</v>
      </c>
      <c r="AB178" s="3" t="n">
        <f aca="false">IF(M178&gt;='Settings '!$B$11,1,0)</f>
        <v>0</v>
      </c>
      <c r="AC178" s="4" t="n">
        <f aca="false">ABS(M178-MIN(1,I178*J178*K178))</f>
        <v>0</v>
      </c>
    </row>
    <row r="179" customFormat="false" ht="14.25" hidden="false" customHeight="true" outlineLevel="0" collapsed="false">
      <c r="A179" s="3" t="s">
        <v>29</v>
      </c>
      <c r="B179" s="3" t="n">
        <v>45</v>
      </c>
      <c r="C179" s="3" t="s">
        <v>104</v>
      </c>
      <c r="D179" s="3" t="s">
        <v>35</v>
      </c>
      <c r="E179" s="3" t="n">
        <v>2</v>
      </c>
      <c r="F179" s="3" t="s">
        <v>91</v>
      </c>
      <c r="G179" s="3" t="s">
        <v>92</v>
      </c>
      <c r="H179" s="3" t="s">
        <v>38</v>
      </c>
      <c r="I179" s="4" t="n">
        <v>0.36</v>
      </c>
      <c r="J179" s="4" t="n">
        <v>0.46</v>
      </c>
      <c r="K179" s="4" t="n">
        <v>1.5</v>
      </c>
      <c r="L179" s="4" t="n">
        <f aca="false">I179*J179</f>
        <v>0.1656</v>
      </c>
      <c r="M179" s="4" t="n">
        <f aca="false">MIN(1,I179*J179*K179)</f>
        <v>0.2484</v>
      </c>
      <c r="N179" s="4" t="n">
        <f aca="false">N178*M179</f>
        <v>0.0357696</v>
      </c>
      <c r="O179" s="4" t="n">
        <f aca="false">'Settings '!$B$8</f>
        <v>0.1</v>
      </c>
      <c r="P179" s="4" t="n">
        <f aca="false">MIN(1,I179*O179*K179)</f>
        <v>0.054</v>
      </c>
      <c r="Q179" s="4" t="n">
        <f aca="false">Q178*P179</f>
        <v>0.007776</v>
      </c>
      <c r="R179" s="4" t="n">
        <f aca="false">'Settings '!$B$9</f>
        <v>0.9</v>
      </c>
      <c r="S179" s="4" t="n">
        <f aca="false">MIN(1,I179*R179*K179)</f>
        <v>0.486</v>
      </c>
      <c r="T179" s="4" t="n">
        <f aca="false">T178*S179</f>
        <v>0.486</v>
      </c>
      <c r="U179" s="4" t="str">
        <f aca="false">IF(E179=4,N179,"")</f>
        <v/>
      </c>
      <c r="V179" s="4" t="str">
        <f aca="false">IF(E179=4,Q179,"")</f>
        <v/>
      </c>
      <c r="W179" s="4" t="str">
        <f aca="false">IF(E179=4,T179,"")</f>
        <v/>
      </c>
      <c r="X179" s="4" t="str">
        <f aca="false">IF(E179=4,IFERROR((LN(U179)-LN(V179))/(LN(W179)-LN(V179)),0),"")</f>
        <v/>
      </c>
      <c r="Y179" s="3" t="str">
        <f aca="false">IF(E179=4,IF(X179&gt;='Settings '!$B$7,"Risk A",IF(X179&gt;='Settings '!$B$6,"Risk B","Risk C")),"")</f>
        <v/>
      </c>
      <c r="Z179" s="3" t="n">
        <f aca="false">IF(Y179="Risk B",1,0)</f>
        <v>0</v>
      </c>
      <c r="AA179" s="3" t="n">
        <f aca="false">IF(J179&gt;='Settings '!$B$10,1,0)</f>
        <v>1</v>
      </c>
      <c r="AB179" s="3" t="n">
        <f aca="false">IF(M179&gt;='Settings '!$B$11,1,0)</f>
        <v>0</v>
      </c>
      <c r="AC179" s="4" t="n">
        <f aca="false">ABS(M179-MIN(1,I179*J179*K179))</f>
        <v>0</v>
      </c>
    </row>
    <row r="180" customFormat="false" ht="14.25" hidden="false" customHeight="true" outlineLevel="0" collapsed="false">
      <c r="A180" s="3" t="s">
        <v>29</v>
      </c>
      <c r="B180" s="3" t="n">
        <v>45</v>
      </c>
      <c r="C180" s="3" t="s">
        <v>104</v>
      </c>
      <c r="D180" s="3" t="s">
        <v>39</v>
      </c>
      <c r="E180" s="3" t="n">
        <v>3</v>
      </c>
      <c r="F180" s="3" t="s">
        <v>69</v>
      </c>
      <c r="G180" s="3" t="s">
        <v>70</v>
      </c>
      <c r="H180" s="3" t="s">
        <v>42</v>
      </c>
      <c r="I180" s="4" t="n">
        <v>0.36</v>
      </c>
      <c r="J180" s="4" t="n">
        <v>0.1</v>
      </c>
      <c r="K180" s="4" t="n">
        <v>2</v>
      </c>
      <c r="L180" s="4" t="n">
        <f aca="false">I180*J180</f>
        <v>0.036</v>
      </c>
      <c r="M180" s="4" t="n">
        <f aca="false">MIN(1,I180*J180*K180)</f>
        <v>0.072</v>
      </c>
      <c r="N180" s="4" t="n">
        <f aca="false">N179*M180</f>
        <v>0.0025754112</v>
      </c>
      <c r="O180" s="4" t="n">
        <f aca="false">'Settings '!$B$8</f>
        <v>0.1</v>
      </c>
      <c r="P180" s="4" t="n">
        <f aca="false">MIN(1,I180*O180*K180)</f>
        <v>0.072</v>
      </c>
      <c r="Q180" s="4" t="n">
        <f aca="false">Q179*P180</f>
        <v>0.000559872</v>
      </c>
      <c r="R180" s="4" t="n">
        <f aca="false">'Settings '!$B$9</f>
        <v>0.9</v>
      </c>
      <c r="S180" s="4" t="n">
        <f aca="false">MIN(1,I180*R180*K180)</f>
        <v>0.648</v>
      </c>
      <c r="T180" s="4" t="n">
        <f aca="false">T179*S180</f>
        <v>0.314928</v>
      </c>
      <c r="U180" s="4" t="str">
        <f aca="false">IF(E180=4,N180,"")</f>
        <v/>
      </c>
      <c r="V180" s="4" t="str">
        <f aca="false">IF(E180=4,Q180,"")</f>
        <v/>
      </c>
      <c r="W180" s="4" t="str">
        <f aca="false">IF(E180=4,T180,"")</f>
        <v/>
      </c>
      <c r="X180" s="4" t="str">
        <f aca="false">IF(E180=4,IFERROR((LN(U180)-LN(V180))/(LN(W180)-LN(V180)),0),"")</f>
        <v/>
      </c>
      <c r="Y180" s="3" t="str">
        <f aca="false">IF(E180=4,IF(X180&gt;='Settings '!$B$7,"Risk A",IF(X180&gt;='Settings '!$B$6,"Risk B","Risk C")),"")</f>
        <v/>
      </c>
      <c r="Z180" s="3" t="n">
        <f aca="false">IF(Y180="Risk B",1,0)</f>
        <v>0</v>
      </c>
      <c r="AA180" s="3" t="n">
        <f aca="false">IF(J180&gt;='Settings '!$B$10,1,0)</f>
        <v>0</v>
      </c>
      <c r="AB180" s="3" t="n">
        <f aca="false">IF(M180&gt;='Settings '!$B$11,1,0)</f>
        <v>0</v>
      </c>
      <c r="AC180" s="4" t="n">
        <f aca="false">ABS(M180-MIN(1,I180*J180*K180))</f>
        <v>0</v>
      </c>
    </row>
    <row r="181" customFormat="false" ht="14.25" hidden="false" customHeight="true" outlineLevel="0" collapsed="false">
      <c r="A181" s="3" t="s">
        <v>29</v>
      </c>
      <c r="B181" s="3" t="n">
        <v>45</v>
      </c>
      <c r="C181" s="3" t="s">
        <v>104</v>
      </c>
      <c r="D181" s="3" t="s">
        <v>43</v>
      </c>
      <c r="E181" s="3" t="n">
        <v>4</v>
      </c>
      <c r="F181" s="3" t="s">
        <v>44</v>
      </c>
      <c r="G181" s="3" t="s">
        <v>45</v>
      </c>
      <c r="H181" s="3" t="s">
        <v>46</v>
      </c>
      <c r="I181" s="4" t="n">
        <v>0.9</v>
      </c>
      <c r="J181" s="4" t="n">
        <v>0.1</v>
      </c>
      <c r="K181" s="4" t="n">
        <v>2</v>
      </c>
      <c r="L181" s="4" t="n">
        <f aca="false">I181*J181</f>
        <v>0.09</v>
      </c>
      <c r="M181" s="4" t="n">
        <f aca="false">MIN(1,I181*J181*K181)</f>
        <v>0.18</v>
      </c>
      <c r="N181" s="4" t="n">
        <f aca="false">N180*M181</f>
        <v>0.000463574016</v>
      </c>
      <c r="O181" s="4" t="n">
        <f aca="false">'Settings '!$B$8</f>
        <v>0.1</v>
      </c>
      <c r="P181" s="4" t="n">
        <f aca="false">MIN(1,I181*O181*K181)</f>
        <v>0.18</v>
      </c>
      <c r="Q181" s="4" t="n">
        <f aca="false">Q180*P181</f>
        <v>0.00010077696</v>
      </c>
      <c r="R181" s="4" t="n">
        <f aca="false">'Settings '!$B$9</f>
        <v>0.9</v>
      </c>
      <c r="S181" s="4" t="n">
        <f aca="false">MIN(1,I181*R181*K181)</f>
        <v>1</v>
      </c>
      <c r="T181" s="4" t="n">
        <f aca="false">T180*S181</f>
        <v>0.314928</v>
      </c>
      <c r="U181" s="4" t="n">
        <f aca="false">IF(E181=4,N181,"")</f>
        <v>0.000463574016</v>
      </c>
      <c r="V181" s="4" t="n">
        <f aca="false">IF(E181=4,Q181,"")</f>
        <v>0.00010077696</v>
      </c>
      <c r="W181" s="4" t="n">
        <f aca="false">IF(E181=4,T181,"")</f>
        <v>0.314928</v>
      </c>
      <c r="X181" s="4" t="n">
        <f aca="false">IF(E181=4,IFERROR((LN(U181)-LN(V181))/(LN(W181)-LN(V181)),0),"")</f>
        <v>0.189638418693276</v>
      </c>
      <c r="Y181" s="3" t="str">
        <f aca="false">IF(E181=4,IF(X181&gt;='Settings '!$B$7,"Risk A",IF(X181&gt;='Settings '!$B$6,"Risk B","Risk C")),"")</f>
        <v>Risk C</v>
      </c>
      <c r="Z181" s="3" t="n">
        <f aca="false">IF(Y181="Risk B",1,0)</f>
        <v>0</v>
      </c>
      <c r="AA181" s="3" t="n">
        <f aca="false">IF(J181&gt;='Settings '!$B$10,1,0)</f>
        <v>0</v>
      </c>
      <c r="AB181" s="3" t="n">
        <f aca="false">IF(M181&gt;='Settings '!$B$11,1,0)</f>
        <v>0</v>
      </c>
      <c r="AC181" s="4" t="n">
        <f aca="false">ABS(M181-MIN(1,I181*J181*K181))</f>
        <v>0</v>
      </c>
    </row>
    <row r="182" customFormat="false" ht="25.5" hidden="false" customHeight="true" outlineLevel="0" collapsed="false">
      <c r="A182" s="3" t="s">
        <v>29</v>
      </c>
      <c r="B182" s="3" t="n">
        <v>46</v>
      </c>
      <c r="C182" s="3" t="s">
        <v>105</v>
      </c>
      <c r="D182" s="3" t="s">
        <v>31</v>
      </c>
      <c r="E182" s="3" t="n">
        <v>1</v>
      </c>
      <c r="F182" s="3" t="s">
        <v>32</v>
      </c>
      <c r="G182" s="3" t="s">
        <v>33</v>
      </c>
      <c r="H182" s="3" t="s">
        <v>34</v>
      </c>
      <c r="I182" s="4" t="n">
        <v>0.72</v>
      </c>
      <c r="J182" s="4" t="n">
        <v>0.1</v>
      </c>
      <c r="K182" s="4" t="n">
        <v>2</v>
      </c>
      <c r="L182" s="4" t="n">
        <f aca="false">I182*J182</f>
        <v>0.072</v>
      </c>
      <c r="M182" s="4" t="n">
        <f aca="false">MIN(1,I182*J182*K182)</f>
        <v>0.144</v>
      </c>
      <c r="N182" s="4" t="n">
        <f aca="false">M182</f>
        <v>0.144</v>
      </c>
      <c r="O182" s="4" t="n">
        <f aca="false">'Settings '!$B$8</f>
        <v>0.1</v>
      </c>
      <c r="P182" s="4" t="n">
        <f aca="false">MIN(1,I182*O182*K182)</f>
        <v>0.144</v>
      </c>
      <c r="Q182" s="4" t="n">
        <f aca="false">P182</f>
        <v>0.144</v>
      </c>
      <c r="R182" s="4" t="n">
        <f aca="false">'Settings '!$B$9</f>
        <v>0.9</v>
      </c>
      <c r="S182" s="4" t="n">
        <f aca="false">MIN(1,I182*R182*K182)</f>
        <v>1</v>
      </c>
      <c r="T182" s="4" t="n">
        <f aca="false">S182</f>
        <v>1</v>
      </c>
      <c r="U182" s="4" t="str">
        <f aca="false">IF(E182=4,N182,"")</f>
        <v/>
      </c>
      <c r="V182" s="4" t="str">
        <f aca="false">IF(E182=4,Q182,"")</f>
        <v/>
      </c>
      <c r="W182" s="4" t="str">
        <f aca="false">IF(E182=4,T182,"")</f>
        <v/>
      </c>
      <c r="X182" s="4" t="str">
        <f aca="false">IF(E182=4,IFERROR((LN(U182)-LN(V182))/(LN(W182)-LN(V182)),0),"")</f>
        <v/>
      </c>
      <c r="Y182" s="3" t="str">
        <f aca="false">IF(E182=4,IF(X182&gt;='Settings '!$B$7,"Risk A",IF(X182&gt;='Settings '!$B$6,"Risk B","Risk C")),"")</f>
        <v/>
      </c>
      <c r="Z182" s="3" t="n">
        <f aca="false">IF(Y182="Risk B",1,0)</f>
        <v>0</v>
      </c>
      <c r="AA182" s="3" t="n">
        <f aca="false">IF(J182&gt;='Settings '!$B$10,1,0)</f>
        <v>0</v>
      </c>
      <c r="AB182" s="3" t="n">
        <f aca="false">IF(M182&gt;='Settings '!$B$11,1,0)</f>
        <v>0</v>
      </c>
      <c r="AC182" s="4" t="n">
        <f aca="false">ABS(M182-MIN(1,I182*J182*K182))</f>
        <v>0</v>
      </c>
    </row>
    <row r="183" customFormat="false" ht="14.25" hidden="false" customHeight="true" outlineLevel="0" collapsed="false">
      <c r="A183" s="3" t="s">
        <v>29</v>
      </c>
      <c r="B183" s="3" t="n">
        <v>46</v>
      </c>
      <c r="C183" s="3" t="s">
        <v>105</v>
      </c>
      <c r="D183" s="3" t="s">
        <v>35</v>
      </c>
      <c r="E183" s="3" t="n">
        <v>2</v>
      </c>
      <c r="F183" s="3" t="s">
        <v>91</v>
      </c>
      <c r="G183" s="3" t="s">
        <v>92</v>
      </c>
      <c r="H183" s="3" t="s">
        <v>38</v>
      </c>
      <c r="I183" s="4" t="n">
        <v>0.36</v>
      </c>
      <c r="J183" s="4" t="n">
        <v>0.46</v>
      </c>
      <c r="K183" s="4" t="n">
        <v>1.5</v>
      </c>
      <c r="L183" s="4" t="n">
        <f aca="false">I183*J183</f>
        <v>0.1656</v>
      </c>
      <c r="M183" s="4" t="n">
        <f aca="false">MIN(1,I183*J183*K183)</f>
        <v>0.2484</v>
      </c>
      <c r="N183" s="4" t="n">
        <f aca="false">N182*M183</f>
        <v>0.0357696</v>
      </c>
      <c r="O183" s="4" t="n">
        <f aca="false">'Settings '!$B$8</f>
        <v>0.1</v>
      </c>
      <c r="P183" s="4" t="n">
        <f aca="false">MIN(1,I183*O183*K183)</f>
        <v>0.054</v>
      </c>
      <c r="Q183" s="4" t="n">
        <f aca="false">Q182*P183</f>
        <v>0.007776</v>
      </c>
      <c r="R183" s="4" t="n">
        <f aca="false">'Settings '!$B$9</f>
        <v>0.9</v>
      </c>
      <c r="S183" s="4" t="n">
        <f aca="false">MIN(1,I183*R183*K183)</f>
        <v>0.486</v>
      </c>
      <c r="T183" s="4" t="n">
        <f aca="false">T182*S183</f>
        <v>0.486</v>
      </c>
      <c r="U183" s="4" t="str">
        <f aca="false">IF(E183=4,N183,"")</f>
        <v/>
      </c>
      <c r="V183" s="4" t="str">
        <f aca="false">IF(E183=4,Q183,"")</f>
        <v/>
      </c>
      <c r="W183" s="4" t="str">
        <f aca="false">IF(E183=4,T183,"")</f>
        <v/>
      </c>
      <c r="X183" s="4" t="str">
        <f aca="false">IF(E183=4,IFERROR((LN(U183)-LN(V183))/(LN(W183)-LN(V183)),0),"")</f>
        <v/>
      </c>
      <c r="Y183" s="3" t="str">
        <f aca="false">IF(E183=4,IF(X183&gt;='Settings '!$B$7,"Risk A",IF(X183&gt;='Settings '!$B$6,"Risk B","Risk C")),"")</f>
        <v/>
      </c>
      <c r="Z183" s="3" t="n">
        <f aca="false">IF(Y183="Risk B",1,0)</f>
        <v>0</v>
      </c>
      <c r="AA183" s="3" t="n">
        <f aca="false">IF(J183&gt;='Settings '!$B$10,1,0)</f>
        <v>1</v>
      </c>
      <c r="AB183" s="3" t="n">
        <f aca="false">IF(M183&gt;='Settings '!$B$11,1,0)</f>
        <v>0</v>
      </c>
      <c r="AC183" s="4" t="n">
        <f aca="false">ABS(M183-MIN(1,I183*J183*K183))</f>
        <v>0</v>
      </c>
    </row>
    <row r="184" customFormat="false" ht="14.25" hidden="false" customHeight="true" outlineLevel="0" collapsed="false">
      <c r="A184" s="3" t="s">
        <v>29</v>
      </c>
      <c r="B184" s="3" t="n">
        <v>46</v>
      </c>
      <c r="C184" s="3" t="s">
        <v>105</v>
      </c>
      <c r="D184" s="3" t="s">
        <v>39</v>
      </c>
      <c r="E184" s="3" t="n">
        <v>3</v>
      </c>
      <c r="F184" s="3" t="s">
        <v>69</v>
      </c>
      <c r="G184" s="3" t="s">
        <v>70</v>
      </c>
      <c r="H184" s="3" t="s">
        <v>42</v>
      </c>
      <c r="I184" s="4" t="n">
        <v>0.36</v>
      </c>
      <c r="J184" s="4" t="n">
        <v>0.1</v>
      </c>
      <c r="K184" s="4" t="n">
        <v>2</v>
      </c>
      <c r="L184" s="4" t="n">
        <f aca="false">I184*J184</f>
        <v>0.036</v>
      </c>
      <c r="M184" s="4" t="n">
        <f aca="false">MIN(1,I184*J184*K184)</f>
        <v>0.072</v>
      </c>
      <c r="N184" s="4" t="n">
        <f aca="false">N183*M184</f>
        <v>0.0025754112</v>
      </c>
      <c r="O184" s="4" t="n">
        <f aca="false">'Settings '!$B$8</f>
        <v>0.1</v>
      </c>
      <c r="P184" s="4" t="n">
        <f aca="false">MIN(1,I184*O184*K184)</f>
        <v>0.072</v>
      </c>
      <c r="Q184" s="4" t="n">
        <f aca="false">Q183*P184</f>
        <v>0.000559872</v>
      </c>
      <c r="R184" s="4" t="n">
        <f aca="false">'Settings '!$B$9</f>
        <v>0.9</v>
      </c>
      <c r="S184" s="4" t="n">
        <f aca="false">MIN(1,I184*R184*K184)</f>
        <v>0.648</v>
      </c>
      <c r="T184" s="4" t="n">
        <f aca="false">T183*S184</f>
        <v>0.314928</v>
      </c>
      <c r="U184" s="4" t="str">
        <f aca="false">IF(E184=4,N184,"")</f>
        <v/>
      </c>
      <c r="V184" s="4" t="str">
        <f aca="false">IF(E184=4,Q184,"")</f>
        <v/>
      </c>
      <c r="W184" s="4" t="str">
        <f aca="false">IF(E184=4,T184,"")</f>
        <v/>
      </c>
      <c r="X184" s="4" t="str">
        <f aca="false">IF(E184=4,IFERROR((LN(U184)-LN(V184))/(LN(W184)-LN(V184)),0),"")</f>
        <v/>
      </c>
      <c r="Y184" s="3" t="str">
        <f aca="false">IF(E184=4,IF(X184&gt;='Settings '!$B$7,"Risk A",IF(X184&gt;='Settings '!$B$6,"Risk B","Risk C")),"")</f>
        <v/>
      </c>
      <c r="Z184" s="3" t="n">
        <f aca="false">IF(Y184="Risk B",1,0)</f>
        <v>0</v>
      </c>
      <c r="AA184" s="3" t="n">
        <f aca="false">IF(J184&gt;='Settings '!$B$10,1,0)</f>
        <v>0</v>
      </c>
      <c r="AB184" s="3" t="n">
        <f aca="false">IF(M184&gt;='Settings '!$B$11,1,0)</f>
        <v>0</v>
      </c>
      <c r="AC184" s="4" t="n">
        <f aca="false">ABS(M184-MIN(1,I184*J184*K184))</f>
        <v>0</v>
      </c>
    </row>
    <row r="185" customFormat="false" ht="14.25" hidden="false" customHeight="true" outlineLevel="0" collapsed="false">
      <c r="A185" s="3" t="s">
        <v>29</v>
      </c>
      <c r="B185" s="3" t="n">
        <v>46</v>
      </c>
      <c r="C185" s="3" t="s">
        <v>105</v>
      </c>
      <c r="D185" s="3" t="s">
        <v>43</v>
      </c>
      <c r="E185" s="3" t="n">
        <v>4</v>
      </c>
      <c r="F185" s="3" t="s">
        <v>48</v>
      </c>
      <c r="G185" s="3" t="s">
        <v>49</v>
      </c>
      <c r="H185" s="3" t="s">
        <v>46</v>
      </c>
      <c r="I185" s="4" t="n">
        <v>0.72</v>
      </c>
      <c r="J185" s="4" t="n">
        <v>0.28</v>
      </c>
      <c r="K185" s="4" t="n">
        <v>2</v>
      </c>
      <c r="L185" s="4" t="n">
        <f aca="false">I185*J185</f>
        <v>0.2016</v>
      </c>
      <c r="M185" s="4" t="n">
        <f aca="false">MIN(1,I185*J185*K185)</f>
        <v>0.4032</v>
      </c>
      <c r="N185" s="4" t="n">
        <f aca="false">N184*M185</f>
        <v>0.00103840579584</v>
      </c>
      <c r="O185" s="4" t="n">
        <f aca="false">'Settings '!$B$8</f>
        <v>0.1</v>
      </c>
      <c r="P185" s="4" t="n">
        <f aca="false">MIN(1,I185*O185*K185)</f>
        <v>0.144</v>
      </c>
      <c r="Q185" s="4" t="n">
        <f aca="false">Q184*P185</f>
        <v>8.0621568E-005</v>
      </c>
      <c r="R185" s="4" t="n">
        <f aca="false">'Settings '!$B$9</f>
        <v>0.9</v>
      </c>
      <c r="S185" s="4" t="n">
        <f aca="false">MIN(1,I185*R185*K185)</f>
        <v>1</v>
      </c>
      <c r="T185" s="4" t="n">
        <f aca="false">T184*S185</f>
        <v>0.314928</v>
      </c>
      <c r="U185" s="4" t="n">
        <f aca="false">IF(E185=4,N185,"")</f>
        <v>0.00103840579584</v>
      </c>
      <c r="V185" s="4" t="n">
        <f aca="false">IF(E185=4,Q185,"")</f>
        <v>8.0621568E-005</v>
      </c>
      <c r="W185" s="4" t="n">
        <f aca="false">IF(E185=4,T185,"")</f>
        <v>0.314928</v>
      </c>
      <c r="X185" s="4" t="n">
        <f aca="false">IF(E185=4,IFERROR((LN(U185)-LN(V185))/(LN(W185)-LN(V185)),0),"")</f>
        <v>0.309017265158183</v>
      </c>
      <c r="Y185" s="3" t="str">
        <f aca="false">IF(E185=4,IF(X185&gt;='Settings '!$B$7,"Risk A",IF(X185&gt;='Settings '!$B$6,"Risk B","Risk C")),"")</f>
        <v>Risk C</v>
      </c>
      <c r="Z185" s="3" t="n">
        <f aca="false">IF(Y185="Risk B",1,0)</f>
        <v>0</v>
      </c>
      <c r="AA185" s="3" t="n">
        <f aca="false">IF(J185&gt;='Settings '!$B$10,1,0)</f>
        <v>1</v>
      </c>
      <c r="AB185" s="3" t="n">
        <f aca="false">IF(M185&gt;='Settings '!$B$11,1,0)</f>
        <v>1</v>
      </c>
      <c r="AC185" s="4" t="n">
        <f aca="false">ABS(M185-MIN(1,I185*J185*K185))</f>
        <v>0</v>
      </c>
    </row>
    <row r="186" customFormat="false" ht="25.5" hidden="false" customHeight="true" outlineLevel="0" collapsed="false">
      <c r="A186" s="3" t="s">
        <v>29</v>
      </c>
      <c r="B186" s="3" t="n">
        <v>47</v>
      </c>
      <c r="C186" s="3" t="s">
        <v>106</v>
      </c>
      <c r="D186" s="3" t="s">
        <v>31</v>
      </c>
      <c r="E186" s="3" t="n">
        <v>1</v>
      </c>
      <c r="F186" s="3" t="s">
        <v>32</v>
      </c>
      <c r="G186" s="3" t="s">
        <v>33</v>
      </c>
      <c r="H186" s="3" t="s">
        <v>34</v>
      </c>
      <c r="I186" s="4" t="n">
        <v>0.72</v>
      </c>
      <c r="J186" s="4" t="n">
        <v>0.1</v>
      </c>
      <c r="K186" s="4" t="n">
        <v>2</v>
      </c>
      <c r="L186" s="4" t="n">
        <f aca="false">I186*J186</f>
        <v>0.072</v>
      </c>
      <c r="M186" s="4" t="n">
        <f aca="false">MIN(1,I186*J186*K186)</f>
        <v>0.144</v>
      </c>
      <c r="N186" s="4" t="n">
        <f aca="false">M186</f>
        <v>0.144</v>
      </c>
      <c r="O186" s="4" t="n">
        <f aca="false">'Settings '!$B$8</f>
        <v>0.1</v>
      </c>
      <c r="P186" s="4" t="n">
        <f aca="false">MIN(1,I186*O186*K186)</f>
        <v>0.144</v>
      </c>
      <c r="Q186" s="4" t="n">
        <f aca="false">P186</f>
        <v>0.144</v>
      </c>
      <c r="R186" s="4" t="n">
        <f aca="false">'Settings '!$B$9</f>
        <v>0.9</v>
      </c>
      <c r="S186" s="4" t="n">
        <f aca="false">MIN(1,I186*R186*K186)</f>
        <v>1</v>
      </c>
      <c r="T186" s="4" t="n">
        <f aca="false">S186</f>
        <v>1</v>
      </c>
      <c r="U186" s="4" t="str">
        <f aca="false">IF(E186=4,N186,"")</f>
        <v/>
      </c>
      <c r="V186" s="4" t="str">
        <f aca="false">IF(E186=4,Q186,"")</f>
        <v/>
      </c>
      <c r="W186" s="4" t="str">
        <f aca="false">IF(E186=4,T186,"")</f>
        <v/>
      </c>
      <c r="X186" s="4" t="str">
        <f aca="false">IF(E186=4,IFERROR((LN(U186)-LN(V186))/(LN(W186)-LN(V186)),0),"")</f>
        <v/>
      </c>
      <c r="Y186" s="3" t="str">
        <f aca="false">IF(E186=4,IF(X186&gt;='Settings '!$B$7,"Risk A",IF(X186&gt;='Settings '!$B$6,"Risk B","Risk C")),"")</f>
        <v/>
      </c>
      <c r="Z186" s="3" t="n">
        <f aca="false">IF(Y186="Risk B",1,0)</f>
        <v>0</v>
      </c>
      <c r="AA186" s="3" t="n">
        <f aca="false">IF(J186&gt;='Settings '!$B$10,1,0)</f>
        <v>0</v>
      </c>
      <c r="AB186" s="3" t="n">
        <f aca="false">IF(M186&gt;='Settings '!$B$11,1,0)</f>
        <v>0</v>
      </c>
      <c r="AC186" s="4" t="n">
        <f aca="false">ABS(M186-MIN(1,I186*J186*K186))</f>
        <v>0</v>
      </c>
    </row>
    <row r="187" customFormat="false" ht="14.25" hidden="false" customHeight="true" outlineLevel="0" collapsed="false">
      <c r="A187" s="3" t="s">
        <v>29</v>
      </c>
      <c r="B187" s="3" t="n">
        <v>47</v>
      </c>
      <c r="C187" s="3" t="s">
        <v>106</v>
      </c>
      <c r="D187" s="3" t="s">
        <v>35</v>
      </c>
      <c r="E187" s="3" t="n">
        <v>2</v>
      </c>
      <c r="F187" s="3" t="s">
        <v>91</v>
      </c>
      <c r="G187" s="3" t="s">
        <v>92</v>
      </c>
      <c r="H187" s="3" t="s">
        <v>38</v>
      </c>
      <c r="I187" s="4" t="n">
        <v>0.36</v>
      </c>
      <c r="J187" s="4" t="n">
        <v>0.46</v>
      </c>
      <c r="K187" s="4" t="n">
        <v>1.5</v>
      </c>
      <c r="L187" s="4" t="n">
        <f aca="false">I187*J187</f>
        <v>0.1656</v>
      </c>
      <c r="M187" s="4" t="n">
        <f aca="false">MIN(1,I187*J187*K187)</f>
        <v>0.2484</v>
      </c>
      <c r="N187" s="4" t="n">
        <f aca="false">N186*M187</f>
        <v>0.0357696</v>
      </c>
      <c r="O187" s="4" t="n">
        <f aca="false">'Settings '!$B$8</f>
        <v>0.1</v>
      </c>
      <c r="P187" s="4" t="n">
        <f aca="false">MIN(1,I187*O187*K187)</f>
        <v>0.054</v>
      </c>
      <c r="Q187" s="4" t="n">
        <f aca="false">Q186*P187</f>
        <v>0.007776</v>
      </c>
      <c r="R187" s="4" t="n">
        <f aca="false">'Settings '!$B$9</f>
        <v>0.9</v>
      </c>
      <c r="S187" s="4" t="n">
        <f aca="false">MIN(1,I187*R187*K187)</f>
        <v>0.486</v>
      </c>
      <c r="T187" s="4" t="n">
        <f aca="false">T186*S187</f>
        <v>0.486</v>
      </c>
      <c r="U187" s="4" t="str">
        <f aca="false">IF(E187=4,N187,"")</f>
        <v/>
      </c>
      <c r="V187" s="4" t="str">
        <f aca="false">IF(E187=4,Q187,"")</f>
        <v/>
      </c>
      <c r="W187" s="4" t="str">
        <f aca="false">IF(E187=4,T187,"")</f>
        <v/>
      </c>
      <c r="X187" s="4" t="str">
        <f aca="false">IF(E187=4,IFERROR((LN(U187)-LN(V187))/(LN(W187)-LN(V187)),0),"")</f>
        <v/>
      </c>
      <c r="Y187" s="3" t="str">
        <f aca="false">IF(E187=4,IF(X187&gt;='Settings '!$B$7,"Risk A",IF(X187&gt;='Settings '!$B$6,"Risk B","Risk C")),"")</f>
        <v/>
      </c>
      <c r="Z187" s="3" t="n">
        <f aca="false">IF(Y187="Risk B",1,0)</f>
        <v>0</v>
      </c>
      <c r="AA187" s="3" t="n">
        <f aca="false">IF(J187&gt;='Settings '!$B$10,1,0)</f>
        <v>1</v>
      </c>
      <c r="AB187" s="3" t="n">
        <f aca="false">IF(M187&gt;='Settings '!$B$11,1,0)</f>
        <v>0</v>
      </c>
      <c r="AC187" s="4" t="n">
        <f aca="false">ABS(M187-MIN(1,I187*J187*K187))</f>
        <v>0</v>
      </c>
    </row>
    <row r="188" customFormat="false" ht="14.25" hidden="false" customHeight="true" outlineLevel="0" collapsed="false">
      <c r="A188" s="3" t="s">
        <v>29</v>
      </c>
      <c r="B188" s="3" t="n">
        <v>47</v>
      </c>
      <c r="C188" s="3" t="s">
        <v>106</v>
      </c>
      <c r="D188" s="3" t="s">
        <v>39</v>
      </c>
      <c r="E188" s="3" t="n">
        <v>3</v>
      </c>
      <c r="F188" s="3" t="s">
        <v>69</v>
      </c>
      <c r="G188" s="3" t="s">
        <v>70</v>
      </c>
      <c r="H188" s="3" t="s">
        <v>42</v>
      </c>
      <c r="I188" s="4" t="n">
        <v>0.36</v>
      </c>
      <c r="J188" s="4" t="n">
        <v>0.1</v>
      </c>
      <c r="K188" s="4" t="n">
        <v>2</v>
      </c>
      <c r="L188" s="4" t="n">
        <f aca="false">I188*J188</f>
        <v>0.036</v>
      </c>
      <c r="M188" s="4" t="n">
        <f aca="false">MIN(1,I188*J188*K188)</f>
        <v>0.072</v>
      </c>
      <c r="N188" s="4" t="n">
        <f aca="false">N187*M188</f>
        <v>0.0025754112</v>
      </c>
      <c r="O188" s="4" t="n">
        <f aca="false">'Settings '!$B$8</f>
        <v>0.1</v>
      </c>
      <c r="P188" s="4" t="n">
        <f aca="false">MIN(1,I188*O188*K188)</f>
        <v>0.072</v>
      </c>
      <c r="Q188" s="4" t="n">
        <f aca="false">Q187*P188</f>
        <v>0.000559872</v>
      </c>
      <c r="R188" s="4" t="n">
        <f aca="false">'Settings '!$B$9</f>
        <v>0.9</v>
      </c>
      <c r="S188" s="4" t="n">
        <f aca="false">MIN(1,I188*R188*K188)</f>
        <v>0.648</v>
      </c>
      <c r="T188" s="4" t="n">
        <f aca="false">T187*S188</f>
        <v>0.314928</v>
      </c>
      <c r="U188" s="4" t="str">
        <f aca="false">IF(E188=4,N188,"")</f>
        <v/>
      </c>
      <c r="V188" s="4" t="str">
        <f aca="false">IF(E188=4,Q188,"")</f>
        <v/>
      </c>
      <c r="W188" s="4" t="str">
        <f aca="false">IF(E188=4,T188,"")</f>
        <v/>
      </c>
      <c r="X188" s="4" t="str">
        <f aca="false">IF(E188=4,IFERROR((LN(U188)-LN(V188))/(LN(W188)-LN(V188)),0),"")</f>
        <v/>
      </c>
      <c r="Y188" s="3" t="str">
        <f aca="false">IF(E188=4,IF(X188&gt;='Settings '!$B$7,"Risk A",IF(X188&gt;='Settings '!$B$6,"Risk B","Risk C")),"")</f>
        <v/>
      </c>
      <c r="Z188" s="3" t="n">
        <f aca="false">IF(Y188="Risk B",1,0)</f>
        <v>0</v>
      </c>
      <c r="AA188" s="3" t="n">
        <f aca="false">IF(J188&gt;='Settings '!$B$10,1,0)</f>
        <v>0</v>
      </c>
      <c r="AB188" s="3" t="n">
        <f aca="false">IF(M188&gt;='Settings '!$B$11,1,0)</f>
        <v>0</v>
      </c>
      <c r="AC188" s="4" t="n">
        <f aca="false">ABS(M188-MIN(1,I188*J188*K188))</f>
        <v>0</v>
      </c>
    </row>
    <row r="189" customFormat="false" ht="14.25" hidden="false" customHeight="true" outlineLevel="0" collapsed="false">
      <c r="A189" s="3" t="s">
        <v>29</v>
      </c>
      <c r="B189" s="3" t="n">
        <v>47</v>
      </c>
      <c r="C189" s="3" t="s">
        <v>106</v>
      </c>
      <c r="D189" s="3" t="s">
        <v>43</v>
      </c>
      <c r="E189" s="3" t="n">
        <v>4</v>
      </c>
      <c r="F189" s="3" t="s">
        <v>51</v>
      </c>
      <c r="G189" s="3" t="s">
        <v>52</v>
      </c>
      <c r="H189" s="3" t="s">
        <v>46</v>
      </c>
      <c r="I189" s="4" t="n">
        <v>0.18</v>
      </c>
      <c r="J189" s="4" t="n">
        <v>0.28</v>
      </c>
      <c r="K189" s="4" t="n">
        <v>2</v>
      </c>
      <c r="L189" s="4" t="n">
        <f aca="false">I189*J189</f>
        <v>0.0504</v>
      </c>
      <c r="M189" s="4" t="n">
        <f aca="false">MIN(1,I189*J189*K189)</f>
        <v>0.1008</v>
      </c>
      <c r="N189" s="4" t="n">
        <f aca="false">N188*M189</f>
        <v>0.00025960144896</v>
      </c>
      <c r="O189" s="4" t="n">
        <f aca="false">'Settings '!$B$8</f>
        <v>0.1</v>
      </c>
      <c r="P189" s="4" t="n">
        <f aca="false">MIN(1,I189*O189*K189)</f>
        <v>0.036</v>
      </c>
      <c r="Q189" s="4" t="n">
        <f aca="false">Q188*P189</f>
        <v>2.0155392E-005</v>
      </c>
      <c r="R189" s="4" t="n">
        <f aca="false">'Settings '!$B$9</f>
        <v>0.9</v>
      </c>
      <c r="S189" s="4" t="n">
        <f aca="false">MIN(1,I189*R189*K189)</f>
        <v>0.324</v>
      </c>
      <c r="T189" s="4" t="n">
        <f aca="false">T188*S189</f>
        <v>0.102036672</v>
      </c>
      <c r="U189" s="4" t="n">
        <f aca="false">IF(E189=4,N189,"")</f>
        <v>0.00025960144896</v>
      </c>
      <c r="V189" s="4" t="n">
        <f aca="false">IF(E189=4,Q189,"")</f>
        <v>2.0155392E-005</v>
      </c>
      <c r="W189" s="4" t="n">
        <f aca="false">IF(E189=4,T189,"")</f>
        <v>0.102036672</v>
      </c>
      <c r="X189" s="4" t="n">
        <f aca="false">IF(E189=4,IFERROR((LN(U189)-LN(V189))/(LN(W189)-LN(V189)),0),"")</f>
        <v>0.29962378225974</v>
      </c>
      <c r="Y189" s="3" t="str">
        <f aca="false">IF(E189=4,IF(X189&gt;='Settings '!$B$7,"Risk A",IF(X189&gt;='Settings '!$B$6,"Risk B","Risk C")),"")</f>
        <v>Risk C</v>
      </c>
      <c r="Z189" s="3" t="n">
        <f aca="false">IF(Y189="Risk B",1,0)</f>
        <v>0</v>
      </c>
      <c r="AA189" s="3" t="n">
        <f aca="false">IF(J189&gt;='Settings '!$B$10,1,0)</f>
        <v>1</v>
      </c>
      <c r="AB189" s="3" t="n">
        <f aca="false">IF(M189&gt;='Settings '!$B$11,1,0)</f>
        <v>0</v>
      </c>
      <c r="AC189" s="4" t="n">
        <f aca="false">ABS(M189-MIN(1,I189*J189*K189))</f>
        <v>0</v>
      </c>
    </row>
    <row r="190" customFormat="false" ht="25.5" hidden="false" customHeight="true" outlineLevel="0" collapsed="false">
      <c r="A190" s="3" t="s">
        <v>29</v>
      </c>
      <c r="B190" s="3" t="n">
        <v>48</v>
      </c>
      <c r="C190" s="3" t="s">
        <v>107</v>
      </c>
      <c r="D190" s="3" t="s">
        <v>31</v>
      </c>
      <c r="E190" s="3" t="n">
        <v>1</v>
      </c>
      <c r="F190" s="3" t="s">
        <v>32</v>
      </c>
      <c r="G190" s="3" t="s">
        <v>33</v>
      </c>
      <c r="H190" s="3" t="s">
        <v>34</v>
      </c>
      <c r="I190" s="4" t="n">
        <v>0.72</v>
      </c>
      <c r="J190" s="4" t="n">
        <v>0.1</v>
      </c>
      <c r="K190" s="4" t="n">
        <v>2</v>
      </c>
      <c r="L190" s="4" t="n">
        <f aca="false">I190*J190</f>
        <v>0.072</v>
      </c>
      <c r="M190" s="4" t="n">
        <f aca="false">MIN(1,I190*J190*K190)</f>
        <v>0.144</v>
      </c>
      <c r="N190" s="4" t="n">
        <f aca="false">M190</f>
        <v>0.144</v>
      </c>
      <c r="O190" s="4" t="n">
        <f aca="false">'Settings '!$B$8</f>
        <v>0.1</v>
      </c>
      <c r="P190" s="4" t="n">
        <f aca="false">MIN(1,I190*O190*K190)</f>
        <v>0.144</v>
      </c>
      <c r="Q190" s="4" t="n">
        <f aca="false">P190</f>
        <v>0.144</v>
      </c>
      <c r="R190" s="4" t="n">
        <f aca="false">'Settings '!$B$9</f>
        <v>0.9</v>
      </c>
      <c r="S190" s="4" t="n">
        <f aca="false">MIN(1,I190*R190*K190)</f>
        <v>1</v>
      </c>
      <c r="T190" s="4" t="n">
        <f aca="false">S190</f>
        <v>1</v>
      </c>
      <c r="U190" s="4" t="str">
        <f aca="false">IF(E190=4,N190,"")</f>
        <v/>
      </c>
      <c r="V190" s="4" t="str">
        <f aca="false">IF(E190=4,Q190,"")</f>
        <v/>
      </c>
      <c r="W190" s="4" t="str">
        <f aca="false">IF(E190=4,T190,"")</f>
        <v/>
      </c>
      <c r="X190" s="4" t="str">
        <f aca="false">IF(E190=4,IFERROR((LN(U190)-LN(V190))/(LN(W190)-LN(V190)),0),"")</f>
        <v/>
      </c>
      <c r="Y190" s="3" t="str">
        <f aca="false">IF(E190=4,IF(X190&gt;='Settings '!$B$7,"Risk A",IF(X190&gt;='Settings '!$B$6,"Risk B","Risk C")),"")</f>
        <v/>
      </c>
      <c r="Z190" s="3" t="n">
        <f aca="false">IF(Y190="Risk B",1,0)</f>
        <v>0</v>
      </c>
      <c r="AA190" s="3" t="n">
        <f aca="false">IF(J190&gt;='Settings '!$B$10,1,0)</f>
        <v>0</v>
      </c>
      <c r="AB190" s="3" t="n">
        <f aca="false">IF(M190&gt;='Settings '!$B$11,1,0)</f>
        <v>0</v>
      </c>
      <c r="AC190" s="4" t="n">
        <f aca="false">ABS(M190-MIN(1,I190*J190*K190))</f>
        <v>0</v>
      </c>
    </row>
    <row r="191" customFormat="false" ht="14.25" hidden="false" customHeight="true" outlineLevel="0" collapsed="false">
      <c r="A191" s="3" t="s">
        <v>29</v>
      </c>
      <c r="B191" s="3" t="n">
        <v>48</v>
      </c>
      <c r="C191" s="3" t="s">
        <v>107</v>
      </c>
      <c r="D191" s="3" t="s">
        <v>35</v>
      </c>
      <c r="E191" s="3" t="n">
        <v>2</v>
      </c>
      <c r="F191" s="3" t="s">
        <v>91</v>
      </c>
      <c r="G191" s="3" t="s">
        <v>92</v>
      </c>
      <c r="H191" s="3" t="s">
        <v>38</v>
      </c>
      <c r="I191" s="4" t="n">
        <v>0.36</v>
      </c>
      <c r="J191" s="4" t="n">
        <v>0.46</v>
      </c>
      <c r="K191" s="4" t="n">
        <v>1.5</v>
      </c>
      <c r="L191" s="4" t="n">
        <f aca="false">I191*J191</f>
        <v>0.1656</v>
      </c>
      <c r="M191" s="4" t="n">
        <f aca="false">MIN(1,I191*J191*K191)</f>
        <v>0.2484</v>
      </c>
      <c r="N191" s="4" t="n">
        <f aca="false">N190*M191</f>
        <v>0.0357696</v>
      </c>
      <c r="O191" s="4" t="n">
        <f aca="false">'Settings '!$B$8</f>
        <v>0.1</v>
      </c>
      <c r="P191" s="4" t="n">
        <f aca="false">MIN(1,I191*O191*K191)</f>
        <v>0.054</v>
      </c>
      <c r="Q191" s="4" t="n">
        <f aca="false">Q190*P191</f>
        <v>0.007776</v>
      </c>
      <c r="R191" s="4" t="n">
        <f aca="false">'Settings '!$B$9</f>
        <v>0.9</v>
      </c>
      <c r="S191" s="4" t="n">
        <f aca="false">MIN(1,I191*R191*K191)</f>
        <v>0.486</v>
      </c>
      <c r="T191" s="4" t="n">
        <f aca="false">T190*S191</f>
        <v>0.486</v>
      </c>
      <c r="U191" s="4" t="str">
        <f aca="false">IF(E191=4,N191,"")</f>
        <v/>
      </c>
      <c r="V191" s="4" t="str">
        <f aca="false">IF(E191=4,Q191,"")</f>
        <v/>
      </c>
      <c r="W191" s="4" t="str">
        <f aca="false">IF(E191=4,T191,"")</f>
        <v/>
      </c>
      <c r="X191" s="4" t="str">
        <f aca="false">IF(E191=4,IFERROR((LN(U191)-LN(V191))/(LN(W191)-LN(V191)),0),"")</f>
        <v/>
      </c>
      <c r="Y191" s="3" t="str">
        <f aca="false">IF(E191=4,IF(X191&gt;='Settings '!$B$7,"Risk A",IF(X191&gt;='Settings '!$B$6,"Risk B","Risk C")),"")</f>
        <v/>
      </c>
      <c r="Z191" s="3" t="n">
        <f aca="false">IF(Y191="Risk B",1,0)</f>
        <v>0</v>
      </c>
      <c r="AA191" s="3" t="n">
        <f aca="false">IF(J191&gt;='Settings '!$B$10,1,0)</f>
        <v>1</v>
      </c>
      <c r="AB191" s="3" t="n">
        <f aca="false">IF(M191&gt;='Settings '!$B$11,1,0)</f>
        <v>0</v>
      </c>
      <c r="AC191" s="4" t="n">
        <f aca="false">ABS(M191-MIN(1,I191*J191*K191))</f>
        <v>0</v>
      </c>
    </row>
    <row r="192" customFormat="false" ht="14.25" hidden="false" customHeight="true" outlineLevel="0" collapsed="false">
      <c r="A192" s="3" t="s">
        <v>29</v>
      </c>
      <c r="B192" s="3" t="n">
        <v>48</v>
      </c>
      <c r="C192" s="3" t="s">
        <v>107</v>
      </c>
      <c r="D192" s="3" t="s">
        <v>39</v>
      </c>
      <c r="E192" s="3" t="n">
        <v>3</v>
      </c>
      <c r="F192" s="3" t="s">
        <v>69</v>
      </c>
      <c r="G192" s="3" t="s">
        <v>70</v>
      </c>
      <c r="H192" s="3" t="s">
        <v>42</v>
      </c>
      <c r="I192" s="4" t="n">
        <v>0.36</v>
      </c>
      <c r="J192" s="4" t="n">
        <v>0.1</v>
      </c>
      <c r="K192" s="4" t="n">
        <v>2</v>
      </c>
      <c r="L192" s="4" t="n">
        <f aca="false">I192*J192</f>
        <v>0.036</v>
      </c>
      <c r="M192" s="4" t="n">
        <f aca="false">MIN(1,I192*J192*K192)</f>
        <v>0.072</v>
      </c>
      <c r="N192" s="4" t="n">
        <f aca="false">N191*M192</f>
        <v>0.0025754112</v>
      </c>
      <c r="O192" s="4" t="n">
        <f aca="false">'Settings '!$B$8</f>
        <v>0.1</v>
      </c>
      <c r="P192" s="4" t="n">
        <f aca="false">MIN(1,I192*O192*K192)</f>
        <v>0.072</v>
      </c>
      <c r="Q192" s="4" t="n">
        <f aca="false">Q191*P192</f>
        <v>0.000559872</v>
      </c>
      <c r="R192" s="4" t="n">
        <f aca="false">'Settings '!$B$9</f>
        <v>0.9</v>
      </c>
      <c r="S192" s="4" t="n">
        <f aca="false">MIN(1,I192*R192*K192)</f>
        <v>0.648</v>
      </c>
      <c r="T192" s="4" t="n">
        <f aca="false">T191*S192</f>
        <v>0.314928</v>
      </c>
      <c r="U192" s="4" t="str">
        <f aca="false">IF(E192=4,N192,"")</f>
        <v/>
      </c>
      <c r="V192" s="4" t="str">
        <f aca="false">IF(E192=4,Q192,"")</f>
        <v/>
      </c>
      <c r="W192" s="4" t="str">
        <f aca="false">IF(E192=4,T192,"")</f>
        <v/>
      </c>
      <c r="X192" s="4" t="str">
        <f aca="false">IF(E192=4,IFERROR((LN(U192)-LN(V192))/(LN(W192)-LN(V192)),0),"")</f>
        <v/>
      </c>
      <c r="Y192" s="3" t="str">
        <f aca="false">IF(E192=4,IF(X192&gt;='Settings '!$B$7,"Risk A",IF(X192&gt;='Settings '!$B$6,"Risk B","Risk C")),"")</f>
        <v/>
      </c>
      <c r="Z192" s="3" t="n">
        <f aca="false">IF(Y192="Risk B",1,0)</f>
        <v>0</v>
      </c>
      <c r="AA192" s="3" t="n">
        <f aca="false">IF(J192&gt;='Settings '!$B$10,1,0)</f>
        <v>0</v>
      </c>
      <c r="AB192" s="3" t="n">
        <f aca="false">IF(M192&gt;='Settings '!$B$11,1,0)</f>
        <v>0</v>
      </c>
      <c r="AC192" s="4" t="n">
        <f aca="false">ABS(M192-MIN(1,I192*J192*K192))</f>
        <v>0</v>
      </c>
    </row>
    <row r="193" customFormat="false" ht="14.25" hidden="false" customHeight="true" outlineLevel="0" collapsed="false">
      <c r="A193" s="3" t="s">
        <v>29</v>
      </c>
      <c r="B193" s="3" t="n">
        <v>48</v>
      </c>
      <c r="C193" s="3" t="s">
        <v>107</v>
      </c>
      <c r="D193" s="3" t="s">
        <v>43</v>
      </c>
      <c r="E193" s="3" t="n">
        <v>4</v>
      </c>
      <c r="F193" s="3" t="s">
        <v>54</v>
      </c>
      <c r="G193" s="3" t="s">
        <v>55</v>
      </c>
      <c r="H193" s="3" t="s">
        <v>46</v>
      </c>
      <c r="I193" s="4" t="n">
        <v>0.18</v>
      </c>
      <c r="J193" s="4" t="n">
        <v>0.28</v>
      </c>
      <c r="K193" s="4" t="n">
        <v>2</v>
      </c>
      <c r="L193" s="4" t="n">
        <f aca="false">I193*J193</f>
        <v>0.0504</v>
      </c>
      <c r="M193" s="4" t="n">
        <f aca="false">MIN(1,I193*J193*K193)</f>
        <v>0.1008</v>
      </c>
      <c r="N193" s="4" t="n">
        <f aca="false">N192*M193</f>
        <v>0.00025960144896</v>
      </c>
      <c r="O193" s="4" t="n">
        <f aca="false">'Settings '!$B$8</f>
        <v>0.1</v>
      </c>
      <c r="P193" s="4" t="n">
        <f aca="false">MIN(1,I193*O193*K193)</f>
        <v>0.036</v>
      </c>
      <c r="Q193" s="4" t="n">
        <f aca="false">Q192*P193</f>
        <v>2.0155392E-005</v>
      </c>
      <c r="R193" s="4" t="n">
        <f aca="false">'Settings '!$B$9</f>
        <v>0.9</v>
      </c>
      <c r="S193" s="4" t="n">
        <f aca="false">MIN(1,I193*R193*K193)</f>
        <v>0.324</v>
      </c>
      <c r="T193" s="4" t="n">
        <f aca="false">T192*S193</f>
        <v>0.102036672</v>
      </c>
      <c r="U193" s="4" t="n">
        <f aca="false">IF(E193=4,N193,"")</f>
        <v>0.00025960144896</v>
      </c>
      <c r="V193" s="4" t="n">
        <f aca="false">IF(E193=4,Q193,"")</f>
        <v>2.0155392E-005</v>
      </c>
      <c r="W193" s="4" t="n">
        <f aca="false">IF(E193=4,T193,"")</f>
        <v>0.102036672</v>
      </c>
      <c r="X193" s="4" t="n">
        <f aca="false">IF(E193=4,IFERROR((LN(U193)-LN(V193))/(LN(W193)-LN(V193)),0),"")</f>
        <v>0.29962378225974</v>
      </c>
      <c r="Y193" s="3" t="str">
        <f aca="false">IF(E193=4,IF(X193&gt;='Settings '!$B$7,"Risk A",IF(X193&gt;='Settings '!$B$6,"Risk B","Risk C")),"")</f>
        <v>Risk C</v>
      </c>
      <c r="Z193" s="3" t="n">
        <f aca="false">IF(Y193="Risk B",1,0)</f>
        <v>0</v>
      </c>
      <c r="AA193" s="3" t="n">
        <f aca="false">IF(J193&gt;='Settings '!$B$10,1,0)</f>
        <v>1</v>
      </c>
      <c r="AB193" s="3" t="n">
        <f aca="false">IF(M193&gt;='Settings '!$B$11,1,0)</f>
        <v>0</v>
      </c>
      <c r="AC193" s="4" t="n">
        <f aca="false">ABS(M193-MIN(1,I193*J193*K193))</f>
        <v>0</v>
      </c>
    </row>
    <row r="194" customFormat="false" ht="25.5" hidden="false" customHeight="true" outlineLevel="0" collapsed="false">
      <c r="A194" s="3" t="s">
        <v>29</v>
      </c>
      <c r="B194" s="3" t="n">
        <v>49</v>
      </c>
      <c r="C194" s="3" t="s">
        <v>108</v>
      </c>
      <c r="D194" s="3" t="s">
        <v>31</v>
      </c>
      <c r="E194" s="3" t="n">
        <v>1</v>
      </c>
      <c r="F194" s="3" t="s">
        <v>32</v>
      </c>
      <c r="G194" s="3" t="s">
        <v>33</v>
      </c>
      <c r="H194" s="3" t="s">
        <v>34</v>
      </c>
      <c r="I194" s="4" t="n">
        <v>0.72</v>
      </c>
      <c r="J194" s="4" t="n">
        <v>0.1</v>
      </c>
      <c r="K194" s="4" t="n">
        <v>2</v>
      </c>
      <c r="L194" s="4" t="n">
        <f aca="false">I194*J194</f>
        <v>0.072</v>
      </c>
      <c r="M194" s="4" t="n">
        <f aca="false">MIN(1,I194*J194*K194)</f>
        <v>0.144</v>
      </c>
      <c r="N194" s="4" t="n">
        <f aca="false">M194</f>
        <v>0.144</v>
      </c>
      <c r="O194" s="4" t="n">
        <f aca="false">'Settings '!$B$8</f>
        <v>0.1</v>
      </c>
      <c r="P194" s="4" t="n">
        <f aca="false">MIN(1,I194*O194*K194)</f>
        <v>0.144</v>
      </c>
      <c r="Q194" s="4" t="n">
        <f aca="false">P194</f>
        <v>0.144</v>
      </c>
      <c r="R194" s="4" t="n">
        <f aca="false">'Settings '!$B$9</f>
        <v>0.9</v>
      </c>
      <c r="S194" s="4" t="n">
        <f aca="false">MIN(1,I194*R194*K194)</f>
        <v>1</v>
      </c>
      <c r="T194" s="4" t="n">
        <f aca="false">S194</f>
        <v>1</v>
      </c>
      <c r="U194" s="4" t="str">
        <f aca="false">IF(E194=4,N194,"")</f>
        <v/>
      </c>
      <c r="V194" s="4" t="str">
        <f aca="false">IF(E194=4,Q194,"")</f>
        <v/>
      </c>
      <c r="W194" s="4" t="str">
        <f aca="false">IF(E194=4,T194,"")</f>
        <v/>
      </c>
      <c r="X194" s="4" t="str">
        <f aca="false">IF(E194=4,IFERROR((LN(U194)-LN(V194))/(LN(W194)-LN(V194)),0),"")</f>
        <v/>
      </c>
      <c r="Y194" s="3" t="str">
        <f aca="false">IF(E194=4,IF(X194&gt;='Settings '!$B$7,"Risk A",IF(X194&gt;='Settings '!$B$6,"Risk B","Risk C")),"")</f>
        <v/>
      </c>
      <c r="Z194" s="3" t="n">
        <f aca="false">IF(Y194="Risk B",1,0)</f>
        <v>0</v>
      </c>
      <c r="AA194" s="3" t="n">
        <f aca="false">IF(J194&gt;='Settings '!$B$10,1,0)</f>
        <v>0</v>
      </c>
      <c r="AB194" s="3" t="n">
        <f aca="false">IF(M194&gt;='Settings '!$B$11,1,0)</f>
        <v>0</v>
      </c>
      <c r="AC194" s="4" t="n">
        <f aca="false">ABS(M194-MIN(1,I194*J194*K194))</f>
        <v>0</v>
      </c>
    </row>
    <row r="195" customFormat="false" ht="14.25" hidden="false" customHeight="true" outlineLevel="0" collapsed="false">
      <c r="A195" s="3" t="s">
        <v>29</v>
      </c>
      <c r="B195" s="3" t="n">
        <v>49</v>
      </c>
      <c r="C195" s="3" t="s">
        <v>108</v>
      </c>
      <c r="D195" s="3" t="s">
        <v>35</v>
      </c>
      <c r="E195" s="3" t="n">
        <v>2</v>
      </c>
      <c r="F195" s="3" t="s">
        <v>109</v>
      </c>
      <c r="G195" s="3" t="s">
        <v>110</v>
      </c>
      <c r="H195" s="3" t="s">
        <v>38</v>
      </c>
      <c r="I195" s="4" t="n">
        <v>0.18</v>
      </c>
      <c r="J195" s="4" t="n">
        <v>0.28</v>
      </c>
      <c r="K195" s="4" t="n">
        <v>1.5</v>
      </c>
      <c r="L195" s="4" t="n">
        <f aca="false">I195*J195</f>
        <v>0.0504</v>
      </c>
      <c r="M195" s="4" t="n">
        <f aca="false">MIN(1,I195*J195*K195)</f>
        <v>0.0756</v>
      </c>
      <c r="N195" s="4" t="n">
        <f aca="false">N194*M195</f>
        <v>0.0108864</v>
      </c>
      <c r="O195" s="4" t="n">
        <f aca="false">'Settings '!$B$8</f>
        <v>0.1</v>
      </c>
      <c r="P195" s="4" t="n">
        <f aca="false">MIN(1,I195*O195*K195)</f>
        <v>0.027</v>
      </c>
      <c r="Q195" s="4" t="n">
        <f aca="false">Q194*P195</f>
        <v>0.003888</v>
      </c>
      <c r="R195" s="4" t="n">
        <f aca="false">'Settings '!$B$9</f>
        <v>0.9</v>
      </c>
      <c r="S195" s="4" t="n">
        <f aca="false">MIN(1,I195*R195*K195)</f>
        <v>0.243</v>
      </c>
      <c r="T195" s="4" t="n">
        <f aca="false">T194*S195</f>
        <v>0.243</v>
      </c>
      <c r="U195" s="4" t="str">
        <f aca="false">IF(E195=4,N195,"")</f>
        <v/>
      </c>
      <c r="V195" s="4" t="str">
        <f aca="false">IF(E195=4,Q195,"")</f>
        <v/>
      </c>
      <c r="W195" s="4" t="str">
        <f aca="false">IF(E195=4,T195,"")</f>
        <v/>
      </c>
      <c r="X195" s="4" t="str">
        <f aca="false">IF(E195=4,IFERROR((LN(U195)-LN(V195))/(LN(W195)-LN(V195)),0),"")</f>
        <v/>
      </c>
      <c r="Y195" s="3" t="str">
        <f aca="false">IF(E195=4,IF(X195&gt;='Settings '!$B$7,"Risk A",IF(X195&gt;='Settings '!$B$6,"Risk B","Risk C")),"")</f>
        <v/>
      </c>
      <c r="Z195" s="3" t="n">
        <f aca="false">IF(Y195="Risk B",1,0)</f>
        <v>0</v>
      </c>
      <c r="AA195" s="3" t="n">
        <f aca="false">IF(J195&gt;='Settings '!$B$10,1,0)</f>
        <v>1</v>
      </c>
      <c r="AB195" s="3" t="n">
        <f aca="false">IF(M195&gt;='Settings '!$B$11,1,0)</f>
        <v>0</v>
      </c>
      <c r="AC195" s="4" t="n">
        <f aca="false">ABS(M195-MIN(1,I195*J195*K195))</f>
        <v>0</v>
      </c>
    </row>
    <row r="196" customFormat="false" ht="14.25" hidden="false" customHeight="true" outlineLevel="0" collapsed="false">
      <c r="A196" s="3" t="s">
        <v>29</v>
      </c>
      <c r="B196" s="3" t="n">
        <v>49</v>
      </c>
      <c r="C196" s="3" t="s">
        <v>108</v>
      </c>
      <c r="D196" s="3" t="s">
        <v>39</v>
      </c>
      <c r="E196" s="3" t="n">
        <v>3</v>
      </c>
      <c r="F196" s="3" t="s">
        <v>40</v>
      </c>
      <c r="G196" s="3" t="s">
        <v>41</v>
      </c>
      <c r="H196" s="3" t="s">
        <v>42</v>
      </c>
      <c r="I196" s="4" t="n">
        <v>0.36</v>
      </c>
      <c r="J196" s="4" t="n">
        <v>0.1</v>
      </c>
      <c r="K196" s="4" t="n">
        <v>2</v>
      </c>
      <c r="L196" s="4" t="n">
        <f aca="false">I196*J196</f>
        <v>0.036</v>
      </c>
      <c r="M196" s="4" t="n">
        <f aca="false">MIN(1,I196*J196*K196)</f>
        <v>0.072</v>
      </c>
      <c r="N196" s="4" t="n">
        <f aca="false">N195*M196</f>
        <v>0.0007838208</v>
      </c>
      <c r="O196" s="4" t="n">
        <f aca="false">'Settings '!$B$8</f>
        <v>0.1</v>
      </c>
      <c r="P196" s="4" t="n">
        <f aca="false">MIN(1,I196*O196*K196)</f>
        <v>0.072</v>
      </c>
      <c r="Q196" s="4" t="n">
        <f aca="false">Q195*P196</f>
        <v>0.000279936</v>
      </c>
      <c r="R196" s="4" t="n">
        <f aca="false">'Settings '!$B$9</f>
        <v>0.9</v>
      </c>
      <c r="S196" s="4" t="n">
        <f aca="false">MIN(1,I196*R196*K196)</f>
        <v>0.648</v>
      </c>
      <c r="T196" s="4" t="n">
        <f aca="false">T195*S196</f>
        <v>0.157464</v>
      </c>
      <c r="U196" s="4" t="str">
        <f aca="false">IF(E196=4,N196,"")</f>
        <v/>
      </c>
      <c r="V196" s="4" t="str">
        <f aca="false">IF(E196=4,Q196,"")</f>
        <v/>
      </c>
      <c r="W196" s="4" t="str">
        <f aca="false">IF(E196=4,T196,"")</f>
        <v/>
      </c>
      <c r="X196" s="4" t="str">
        <f aca="false">IF(E196=4,IFERROR((LN(U196)-LN(V196))/(LN(W196)-LN(V196)),0),"")</f>
        <v/>
      </c>
      <c r="Y196" s="3" t="str">
        <f aca="false">IF(E196=4,IF(X196&gt;='Settings '!$B$7,"Risk A",IF(X196&gt;='Settings '!$B$6,"Risk B","Risk C")),"")</f>
        <v/>
      </c>
      <c r="Z196" s="3" t="n">
        <f aca="false">IF(Y196="Risk B",1,0)</f>
        <v>0</v>
      </c>
      <c r="AA196" s="3" t="n">
        <f aca="false">IF(J196&gt;='Settings '!$B$10,1,0)</f>
        <v>0</v>
      </c>
      <c r="AB196" s="3" t="n">
        <f aca="false">IF(M196&gt;='Settings '!$B$11,1,0)</f>
        <v>0</v>
      </c>
      <c r="AC196" s="4" t="n">
        <f aca="false">ABS(M196-MIN(1,I196*J196*K196))</f>
        <v>0</v>
      </c>
    </row>
    <row r="197" customFormat="false" ht="14.25" hidden="false" customHeight="true" outlineLevel="0" collapsed="false">
      <c r="A197" s="3" t="s">
        <v>29</v>
      </c>
      <c r="B197" s="3" t="n">
        <v>49</v>
      </c>
      <c r="C197" s="3" t="s">
        <v>108</v>
      </c>
      <c r="D197" s="3" t="s">
        <v>43</v>
      </c>
      <c r="E197" s="3" t="n">
        <v>4</v>
      </c>
      <c r="F197" s="3" t="s">
        <v>44</v>
      </c>
      <c r="G197" s="3" t="s">
        <v>45</v>
      </c>
      <c r="H197" s="3" t="s">
        <v>46</v>
      </c>
      <c r="I197" s="4" t="n">
        <v>0.9</v>
      </c>
      <c r="J197" s="4" t="n">
        <v>0.1</v>
      </c>
      <c r="K197" s="4" t="n">
        <v>2</v>
      </c>
      <c r="L197" s="4" t="n">
        <f aca="false">I197*J197</f>
        <v>0.09</v>
      </c>
      <c r="M197" s="4" t="n">
        <f aca="false">MIN(1,I197*J197*K197)</f>
        <v>0.18</v>
      </c>
      <c r="N197" s="4" t="n">
        <f aca="false">N196*M197</f>
        <v>0.000141087744</v>
      </c>
      <c r="O197" s="4" t="n">
        <f aca="false">'Settings '!$B$8</f>
        <v>0.1</v>
      </c>
      <c r="P197" s="4" t="n">
        <f aca="false">MIN(1,I197*O197*K197)</f>
        <v>0.18</v>
      </c>
      <c r="Q197" s="4" t="n">
        <f aca="false">Q196*P197</f>
        <v>5.038848E-005</v>
      </c>
      <c r="R197" s="4" t="n">
        <f aca="false">'Settings '!$B$9</f>
        <v>0.9</v>
      </c>
      <c r="S197" s="4" t="n">
        <f aca="false">MIN(1,I197*R197*K197)</f>
        <v>1</v>
      </c>
      <c r="T197" s="4" t="n">
        <f aca="false">T196*S197</f>
        <v>0.157464</v>
      </c>
      <c r="U197" s="4" t="n">
        <f aca="false">IF(E197=4,N197,"")</f>
        <v>0.000141087744</v>
      </c>
      <c r="V197" s="4" t="n">
        <f aca="false">IF(E197=4,Q197,"")</f>
        <v>5.038848E-005</v>
      </c>
      <c r="W197" s="4" t="n">
        <f aca="false">IF(E197=4,T197,"")</f>
        <v>0.157464</v>
      </c>
      <c r="X197" s="4" t="n">
        <f aca="false">IF(E197=4,IFERROR((LN(U197)-LN(V197))/(LN(W197)-LN(V197)),0),"")</f>
        <v>0.127947702639112</v>
      </c>
      <c r="Y197" s="3" t="str">
        <f aca="false">IF(E197=4,IF(X197&gt;='Settings '!$B$7,"Risk A",IF(X197&gt;='Settings '!$B$6,"Risk B","Risk C")),"")</f>
        <v>Risk C</v>
      </c>
      <c r="Z197" s="3" t="n">
        <f aca="false">IF(Y197="Risk B",1,0)</f>
        <v>0</v>
      </c>
      <c r="AA197" s="3" t="n">
        <f aca="false">IF(J197&gt;='Settings '!$B$10,1,0)</f>
        <v>0</v>
      </c>
      <c r="AB197" s="3" t="n">
        <f aca="false">IF(M197&gt;='Settings '!$B$11,1,0)</f>
        <v>0</v>
      </c>
      <c r="AC197" s="4" t="n">
        <f aca="false">ABS(M197-MIN(1,I197*J197*K197))</f>
        <v>0</v>
      </c>
    </row>
    <row r="198" customFormat="false" ht="25.5" hidden="false" customHeight="true" outlineLevel="0" collapsed="false">
      <c r="A198" s="3" t="s">
        <v>29</v>
      </c>
      <c r="B198" s="3" t="n">
        <v>50</v>
      </c>
      <c r="C198" s="3" t="s">
        <v>111</v>
      </c>
      <c r="D198" s="3" t="s">
        <v>31</v>
      </c>
      <c r="E198" s="3" t="n">
        <v>1</v>
      </c>
      <c r="F198" s="3" t="s">
        <v>32</v>
      </c>
      <c r="G198" s="3" t="s">
        <v>33</v>
      </c>
      <c r="H198" s="3" t="s">
        <v>34</v>
      </c>
      <c r="I198" s="4" t="n">
        <v>0.72</v>
      </c>
      <c r="J198" s="4" t="n">
        <v>0.1</v>
      </c>
      <c r="K198" s="4" t="n">
        <v>2</v>
      </c>
      <c r="L198" s="4" t="n">
        <f aca="false">I198*J198</f>
        <v>0.072</v>
      </c>
      <c r="M198" s="4" t="n">
        <f aca="false">MIN(1,I198*J198*K198)</f>
        <v>0.144</v>
      </c>
      <c r="N198" s="4" t="n">
        <f aca="false">M198</f>
        <v>0.144</v>
      </c>
      <c r="O198" s="4" t="n">
        <f aca="false">'Settings '!$B$8</f>
        <v>0.1</v>
      </c>
      <c r="P198" s="4" t="n">
        <f aca="false">MIN(1,I198*O198*K198)</f>
        <v>0.144</v>
      </c>
      <c r="Q198" s="4" t="n">
        <f aca="false">P198</f>
        <v>0.144</v>
      </c>
      <c r="R198" s="4" t="n">
        <f aca="false">'Settings '!$B$9</f>
        <v>0.9</v>
      </c>
      <c r="S198" s="4" t="n">
        <f aca="false">MIN(1,I198*R198*K198)</f>
        <v>1</v>
      </c>
      <c r="T198" s="4" t="n">
        <f aca="false">S198</f>
        <v>1</v>
      </c>
      <c r="U198" s="4" t="str">
        <f aca="false">IF(E198=4,N198,"")</f>
        <v/>
      </c>
      <c r="V198" s="4" t="str">
        <f aca="false">IF(E198=4,Q198,"")</f>
        <v/>
      </c>
      <c r="W198" s="4" t="str">
        <f aca="false">IF(E198=4,T198,"")</f>
        <v/>
      </c>
      <c r="X198" s="4" t="str">
        <f aca="false">IF(E198=4,IFERROR((LN(U198)-LN(V198))/(LN(W198)-LN(V198)),0),"")</f>
        <v/>
      </c>
      <c r="Y198" s="3" t="str">
        <f aca="false">IF(E198=4,IF(X198&gt;='Settings '!$B$7,"Risk A",IF(X198&gt;='Settings '!$B$6,"Risk B","Risk C")),"")</f>
        <v/>
      </c>
      <c r="Z198" s="3" t="n">
        <f aca="false">IF(Y198="Risk B",1,0)</f>
        <v>0</v>
      </c>
      <c r="AA198" s="3" t="n">
        <f aca="false">IF(J198&gt;='Settings '!$B$10,1,0)</f>
        <v>0</v>
      </c>
      <c r="AB198" s="3" t="n">
        <f aca="false">IF(M198&gt;='Settings '!$B$11,1,0)</f>
        <v>0</v>
      </c>
      <c r="AC198" s="4" t="n">
        <f aca="false">ABS(M198-MIN(1,I198*J198*K198))</f>
        <v>0</v>
      </c>
    </row>
    <row r="199" customFormat="false" ht="14.25" hidden="false" customHeight="true" outlineLevel="0" collapsed="false">
      <c r="A199" s="3" t="s">
        <v>29</v>
      </c>
      <c r="B199" s="3" t="n">
        <v>50</v>
      </c>
      <c r="C199" s="3" t="s">
        <v>111</v>
      </c>
      <c r="D199" s="3" t="s">
        <v>35</v>
      </c>
      <c r="E199" s="3" t="n">
        <v>2</v>
      </c>
      <c r="F199" s="3" t="s">
        <v>109</v>
      </c>
      <c r="G199" s="3" t="s">
        <v>110</v>
      </c>
      <c r="H199" s="3" t="s">
        <v>38</v>
      </c>
      <c r="I199" s="4" t="n">
        <v>0.18</v>
      </c>
      <c r="J199" s="4" t="n">
        <v>0.28</v>
      </c>
      <c r="K199" s="4" t="n">
        <v>1.5</v>
      </c>
      <c r="L199" s="4" t="n">
        <f aca="false">I199*J199</f>
        <v>0.0504</v>
      </c>
      <c r="M199" s="4" t="n">
        <f aca="false">MIN(1,I199*J199*K199)</f>
        <v>0.0756</v>
      </c>
      <c r="N199" s="4" t="n">
        <f aca="false">N198*M199</f>
        <v>0.0108864</v>
      </c>
      <c r="O199" s="4" t="n">
        <f aca="false">'Settings '!$B$8</f>
        <v>0.1</v>
      </c>
      <c r="P199" s="4" t="n">
        <f aca="false">MIN(1,I199*O199*K199)</f>
        <v>0.027</v>
      </c>
      <c r="Q199" s="4" t="n">
        <f aca="false">Q198*P199</f>
        <v>0.003888</v>
      </c>
      <c r="R199" s="4" t="n">
        <f aca="false">'Settings '!$B$9</f>
        <v>0.9</v>
      </c>
      <c r="S199" s="4" t="n">
        <f aca="false">MIN(1,I199*R199*K199)</f>
        <v>0.243</v>
      </c>
      <c r="T199" s="4" t="n">
        <f aca="false">T198*S199</f>
        <v>0.243</v>
      </c>
      <c r="U199" s="4" t="str">
        <f aca="false">IF(E199=4,N199,"")</f>
        <v/>
      </c>
      <c r="V199" s="4" t="str">
        <f aca="false">IF(E199=4,Q199,"")</f>
        <v/>
      </c>
      <c r="W199" s="4" t="str">
        <f aca="false">IF(E199=4,T199,"")</f>
        <v/>
      </c>
      <c r="X199" s="4" t="str">
        <f aca="false">IF(E199=4,IFERROR((LN(U199)-LN(V199))/(LN(W199)-LN(V199)),0),"")</f>
        <v/>
      </c>
      <c r="Y199" s="3" t="str">
        <f aca="false">IF(E199=4,IF(X199&gt;='Settings '!$B$7,"Risk A",IF(X199&gt;='Settings '!$B$6,"Risk B","Risk C")),"")</f>
        <v/>
      </c>
      <c r="Z199" s="3" t="n">
        <f aca="false">IF(Y199="Risk B",1,0)</f>
        <v>0</v>
      </c>
      <c r="AA199" s="3" t="n">
        <f aca="false">IF(J199&gt;='Settings '!$B$10,1,0)</f>
        <v>1</v>
      </c>
      <c r="AB199" s="3" t="n">
        <f aca="false">IF(M199&gt;='Settings '!$B$11,1,0)</f>
        <v>0</v>
      </c>
      <c r="AC199" s="4" t="n">
        <f aca="false">ABS(M199-MIN(1,I199*J199*K199))</f>
        <v>0</v>
      </c>
    </row>
    <row r="200" customFormat="false" ht="14.25" hidden="false" customHeight="true" outlineLevel="0" collapsed="false">
      <c r="A200" s="3" t="s">
        <v>29</v>
      </c>
      <c r="B200" s="3" t="n">
        <v>50</v>
      </c>
      <c r="C200" s="3" t="s">
        <v>111</v>
      </c>
      <c r="D200" s="3" t="s">
        <v>39</v>
      </c>
      <c r="E200" s="3" t="n">
        <v>3</v>
      </c>
      <c r="F200" s="3" t="s">
        <v>40</v>
      </c>
      <c r="G200" s="3" t="s">
        <v>41</v>
      </c>
      <c r="H200" s="3" t="s">
        <v>42</v>
      </c>
      <c r="I200" s="4" t="n">
        <v>0.36</v>
      </c>
      <c r="J200" s="4" t="n">
        <v>0.1</v>
      </c>
      <c r="K200" s="4" t="n">
        <v>2</v>
      </c>
      <c r="L200" s="4" t="n">
        <f aca="false">I200*J200</f>
        <v>0.036</v>
      </c>
      <c r="M200" s="4" t="n">
        <f aca="false">MIN(1,I200*J200*K200)</f>
        <v>0.072</v>
      </c>
      <c r="N200" s="4" t="n">
        <f aca="false">N199*M200</f>
        <v>0.0007838208</v>
      </c>
      <c r="O200" s="4" t="n">
        <f aca="false">'Settings '!$B$8</f>
        <v>0.1</v>
      </c>
      <c r="P200" s="4" t="n">
        <f aca="false">MIN(1,I200*O200*K200)</f>
        <v>0.072</v>
      </c>
      <c r="Q200" s="4" t="n">
        <f aca="false">Q199*P200</f>
        <v>0.000279936</v>
      </c>
      <c r="R200" s="4" t="n">
        <f aca="false">'Settings '!$B$9</f>
        <v>0.9</v>
      </c>
      <c r="S200" s="4" t="n">
        <f aca="false">MIN(1,I200*R200*K200)</f>
        <v>0.648</v>
      </c>
      <c r="T200" s="4" t="n">
        <f aca="false">T199*S200</f>
        <v>0.157464</v>
      </c>
      <c r="U200" s="4" t="str">
        <f aca="false">IF(E200=4,N200,"")</f>
        <v/>
      </c>
      <c r="V200" s="4" t="str">
        <f aca="false">IF(E200=4,Q200,"")</f>
        <v/>
      </c>
      <c r="W200" s="4" t="str">
        <f aca="false">IF(E200=4,T200,"")</f>
        <v/>
      </c>
      <c r="X200" s="4" t="str">
        <f aca="false">IF(E200=4,IFERROR((LN(U200)-LN(V200))/(LN(W200)-LN(V200)),0),"")</f>
        <v/>
      </c>
      <c r="Y200" s="3" t="str">
        <f aca="false">IF(E200=4,IF(X200&gt;='Settings '!$B$7,"Risk A",IF(X200&gt;='Settings '!$B$6,"Risk B","Risk C")),"")</f>
        <v/>
      </c>
      <c r="Z200" s="3" t="n">
        <f aca="false">IF(Y200="Risk B",1,0)</f>
        <v>0</v>
      </c>
      <c r="AA200" s="3" t="n">
        <f aca="false">IF(J200&gt;='Settings '!$B$10,1,0)</f>
        <v>0</v>
      </c>
      <c r="AB200" s="3" t="n">
        <f aca="false">IF(M200&gt;='Settings '!$B$11,1,0)</f>
        <v>0</v>
      </c>
      <c r="AC200" s="4" t="n">
        <f aca="false">ABS(M200-MIN(1,I200*J200*K200))</f>
        <v>0</v>
      </c>
    </row>
    <row r="201" customFormat="false" ht="14.25" hidden="false" customHeight="true" outlineLevel="0" collapsed="false">
      <c r="A201" s="3" t="s">
        <v>29</v>
      </c>
      <c r="B201" s="3" t="n">
        <v>50</v>
      </c>
      <c r="C201" s="3" t="s">
        <v>111</v>
      </c>
      <c r="D201" s="3" t="s">
        <v>43</v>
      </c>
      <c r="E201" s="3" t="n">
        <v>4</v>
      </c>
      <c r="F201" s="3" t="s">
        <v>48</v>
      </c>
      <c r="G201" s="3" t="s">
        <v>49</v>
      </c>
      <c r="H201" s="3" t="s">
        <v>46</v>
      </c>
      <c r="I201" s="4" t="n">
        <v>0.72</v>
      </c>
      <c r="J201" s="4" t="n">
        <v>0.28</v>
      </c>
      <c r="K201" s="4" t="n">
        <v>2</v>
      </c>
      <c r="L201" s="4" t="n">
        <f aca="false">I201*J201</f>
        <v>0.2016</v>
      </c>
      <c r="M201" s="4" t="n">
        <f aca="false">MIN(1,I201*J201*K201)</f>
        <v>0.4032</v>
      </c>
      <c r="N201" s="4" t="n">
        <f aca="false">N200*M201</f>
        <v>0.00031603654656</v>
      </c>
      <c r="O201" s="4" t="n">
        <f aca="false">'Settings '!$B$8</f>
        <v>0.1</v>
      </c>
      <c r="P201" s="4" t="n">
        <f aca="false">MIN(1,I201*O201*K201)</f>
        <v>0.144</v>
      </c>
      <c r="Q201" s="4" t="n">
        <f aca="false">Q200*P201</f>
        <v>4.0310784E-005</v>
      </c>
      <c r="R201" s="4" t="n">
        <f aca="false">'Settings '!$B$9</f>
        <v>0.9</v>
      </c>
      <c r="S201" s="4" t="n">
        <f aca="false">MIN(1,I201*R201*K201)</f>
        <v>1</v>
      </c>
      <c r="T201" s="4" t="n">
        <f aca="false">T200*S201</f>
        <v>0.157464</v>
      </c>
      <c r="U201" s="4" t="n">
        <f aca="false">IF(E201=4,N201,"")</f>
        <v>0.00031603654656</v>
      </c>
      <c r="V201" s="4" t="n">
        <f aca="false">IF(E201=4,Q201,"")</f>
        <v>4.0310784E-005</v>
      </c>
      <c r="W201" s="4" t="n">
        <f aca="false">IF(E201=4,T201,"")</f>
        <v>0.157464</v>
      </c>
      <c r="X201" s="4" t="n">
        <f aca="false">IF(E201=4,IFERROR((LN(U201)-LN(V201))/(LN(W201)-LN(V201)),0),"")</f>
        <v>0.248991038946756</v>
      </c>
      <c r="Y201" s="3" t="str">
        <f aca="false">IF(E201=4,IF(X201&gt;='Settings '!$B$7,"Risk A",IF(X201&gt;='Settings '!$B$6,"Risk B","Risk C")),"")</f>
        <v>Risk C</v>
      </c>
      <c r="Z201" s="3" t="n">
        <f aca="false">IF(Y201="Risk B",1,0)</f>
        <v>0</v>
      </c>
      <c r="AA201" s="3" t="n">
        <f aca="false">IF(J201&gt;='Settings '!$B$10,1,0)</f>
        <v>1</v>
      </c>
      <c r="AB201" s="3" t="n">
        <f aca="false">IF(M201&gt;='Settings '!$B$11,1,0)</f>
        <v>1</v>
      </c>
      <c r="AC201" s="4" t="n">
        <f aca="false">ABS(M201-MIN(1,I201*J201*K201))</f>
        <v>0</v>
      </c>
    </row>
    <row r="202" customFormat="false" ht="25.5" hidden="false" customHeight="true" outlineLevel="0" collapsed="false">
      <c r="A202" s="3" t="s">
        <v>29</v>
      </c>
      <c r="B202" s="3" t="n">
        <v>51</v>
      </c>
      <c r="C202" s="3" t="s">
        <v>112</v>
      </c>
      <c r="D202" s="3" t="s">
        <v>31</v>
      </c>
      <c r="E202" s="3" t="n">
        <v>1</v>
      </c>
      <c r="F202" s="3" t="s">
        <v>32</v>
      </c>
      <c r="G202" s="3" t="s">
        <v>33</v>
      </c>
      <c r="H202" s="3" t="s">
        <v>34</v>
      </c>
      <c r="I202" s="4" t="n">
        <v>0.72</v>
      </c>
      <c r="J202" s="4" t="n">
        <v>0.1</v>
      </c>
      <c r="K202" s="4" t="n">
        <v>2</v>
      </c>
      <c r="L202" s="4" t="n">
        <f aca="false">I202*J202</f>
        <v>0.072</v>
      </c>
      <c r="M202" s="4" t="n">
        <f aca="false">MIN(1,I202*J202*K202)</f>
        <v>0.144</v>
      </c>
      <c r="N202" s="4" t="n">
        <f aca="false">M202</f>
        <v>0.144</v>
      </c>
      <c r="O202" s="4" t="n">
        <f aca="false">'Settings '!$B$8</f>
        <v>0.1</v>
      </c>
      <c r="P202" s="4" t="n">
        <f aca="false">MIN(1,I202*O202*K202)</f>
        <v>0.144</v>
      </c>
      <c r="Q202" s="4" t="n">
        <f aca="false">P202</f>
        <v>0.144</v>
      </c>
      <c r="R202" s="4" t="n">
        <f aca="false">'Settings '!$B$9</f>
        <v>0.9</v>
      </c>
      <c r="S202" s="4" t="n">
        <f aca="false">MIN(1,I202*R202*K202)</f>
        <v>1</v>
      </c>
      <c r="T202" s="4" t="n">
        <f aca="false">S202</f>
        <v>1</v>
      </c>
      <c r="U202" s="4" t="str">
        <f aca="false">IF(E202=4,N202,"")</f>
        <v/>
      </c>
      <c r="V202" s="4" t="str">
        <f aca="false">IF(E202=4,Q202,"")</f>
        <v/>
      </c>
      <c r="W202" s="4" t="str">
        <f aca="false">IF(E202=4,T202,"")</f>
        <v/>
      </c>
      <c r="X202" s="4" t="str">
        <f aca="false">IF(E202=4,IFERROR((LN(U202)-LN(V202))/(LN(W202)-LN(V202)),0),"")</f>
        <v/>
      </c>
      <c r="Y202" s="3" t="str">
        <f aca="false">IF(E202=4,IF(X202&gt;='Settings '!$B$7,"Risk A",IF(X202&gt;='Settings '!$B$6,"Risk B","Risk C")),"")</f>
        <v/>
      </c>
      <c r="Z202" s="3" t="n">
        <f aca="false">IF(Y202="Risk B",1,0)</f>
        <v>0</v>
      </c>
      <c r="AA202" s="3" t="n">
        <f aca="false">IF(J202&gt;='Settings '!$B$10,1,0)</f>
        <v>0</v>
      </c>
      <c r="AB202" s="3" t="n">
        <f aca="false">IF(M202&gt;='Settings '!$B$11,1,0)</f>
        <v>0</v>
      </c>
      <c r="AC202" s="4" t="n">
        <f aca="false">ABS(M202-MIN(1,I202*J202*K202))</f>
        <v>0</v>
      </c>
    </row>
    <row r="203" customFormat="false" ht="14.25" hidden="false" customHeight="true" outlineLevel="0" collapsed="false">
      <c r="A203" s="3" t="s">
        <v>29</v>
      </c>
      <c r="B203" s="3" t="n">
        <v>51</v>
      </c>
      <c r="C203" s="3" t="s">
        <v>112</v>
      </c>
      <c r="D203" s="3" t="s">
        <v>35</v>
      </c>
      <c r="E203" s="3" t="n">
        <v>2</v>
      </c>
      <c r="F203" s="3" t="s">
        <v>109</v>
      </c>
      <c r="G203" s="3" t="s">
        <v>110</v>
      </c>
      <c r="H203" s="3" t="s">
        <v>38</v>
      </c>
      <c r="I203" s="4" t="n">
        <v>0.18</v>
      </c>
      <c r="J203" s="4" t="n">
        <v>0.28</v>
      </c>
      <c r="K203" s="4" t="n">
        <v>1.5</v>
      </c>
      <c r="L203" s="4" t="n">
        <f aca="false">I203*J203</f>
        <v>0.0504</v>
      </c>
      <c r="M203" s="4" t="n">
        <f aca="false">MIN(1,I203*J203*K203)</f>
        <v>0.0756</v>
      </c>
      <c r="N203" s="4" t="n">
        <f aca="false">N202*M203</f>
        <v>0.0108864</v>
      </c>
      <c r="O203" s="4" t="n">
        <f aca="false">'Settings '!$B$8</f>
        <v>0.1</v>
      </c>
      <c r="P203" s="4" t="n">
        <f aca="false">MIN(1,I203*O203*K203)</f>
        <v>0.027</v>
      </c>
      <c r="Q203" s="4" t="n">
        <f aca="false">Q202*P203</f>
        <v>0.003888</v>
      </c>
      <c r="R203" s="4" t="n">
        <f aca="false">'Settings '!$B$9</f>
        <v>0.9</v>
      </c>
      <c r="S203" s="4" t="n">
        <f aca="false">MIN(1,I203*R203*K203)</f>
        <v>0.243</v>
      </c>
      <c r="T203" s="4" t="n">
        <f aca="false">T202*S203</f>
        <v>0.243</v>
      </c>
      <c r="U203" s="4" t="str">
        <f aca="false">IF(E203=4,N203,"")</f>
        <v/>
      </c>
      <c r="V203" s="4" t="str">
        <f aca="false">IF(E203=4,Q203,"")</f>
        <v/>
      </c>
      <c r="W203" s="4" t="str">
        <f aca="false">IF(E203=4,T203,"")</f>
        <v/>
      </c>
      <c r="X203" s="4" t="str">
        <f aca="false">IF(E203=4,IFERROR((LN(U203)-LN(V203))/(LN(W203)-LN(V203)),0),"")</f>
        <v/>
      </c>
      <c r="Y203" s="3" t="str">
        <f aca="false">IF(E203=4,IF(X203&gt;='Settings '!$B$7,"Risk A",IF(X203&gt;='Settings '!$B$6,"Risk B","Risk C")),"")</f>
        <v/>
      </c>
      <c r="Z203" s="3" t="n">
        <f aca="false">IF(Y203="Risk B",1,0)</f>
        <v>0</v>
      </c>
      <c r="AA203" s="3" t="n">
        <f aca="false">IF(J203&gt;='Settings '!$B$10,1,0)</f>
        <v>1</v>
      </c>
      <c r="AB203" s="3" t="n">
        <f aca="false">IF(M203&gt;='Settings '!$B$11,1,0)</f>
        <v>0</v>
      </c>
      <c r="AC203" s="4" t="n">
        <f aca="false">ABS(M203-MIN(1,I203*J203*K203))</f>
        <v>0</v>
      </c>
    </row>
    <row r="204" customFormat="false" ht="14.25" hidden="false" customHeight="true" outlineLevel="0" collapsed="false">
      <c r="A204" s="3" t="s">
        <v>29</v>
      </c>
      <c r="B204" s="3" t="n">
        <v>51</v>
      </c>
      <c r="C204" s="3" t="s">
        <v>112</v>
      </c>
      <c r="D204" s="3" t="s">
        <v>39</v>
      </c>
      <c r="E204" s="3" t="n">
        <v>3</v>
      </c>
      <c r="F204" s="3" t="s">
        <v>40</v>
      </c>
      <c r="G204" s="3" t="s">
        <v>41</v>
      </c>
      <c r="H204" s="3" t="s">
        <v>42</v>
      </c>
      <c r="I204" s="4" t="n">
        <v>0.36</v>
      </c>
      <c r="J204" s="4" t="n">
        <v>0.1</v>
      </c>
      <c r="K204" s="4" t="n">
        <v>2</v>
      </c>
      <c r="L204" s="4" t="n">
        <f aca="false">I204*J204</f>
        <v>0.036</v>
      </c>
      <c r="M204" s="4" t="n">
        <f aca="false">MIN(1,I204*J204*K204)</f>
        <v>0.072</v>
      </c>
      <c r="N204" s="4" t="n">
        <f aca="false">N203*M204</f>
        <v>0.0007838208</v>
      </c>
      <c r="O204" s="4" t="n">
        <f aca="false">'Settings '!$B$8</f>
        <v>0.1</v>
      </c>
      <c r="P204" s="4" t="n">
        <f aca="false">MIN(1,I204*O204*K204)</f>
        <v>0.072</v>
      </c>
      <c r="Q204" s="4" t="n">
        <f aca="false">Q203*P204</f>
        <v>0.000279936</v>
      </c>
      <c r="R204" s="4" t="n">
        <f aca="false">'Settings '!$B$9</f>
        <v>0.9</v>
      </c>
      <c r="S204" s="4" t="n">
        <f aca="false">MIN(1,I204*R204*K204)</f>
        <v>0.648</v>
      </c>
      <c r="T204" s="4" t="n">
        <f aca="false">T203*S204</f>
        <v>0.157464</v>
      </c>
      <c r="U204" s="4" t="str">
        <f aca="false">IF(E204=4,N204,"")</f>
        <v/>
      </c>
      <c r="V204" s="4" t="str">
        <f aca="false">IF(E204=4,Q204,"")</f>
        <v/>
      </c>
      <c r="W204" s="4" t="str">
        <f aca="false">IF(E204=4,T204,"")</f>
        <v/>
      </c>
      <c r="X204" s="4" t="str">
        <f aca="false">IF(E204=4,IFERROR((LN(U204)-LN(V204))/(LN(W204)-LN(V204)),0),"")</f>
        <v/>
      </c>
      <c r="Y204" s="3" t="str">
        <f aca="false">IF(E204=4,IF(X204&gt;='Settings '!$B$7,"Risk A",IF(X204&gt;='Settings '!$B$6,"Risk B","Risk C")),"")</f>
        <v/>
      </c>
      <c r="Z204" s="3" t="n">
        <f aca="false">IF(Y204="Risk B",1,0)</f>
        <v>0</v>
      </c>
      <c r="AA204" s="3" t="n">
        <f aca="false">IF(J204&gt;='Settings '!$B$10,1,0)</f>
        <v>0</v>
      </c>
      <c r="AB204" s="3" t="n">
        <f aca="false">IF(M204&gt;='Settings '!$B$11,1,0)</f>
        <v>0</v>
      </c>
      <c r="AC204" s="4" t="n">
        <f aca="false">ABS(M204-MIN(1,I204*J204*K204))</f>
        <v>0</v>
      </c>
    </row>
    <row r="205" customFormat="false" ht="14.25" hidden="false" customHeight="true" outlineLevel="0" collapsed="false">
      <c r="A205" s="3" t="s">
        <v>29</v>
      </c>
      <c r="B205" s="3" t="n">
        <v>51</v>
      </c>
      <c r="C205" s="3" t="s">
        <v>112</v>
      </c>
      <c r="D205" s="3" t="s">
        <v>43</v>
      </c>
      <c r="E205" s="3" t="n">
        <v>4</v>
      </c>
      <c r="F205" s="3" t="s">
        <v>51</v>
      </c>
      <c r="G205" s="3" t="s">
        <v>52</v>
      </c>
      <c r="H205" s="3" t="s">
        <v>46</v>
      </c>
      <c r="I205" s="4" t="n">
        <v>0.18</v>
      </c>
      <c r="J205" s="4" t="n">
        <v>0.28</v>
      </c>
      <c r="K205" s="4" t="n">
        <v>2</v>
      </c>
      <c r="L205" s="4" t="n">
        <f aca="false">I205*J205</f>
        <v>0.0504</v>
      </c>
      <c r="M205" s="4" t="n">
        <f aca="false">MIN(1,I205*J205*K205)</f>
        <v>0.1008</v>
      </c>
      <c r="N205" s="4" t="n">
        <f aca="false">N204*M205</f>
        <v>7.900913664E-005</v>
      </c>
      <c r="O205" s="4" t="n">
        <f aca="false">'Settings '!$B$8</f>
        <v>0.1</v>
      </c>
      <c r="P205" s="4" t="n">
        <f aca="false">MIN(1,I205*O205*K205)</f>
        <v>0.036</v>
      </c>
      <c r="Q205" s="4" t="n">
        <f aca="false">Q204*P205</f>
        <v>1.0077696E-005</v>
      </c>
      <c r="R205" s="4" t="n">
        <f aca="false">'Settings '!$B$9</f>
        <v>0.9</v>
      </c>
      <c r="S205" s="4" t="n">
        <f aca="false">MIN(1,I205*R205*K205)</f>
        <v>0.324</v>
      </c>
      <c r="T205" s="4" t="n">
        <f aca="false">T204*S205</f>
        <v>0.051018336</v>
      </c>
      <c r="U205" s="4" t="n">
        <f aca="false">IF(E205=4,N205,"")</f>
        <v>7.900913664E-005</v>
      </c>
      <c r="V205" s="4" t="n">
        <f aca="false">IF(E205=4,Q205,"")</f>
        <v>1.0077696E-005</v>
      </c>
      <c r="W205" s="4" t="n">
        <f aca="false">IF(E205=4,T205,"")</f>
        <v>0.051018336</v>
      </c>
      <c r="X205" s="4" t="n">
        <f aca="false">IF(E205=4,IFERROR((LN(U205)-LN(V205))/(LN(W205)-LN(V205)),0),"")</f>
        <v>0.241422228624735</v>
      </c>
      <c r="Y205" s="3" t="str">
        <f aca="false">IF(E205=4,IF(X205&gt;='Settings '!$B$7,"Risk A",IF(X205&gt;='Settings '!$B$6,"Risk B","Risk C")),"")</f>
        <v>Risk C</v>
      </c>
      <c r="Z205" s="3" t="n">
        <f aca="false">IF(Y205="Risk B",1,0)</f>
        <v>0</v>
      </c>
      <c r="AA205" s="3" t="n">
        <f aca="false">IF(J205&gt;='Settings '!$B$10,1,0)</f>
        <v>1</v>
      </c>
      <c r="AB205" s="3" t="n">
        <f aca="false">IF(M205&gt;='Settings '!$B$11,1,0)</f>
        <v>0</v>
      </c>
      <c r="AC205" s="4" t="n">
        <f aca="false">ABS(M205-MIN(1,I205*J205*K205))</f>
        <v>0</v>
      </c>
    </row>
    <row r="206" customFormat="false" ht="25.5" hidden="false" customHeight="true" outlineLevel="0" collapsed="false">
      <c r="A206" s="3" t="s">
        <v>29</v>
      </c>
      <c r="B206" s="3" t="n">
        <v>52</v>
      </c>
      <c r="C206" s="3" t="s">
        <v>113</v>
      </c>
      <c r="D206" s="3" t="s">
        <v>31</v>
      </c>
      <c r="E206" s="3" t="n">
        <v>1</v>
      </c>
      <c r="F206" s="3" t="s">
        <v>32</v>
      </c>
      <c r="G206" s="3" t="s">
        <v>33</v>
      </c>
      <c r="H206" s="3" t="s">
        <v>34</v>
      </c>
      <c r="I206" s="4" t="n">
        <v>0.72</v>
      </c>
      <c r="J206" s="4" t="n">
        <v>0.1</v>
      </c>
      <c r="K206" s="4" t="n">
        <v>2</v>
      </c>
      <c r="L206" s="4" t="n">
        <f aca="false">I206*J206</f>
        <v>0.072</v>
      </c>
      <c r="M206" s="4" t="n">
        <f aca="false">MIN(1,I206*J206*K206)</f>
        <v>0.144</v>
      </c>
      <c r="N206" s="4" t="n">
        <f aca="false">M206</f>
        <v>0.144</v>
      </c>
      <c r="O206" s="4" t="n">
        <f aca="false">'Settings '!$B$8</f>
        <v>0.1</v>
      </c>
      <c r="P206" s="4" t="n">
        <f aca="false">MIN(1,I206*O206*K206)</f>
        <v>0.144</v>
      </c>
      <c r="Q206" s="4" t="n">
        <f aca="false">P206</f>
        <v>0.144</v>
      </c>
      <c r="R206" s="4" t="n">
        <f aca="false">'Settings '!$B$9</f>
        <v>0.9</v>
      </c>
      <c r="S206" s="4" t="n">
        <f aca="false">MIN(1,I206*R206*K206)</f>
        <v>1</v>
      </c>
      <c r="T206" s="4" t="n">
        <f aca="false">S206</f>
        <v>1</v>
      </c>
      <c r="U206" s="4" t="str">
        <f aca="false">IF(E206=4,N206,"")</f>
        <v/>
      </c>
      <c r="V206" s="4" t="str">
        <f aca="false">IF(E206=4,Q206,"")</f>
        <v/>
      </c>
      <c r="W206" s="4" t="str">
        <f aca="false">IF(E206=4,T206,"")</f>
        <v/>
      </c>
      <c r="X206" s="4" t="str">
        <f aca="false">IF(E206=4,IFERROR((LN(U206)-LN(V206))/(LN(W206)-LN(V206)),0),"")</f>
        <v/>
      </c>
      <c r="Y206" s="3" t="str">
        <f aca="false">IF(E206=4,IF(X206&gt;='Settings '!$B$7,"Risk A",IF(X206&gt;='Settings '!$B$6,"Risk B","Risk C")),"")</f>
        <v/>
      </c>
      <c r="Z206" s="3" t="n">
        <f aca="false">IF(Y206="Risk B",1,0)</f>
        <v>0</v>
      </c>
      <c r="AA206" s="3" t="n">
        <f aca="false">IF(J206&gt;='Settings '!$B$10,1,0)</f>
        <v>0</v>
      </c>
      <c r="AB206" s="3" t="n">
        <f aca="false">IF(M206&gt;='Settings '!$B$11,1,0)</f>
        <v>0</v>
      </c>
      <c r="AC206" s="4" t="n">
        <f aca="false">ABS(M206-MIN(1,I206*J206*K206))</f>
        <v>0</v>
      </c>
    </row>
    <row r="207" customFormat="false" ht="14.25" hidden="false" customHeight="true" outlineLevel="0" collapsed="false">
      <c r="A207" s="3" t="s">
        <v>29</v>
      </c>
      <c r="B207" s="3" t="n">
        <v>52</v>
      </c>
      <c r="C207" s="3" t="s">
        <v>113</v>
      </c>
      <c r="D207" s="3" t="s">
        <v>35</v>
      </c>
      <c r="E207" s="3" t="n">
        <v>2</v>
      </c>
      <c r="F207" s="3" t="s">
        <v>109</v>
      </c>
      <c r="G207" s="3" t="s">
        <v>110</v>
      </c>
      <c r="H207" s="3" t="s">
        <v>38</v>
      </c>
      <c r="I207" s="4" t="n">
        <v>0.18</v>
      </c>
      <c r="J207" s="4" t="n">
        <v>0.28</v>
      </c>
      <c r="K207" s="4" t="n">
        <v>1.5</v>
      </c>
      <c r="L207" s="4" t="n">
        <f aca="false">I207*J207</f>
        <v>0.0504</v>
      </c>
      <c r="M207" s="4" t="n">
        <f aca="false">MIN(1,I207*J207*K207)</f>
        <v>0.0756</v>
      </c>
      <c r="N207" s="4" t="n">
        <f aca="false">N206*M207</f>
        <v>0.0108864</v>
      </c>
      <c r="O207" s="4" t="n">
        <f aca="false">'Settings '!$B$8</f>
        <v>0.1</v>
      </c>
      <c r="P207" s="4" t="n">
        <f aca="false">MIN(1,I207*O207*K207)</f>
        <v>0.027</v>
      </c>
      <c r="Q207" s="4" t="n">
        <f aca="false">Q206*P207</f>
        <v>0.003888</v>
      </c>
      <c r="R207" s="4" t="n">
        <f aca="false">'Settings '!$B$9</f>
        <v>0.9</v>
      </c>
      <c r="S207" s="4" t="n">
        <f aca="false">MIN(1,I207*R207*K207)</f>
        <v>0.243</v>
      </c>
      <c r="T207" s="4" t="n">
        <f aca="false">T206*S207</f>
        <v>0.243</v>
      </c>
      <c r="U207" s="4" t="str">
        <f aca="false">IF(E207=4,N207,"")</f>
        <v/>
      </c>
      <c r="V207" s="4" t="str">
        <f aca="false">IF(E207=4,Q207,"")</f>
        <v/>
      </c>
      <c r="W207" s="4" t="str">
        <f aca="false">IF(E207=4,T207,"")</f>
        <v/>
      </c>
      <c r="X207" s="4" t="str">
        <f aca="false">IF(E207=4,IFERROR((LN(U207)-LN(V207))/(LN(W207)-LN(V207)),0),"")</f>
        <v/>
      </c>
      <c r="Y207" s="3" t="str">
        <f aca="false">IF(E207=4,IF(X207&gt;='Settings '!$B$7,"Risk A",IF(X207&gt;='Settings '!$B$6,"Risk B","Risk C")),"")</f>
        <v/>
      </c>
      <c r="Z207" s="3" t="n">
        <f aca="false">IF(Y207="Risk B",1,0)</f>
        <v>0</v>
      </c>
      <c r="AA207" s="3" t="n">
        <f aca="false">IF(J207&gt;='Settings '!$B$10,1,0)</f>
        <v>1</v>
      </c>
      <c r="AB207" s="3" t="n">
        <f aca="false">IF(M207&gt;='Settings '!$B$11,1,0)</f>
        <v>0</v>
      </c>
      <c r="AC207" s="4" t="n">
        <f aca="false">ABS(M207-MIN(1,I207*J207*K207))</f>
        <v>0</v>
      </c>
    </row>
    <row r="208" customFormat="false" ht="14.25" hidden="false" customHeight="true" outlineLevel="0" collapsed="false">
      <c r="A208" s="3" t="s">
        <v>29</v>
      </c>
      <c r="B208" s="3" t="n">
        <v>52</v>
      </c>
      <c r="C208" s="3" t="s">
        <v>113</v>
      </c>
      <c r="D208" s="3" t="s">
        <v>39</v>
      </c>
      <c r="E208" s="3" t="n">
        <v>3</v>
      </c>
      <c r="F208" s="3" t="s">
        <v>40</v>
      </c>
      <c r="G208" s="3" t="s">
        <v>41</v>
      </c>
      <c r="H208" s="3" t="s">
        <v>42</v>
      </c>
      <c r="I208" s="4" t="n">
        <v>0.36</v>
      </c>
      <c r="J208" s="4" t="n">
        <v>0.1</v>
      </c>
      <c r="K208" s="4" t="n">
        <v>2</v>
      </c>
      <c r="L208" s="4" t="n">
        <f aca="false">I208*J208</f>
        <v>0.036</v>
      </c>
      <c r="M208" s="4" t="n">
        <f aca="false">MIN(1,I208*J208*K208)</f>
        <v>0.072</v>
      </c>
      <c r="N208" s="4" t="n">
        <f aca="false">N207*M208</f>
        <v>0.0007838208</v>
      </c>
      <c r="O208" s="4" t="n">
        <f aca="false">'Settings '!$B$8</f>
        <v>0.1</v>
      </c>
      <c r="P208" s="4" t="n">
        <f aca="false">MIN(1,I208*O208*K208)</f>
        <v>0.072</v>
      </c>
      <c r="Q208" s="4" t="n">
        <f aca="false">Q207*P208</f>
        <v>0.000279936</v>
      </c>
      <c r="R208" s="4" t="n">
        <f aca="false">'Settings '!$B$9</f>
        <v>0.9</v>
      </c>
      <c r="S208" s="4" t="n">
        <f aca="false">MIN(1,I208*R208*K208)</f>
        <v>0.648</v>
      </c>
      <c r="T208" s="4" t="n">
        <f aca="false">T207*S208</f>
        <v>0.157464</v>
      </c>
      <c r="U208" s="4" t="str">
        <f aca="false">IF(E208=4,N208,"")</f>
        <v/>
      </c>
      <c r="V208" s="4" t="str">
        <f aca="false">IF(E208=4,Q208,"")</f>
        <v/>
      </c>
      <c r="W208" s="4" t="str">
        <f aca="false">IF(E208=4,T208,"")</f>
        <v/>
      </c>
      <c r="X208" s="4" t="str">
        <f aca="false">IF(E208=4,IFERROR((LN(U208)-LN(V208))/(LN(W208)-LN(V208)),0),"")</f>
        <v/>
      </c>
      <c r="Y208" s="3" t="str">
        <f aca="false">IF(E208=4,IF(X208&gt;='Settings '!$B$7,"Risk A",IF(X208&gt;='Settings '!$B$6,"Risk B","Risk C")),"")</f>
        <v/>
      </c>
      <c r="Z208" s="3" t="n">
        <f aca="false">IF(Y208="Risk B",1,0)</f>
        <v>0</v>
      </c>
      <c r="AA208" s="3" t="n">
        <f aca="false">IF(J208&gt;='Settings '!$B$10,1,0)</f>
        <v>0</v>
      </c>
      <c r="AB208" s="3" t="n">
        <f aca="false">IF(M208&gt;='Settings '!$B$11,1,0)</f>
        <v>0</v>
      </c>
      <c r="AC208" s="4" t="n">
        <f aca="false">ABS(M208-MIN(1,I208*J208*K208))</f>
        <v>0</v>
      </c>
    </row>
    <row r="209" customFormat="false" ht="14.25" hidden="false" customHeight="true" outlineLevel="0" collapsed="false">
      <c r="A209" s="3" t="s">
        <v>29</v>
      </c>
      <c r="B209" s="3" t="n">
        <v>52</v>
      </c>
      <c r="C209" s="3" t="s">
        <v>113</v>
      </c>
      <c r="D209" s="3" t="s">
        <v>43</v>
      </c>
      <c r="E209" s="3" t="n">
        <v>4</v>
      </c>
      <c r="F209" s="3" t="s">
        <v>54</v>
      </c>
      <c r="G209" s="3" t="s">
        <v>55</v>
      </c>
      <c r="H209" s="3" t="s">
        <v>46</v>
      </c>
      <c r="I209" s="4" t="n">
        <v>0.18</v>
      </c>
      <c r="J209" s="4" t="n">
        <v>0.28</v>
      </c>
      <c r="K209" s="4" t="n">
        <v>2</v>
      </c>
      <c r="L209" s="4" t="n">
        <f aca="false">I209*J209</f>
        <v>0.0504</v>
      </c>
      <c r="M209" s="4" t="n">
        <f aca="false">MIN(1,I209*J209*K209)</f>
        <v>0.1008</v>
      </c>
      <c r="N209" s="4" t="n">
        <f aca="false">N208*M209</f>
        <v>7.900913664E-005</v>
      </c>
      <c r="O209" s="4" t="n">
        <f aca="false">'Settings '!$B$8</f>
        <v>0.1</v>
      </c>
      <c r="P209" s="4" t="n">
        <f aca="false">MIN(1,I209*O209*K209)</f>
        <v>0.036</v>
      </c>
      <c r="Q209" s="4" t="n">
        <f aca="false">Q208*P209</f>
        <v>1.0077696E-005</v>
      </c>
      <c r="R209" s="4" t="n">
        <f aca="false">'Settings '!$B$9</f>
        <v>0.9</v>
      </c>
      <c r="S209" s="4" t="n">
        <f aca="false">MIN(1,I209*R209*K209)</f>
        <v>0.324</v>
      </c>
      <c r="T209" s="4" t="n">
        <f aca="false">T208*S209</f>
        <v>0.051018336</v>
      </c>
      <c r="U209" s="4" t="n">
        <f aca="false">IF(E209=4,N209,"")</f>
        <v>7.900913664E-005</v>
      </c>
      <c r="V209" s="4" t="n">
        <f aca="false">IF(E209=4,Q209,"")</f>
        <v>1.0077696E-005</v>
      </c>
      <c r="W209" s="4" t="n">
        <f aca="false">IF(E209=4,T209,"")</f>
        <v>0.051018336</v>
      </c>
      <c r="X209" s="4" t="n">
        <f aca="false">IF(E209=4,IFERROR((LN(U209)-LN(V209))/(LN(W209)-LN(V209)),0),"")</f>
        <v>0.241422228624735</v>
      </c>
      <c r="Y209" s="3" t="str">
        <f aca="false">IF(E209=4,IF(X209&gt;='Settings '!$B$7,"Risk A",IF(X209&gt;='Settings '!$B$6,"Risk B","Risk C")),"")</f>
        <v>Risk C</v>
      </c>
      <c r="Z209" s="3" t="n">
        <f aca="false">IF(Y209="Risk B",1,0)</f>
        <v>0</v>
      </c>
      <c r="AA209" s="3" t="n">
        <f aca="false">IF(J209&gt;='Settings '!$B$10,1,0)</f>
        <v>1</v>
      </c>
      <c r="AB209" s="3" t="n">
        <f aca="false">IF(M209&gt;='Settings '!$B$11,1,0)</f>
        <v>0</v>
      </c>
      <c r="AC209" s="4" t="n">
        <f aca="false">ABS(M209-MIN(1,I209*J209*K209))</f>
        <v>0</v>
      </c>
    </row>
    <row r="210" customFormat="false" ht="25.5" hidden="false" customHeight="true" outlineLevel="0" collapsed="false">
      <c r="A210" s="3" t="s">
        <v>29</v>
      </c>
      <c r="B210" s="3" t="n">
        <v>53</v>
      </c>
      <c r="C210" s="3" t="s">
        <v>114</v>
      </c>
      <c r="D210" s="3" t="s">
        <v>31</v>
      </c>
      <c r="E210" s="3" t="n">
        <v>1</v>
      </c>
      <c r="F210" s="3" t="s">
        <v>32</v>
      </c>
      <c r="G210" s="3" t="s">
        <v>33</v>
      </c>
      <c r="H210" s="3" t="s">
        <v>34</v>
      </c>
      <c r="I210" s="4" t="n">
        <v>0.72</v>
      </c>
      <c r="J210" s="4" t="n">
        <v>0.1</v>
      </c>
      <c r="K210" s="4" t="n">
        <v>2</v>
      </c>
      <c r="L210" s="4" t="n">
        <f aca="false">I210*J210</f>
        <v>0.072</v>
      </c>
      <c r="M210" s="4" t="n">
        <f aca="false">MIN(1,I210*J210*K210)</f>
        <v>0.144</v>
      </c>
      <c r="N210" s="4" t="n">
        <f aca="false">M210</f>
        <v>0.144</v>
      </c>
      <c r="O210" s="4" t="n">
        <f aca="false">'Settings '!$B$8</f>
        <v>0.1</v>
      </c>
      <c r="P210" s="4" t="n">
        <f aca="false">MIN(1,I210*O210*K210)</f>
        <v>0.144</v>
      </c>
      <c r="Q210" s="4" t="n">
        <f aca="false">P210</f>
        <v>0.144</v>
      </c>
      <c r="R210" s="4" t="n">
        <f aca="false">'Settings '!$B$9</f>
        <v>0.9</v>
      </c>
      <c r="S210" s="4" t="n">
        <f aca="false">MIN(1,I210*R210*K210)</f>
        <v>1</v>
      </c>
      <c r="T210" s="4" t="n">
        <f aca="false">S210</f>
        <v>1</v>
      </c>
      <c r="U210" s="4" t="str">
        <f aca="false">IF(E210=4,N210,"")</f>
        <v/>
      </c>
      <c r="V210" s="4" t="str">
        <f aca="false">IF(E210=4,Q210,"")</f>
        <v/>
      </c>
      <c r="W210" s="4" t="str">
        <f aca="false">IF(E210=4,T210,"")</f>
        <v/>
      </c>
      <c r="X210" s="4" t="str">
        <f aca="false">IF(E210=4,IFERROR((LN(U210)-LN(V210))/(LN(W210)-LN(V210)),0),"")</f>
        <v/>
      </c>
      <c r="Y210" s="3" t="str">
        <f aca="false">IF(E210=4,IF(X210&gt;='Settings '!$B$7,"Risk A",IF(X210&gt;='Settings '!$B$6,"Risk B","Risk C")),"")</f>
        <v/>
      </c>
      <c r="Z210" s="3" t="n">
        <f aca="false">IF(Y210="Risk B",1,0)</f>
        <v>0</v>
      </c>
      <c r="AA210" s="3" t="n">
        <f aca="false">IF(J210&gt;='Settings '!$B$10,1,0)</f>
        <v>0</v>
      </c>
      <c r="AB210" s="3" t="n">
        <f aca="false">IF(M210&gt;='Settings '!$B$11,1,0)</f>
        <v>0</v>
      </c>
      <c r="AC210" s="4" t="n">
        <f aca="false">ABS(M210-MIN(1,I210*J210*K210))</f>
        <v>0</v>
      </c>
    </row>
    <row r="211" customFormat="false" ht="14.25" hidden="false" customHeight="true" outlineLevel="0" collapsed="false">
      <c r="A211" s="3" t="s">
        <v>29</v>
      </c>
      <c r="B211" s="3" t="n">
        <v>53</v>
      </c>
      <c r="C211" s="3" t="s">
        <v>114</v>
      </c>
      <c r="D211" s="3" t="s">
        <v>35</v>
      </c>
      <c r="E211" s="3" t="n">
        <v>2</v>
      </c>
      <c r="F211" s="3" t="s">
        <v>109</v>
      </c>
      <c r="G211" s="3" t="s">
        <v>110</v>
      </c>
      <c r="H211" s="3" t="s">
        <v>38</v>
      </c>
      <c r="I211" s="4" t="n">
        <v>0.18</v>
      </c>
      <c r="J211" s="4" t="n">
        <v>0.28</v>
      </c>
      <c r="K211" s="4" t="n">
        <v>1.5</v>
      </c>
      <c r="L211" s="4" t="n">
        <f aca="false">I211*J211</f>
        <v>0.0504</v>
      </c>
      <c r="M211" s="4" t="n">
        <f aca="false">MIN(1,I211*J211*K211)</f>
        <v>0.0756</v>
      </c>
      <c r="N211" s="4" t="n">
        <f aca="false">N210*M211</f>
        <v>0.0108864</v>
      </c>
      <c r="O211" s="4" t="n">
        <f aca="false">'Settings '!$B$8</f>
        <v>0.1</v>
      </c>
      <c r="P211" s="4" t="n">
        <f aca="false">MIN(1,I211*O211*K211)</f>
        <v>0.027</v>
      </c>
      <c r="Q211" s="4" t="n">
        <f aca="false">Q210*P211</f>
        <v>0.003888</v>
      </c>
      <c r="R211" s="4" t="n">
        <f aca="false">'Settings '!$B$9</f>
        <v>0.9</v>
      </c>
      <c r="S211" s="4" t="n">
        <f aca="false">MIN(1,I211*R211*K211)</f>
        <v>0.243</v>
      </c>
      <c r="T211" s="4" t="n">
        <f aca="false">T210*S211</f>
        <v>0.243</v>
      </c>
      <c r="U211" s="4" t="str">
        <f aca="false">IF(E211=4,N211,"")</f>
        <v/>
      </c>
      <c r="V211" s="4" t="str">
        <f aca="false">IF(E211=4,Q211,"")</f>
        <v/>
      </c>
      <c r="W211" s="4" t="str">
        <f aca="false">IF(E211=4,T211,"")</f>
        <v/>
      </c>
      <c r="X211" s="4" t="str">
        <f aca="false">IF(E211=4,IFERROR((LN(U211)-LN(V211))/(LN(W211)-LN(V211)),0),"")</f>
        <v/>
      </c>
      <c r="Y211" s="3" t="str">
        <f aca="false">IF(E211=4,IF(X211&gt;='Settings '!$B$7,"Risk A",IF(X211&gt;='Settings '!$B$6,"Risk B","Risk C")),"")</f>
        <v/>
      </c>
      <c r="Z211" s="3" t="n">
        <f aca="false">IF(Y211="Risk B",1,0)</f>
        <v>0</v>
      </c>
      <c r="AA211" s="3" t="n">
        <f aca="false">IF(J211&gt;='Settings '!$B$10,1,0)</f>
        <v>1</v>
      </c>
      <c r="AB211" s="3" t="n">
        <f aca="false">IF(M211&gt;='Settings '!$B$11,1,0)</f>
        <v>0</v>
      </c>
      <c r="AC211" s="4" t="n">
        <f aca="false">ABS(M211-MIN(1,I211*J211*K211))</f>
        <v>0</v>
      </c>
    </row>
    <row r="212" customFormat="false" ht="14.25" hidden="false" customHeight="true" outlineLevel="0" collapsed="false">
      <c r="A212" s="3" t="s">
        <v>29</v>
      </c>
      <c r="B212" s="3" t="n">
        <v>53</v>
      </c>
      <c r="C212" s="3" t="s">
        <v>114</v>
      </c>
      <c r="D212" s="3" t="s">
        <v>39</v>
      </c>
      <c r="E212" s="3" t="n">
        <v>3</v>
      </c>
      <c r="F212" s="3" t="s">
        <v>57</v>
      </c>
      <c r="G212" s="3" t="s">
        <v>58</v>
      </c>
      <c r="H212" s="3" t="s">
        <v>42</v>
      </c>
      <c r="I212" s="4" t="n">
        <v>0.36</v>
      </c>
      <c r="J212" s="4" t="n">
        <v>0.1</v>
      </c>
      <c r="K212" s="4" t="n">
        <v>2</v>
      </c>
      <c r="L212" s="4" t="n">
        <f aca="false">I212*J212</f>
        <v>0.036</v>
      </c>
      <c r="M212" s="4" t="n">
        <f aca="false">MIN(1,I212*J212*K212)</f>
        <v>0.072</v>
      </c>
      <c r="N212" s="4" t="n">
        <f aca="false">N211*M212</f>
        <v>0.0007838208</v>
      </c>
      <c r="O212" s="4" t="n">
        <f aca="false">'Settings '!$B$8</f>
        <v>0.1</v>
      </c>
      <c r="P212" s="4" t="n">
        <f aca="false">MIN(1,I212*O212*K212)</f>
        <v>0.072</v>
      </c>
      <c r="Q212" s="4" t="n">
        <f aca="false">Q211*P212</f>
        <v>0.000279936</v>
      </c>
      <c r="R212" s="4" t="n">
        <f aca="false">'Settings '!$B$9</f>
        <v>0.9</v>
      </c>
      <c r="S212" s="4" t="n">
        <f aca="false">MIN(1,I212*R212*K212)</f>
        <v>0.648</v>
      </c>
      <c r="T212" s="4" t="n">
        <f aca="false">T211*S212</f>
        <v>0.157464</v>
      </c>
      <c r="U212" s="4" t="str">
        <f aca="false">IF(E212=4,N212,"")</f>
        <v/>
      </c>
      <c r="V212" s="4" t="str">
        <f aca="false">IF(E212=4,Q212,"")</f>
        <v/>
      </c>
      <c r="W212" s="4" t="str">
        <f aca="false">IF(E212=4,T212,"")</f>
        <v/>
      </c>
      <c r="X212" s="4" t="str">
        <f aca="false">IF(E212=4,IFERROR((LN(U212)-LN(V212))/(LN(W212)-LN(V212)),0),"")</f>
        <v/>
      </c>
      <c r="Y212" s="3" t="str">
        <f aca="false">IF(E212=4,IF(X212&gt;='Settings '!$B$7,"Risk A",IF(X212&gt;='Settings '!$B$6,"Risk B","Risk C")),"")</f>
        <v/>
      </c>
      <c r="Z212" s="3" t="n">
        <f aca="false">IF(Y212="Risk B",1,0)</f>
        <v>0</v>
      </c>
      <c r="AA212" s="3" t="n">
        <f aca="false">IF(J212&gt;='Settings '!$B$10,1,0)</f>
        <v>0</v>
      </c>
      <c r="AB212" s="3" t="n">
        <f aca="false">IF(M212&gt;='Settings '!$B$11,1,0)</f>
        <v>0</v>
      </c>
      <c r="AC212" s="4" t="n">
        <f aca="false">ABS(M212-MIN(1,I212*J212*K212))</f>
        <v>0</v>
      </c>
    </row>
    <row r="213" customFormat="false" ht="14.25" hidden="false" customHeight="true" outlineLevel="0" collapsed="false">
      <c r="A213" s="3" t="s">
        <v>29</v>
      </c>
      <c r="B213" s="3" t="n">
        <v>53</v>
      </c>
      <c r="C213" s="3" t="s">
        <v>114</v>
      </c>
      <c r="D213" s="3" t="s">
        <v>43</v>
      </c>
      <c r="E213" s="3" t="n">
        <v>4</v>
      </c>
      <c r="F213" s="3" t="s">
        <v>44</v>
      </c>
      <c r="G213" s="3" t="s">
        <v>45</v>
      </c>
      <c r="H213" s="3" t="s">
        <v>46</v>
      </c>
      <c r="I213" s="4" t="n">
        <v>0.9</v>
      </c>
      <c r="J213" s="4" t="n">
        <v>0.1</v>
      </c>
      <c r="K213" s="4" t="n">
        <v>2</v>
      </c>
      <c r="L213" s="4" t="n">
        <f aca="false">I213*J213</f>
        <v>0.09</v>
      </c>
      <c r="M213" s="4" t="n">
        <f aca="false">MIN(1,I213*J213*K213)</f>
        <v>0.18</v>
      </c>
      <c r="N213" s="4" t="n">
        <f aca="false">N212*M213</f>
        <v>0.000141087744</v>
      </c>
      <c r="O213" s="4" t="n">
        <f aca="false">'Settings '!$B$8</f>
        <v>0.1</v>
      </c>
      <c r="P213" s="4" t="n">
        <f aca="false">MIN(1,I213*O213*K213)</f>
        <v>0.18</v>
      </c>
      <c r="Q213" s="4" t="n">
        <f aca="false">Q212*P213</f>
        <v>5.038848E-005</v>
      </c>
      <c r="R213" s="4" t="n">
        <f aca="false">'Settings '!$B$9</f>
        <v>0.9</v>
      </c>
      <c r="S213" s="4" t="n">
        <f aca="false">MIN(1,I213*R213*K213)</f>
        <v>1</v>
      </c>
      <c r="T213" s="4" t="n">
        <f aca="false">T212*S213</f>
        <v>0.157464</v>
      </c>
      <c r="U213" s="4" t="n">
        <f aca="false">IF(E213=4,N213,"")</f>
        <v>0.000141087744</v>
      </c>
      <c r="V213" s="4" t="n">
        <f aca="false">IF(E213=4,Q213,"")</f>
        <v>5.038848E-005</v>
      </c>
      <c r="W213" s="4" t="n">
        <f aca="false">IF(E213=4,T213,"")</f>
        <v>0.157464</v>
      </c>
      <c r="X213" s="4" t="n">
        <f aca="false">IF(E213=4,IFERROR((LN(U213)-LN(V213))/(LN(W213)-LN(V213)),0),"")</f>
        <v>0.127947702639112</v>
      </c>
      <c r="Y213" s="3" t="str">
        <f aca="false">IF(E213=4,IF(X213&gt;='Settings '!$B$7,"Risk A",IF(X213&gt;='Settings '!$B$6,"Risk B","Risk C")),"")</f>
        <v>Risk C</v>
      </c>
      <c r="Z213" s="3" t="n">
        <f aca="false">IF(Y213="Risk B",1,0)</f>
        <v>0</v>
      </c>
      <c r="AA213" s="3" t="n">
        <f aca="false">IF(J213&gt;='Settings '!$B$10,1,0)</f>
        <v>0</v>
      </c>
      <c r="AB213" s="3" t="n">
        <f aca="false">IF(M213&gt;='Settings '!$B$11,1,0)</f>
        <v>0</v>
      </c>
      <c r="AC213" s="4" t="n">
        <f aca="false">ABS(M213-MIN(1,I213*J213*K213))</f>
        <v>0</v>
      </c>
    </row>
    <row r="214" customFormat="false" ht="25.5" hidden="false" customHeight="true" outlineLevel="0" collapsed="false">
      <c r="A214" s="3" t="s">
        <v>29</v>
      </c>
      <c r="B214" s="3" t="n">
        <v>54</v>
      </c>
      <c r="C214" s="3" t="s">
        <v>115</v>
      </c>
      <c r="D214" s="3" t="s">
        <v>31</v>
      </c>
      <c r="E214" s="3" t="n">
        <v>1</v>
      </c>
      <c r="F214" s="3" t="s">
        <v>32</v>
      </c>
      <c r="G214" s="3" t="s">
        <v>33</v>
      </c>
      <c r="H214" s="3" t="s">
        <v>34</v>
      </c>
      <c r="I214" s="4" t="n">
        <v>0.72</v>
      </c>
      <c r="J214" s="4" t="n">
        <v>0.1</v>
      </c>
      <c r="K214" s="4" t="n">
        <v>2</v>
      </c>
      <c r="L214" s="4" t="n">
        <f aca="false">I214*J214</f>
        <v>0.072</v>
      </c>
      <c r="M214" s="4" t="n">
        <f aca="false">MIN(1,I214*J214*K214)</f>
        <v>0.144</v>
      </c>
      <c r="N214" s="4" t="n">
        <f aca="false">M214</f>
        <v>0.144</v>
      </c>
      <c r="O214" s="4" t="n">
        <f aca="false">'Settings '!$B$8</f>
        <v>0.1</v>
      </c>
      <c r="P214" s="4" t="n">
        <f aca="false">MIN(1,I214*O214*K214)</f>
        <v>0.144</v>
      </c>
      <c r="Q214" s="4" t="n">
        <f aca="false">P214</f>
        <v>0.144</v>
      </c>
      <c r="R214" s="4" t="n">
        <f aca="false">'Settings '!$B$9</f>
        <v>0.9</v>
      </c>
      <c r="S214" s="4" t="n">
        <f aca="false">MIN(1,I214*R214*K214)</f>
        <v>1</v>
      </c>
      <c r="T214" s="4" t="n">
        <f aca="false">S214</f>
        <v>1</v>
      </c>
      <c r="U214" s="4" t="str">
        <f aca="false">IF(E214=4,N214,"")</f>
        <v/>
      </c>
      <c r="V214" s="4" t="str">
        <f aca="false">IF(E214=4,Q214,"")</f>
        <v/>
      </c>
      <c r="W214" s="4" t="str">
        <f aca="false">IF(E214=4,T214,"")</f>
        <v/>
      </c>
      <c r="X214" s="4" t="str">
        <f aca="false">IF(E214=4,IFERROR((LN(U214)-LN(V214))/(LN(W214)-LN(V214)),0),"")</f>
        <v/>
      </c>
      <c r="Y214" s="3" t="str">
        <f aca="false">IF(E214=4,IF(X214&gt;='Settings '!$B$7,"Risk A",IF(X214&gt;='Settings '!$B$6,"Risk B","Risk C")),"")</f>
        <v/>
      </c>
      <c r="Z214" s="3" t="n">
        <f aca="false">IF(Y214="Risk B",1,0)</f>
        <v>0</v>
      </c>
      <c r="AA214" s="3" t="n">
        <f aca="false">IF(J214&gt;='Settings '!$B$10,1,0)</f>
        <v>0</v>
      </c>
      <c r="AB214" s="3" t="n">
        <f aca="false">IF(M214&gt;='Settings '!$B$11,1,0)</f>
        <v>0</v>
      </c>
      <c r="AC214" s="4" t="n">
        <f aca="false">ABS(M214-MIN(1,I214*J214*K214))</f>
        <v>0</v>
      </c>
    </row>
    <row r="215" customFormat="false" ht="14.25" hidden="false" customHeight="true" outlineLevel="0" collapsed="false">
      <c r="A215" s="3" t="s">
        <v>29</v>
      </c>
      <c r="B215" s="3" t="n">
        <v>54</v>
      </c>
      <c r="C215" s="3" t="s">
        <v>115</v>
      </c>
      <c r="D215" s="3" t="s">
        <v>35</v>
      </c>
      <c r="E215" s="3" t="n">
        <v>2</v>
      </c>
      <c r="F215" s="3" t="s">
        <v>109</v>
      </c>
      <c r="G215" s="3" t="s">
        <v>110</v>
      </c>
      <c r="H215" s="3" t="s">
        <v>38</v>
      </c>
      <c r="I215" s="4" t="n">
        <v>0.18</v>
      </c>
      <c r="J215" s="4" t="n">
        <v>0.28</v>
      </c>
      <c r="K215" s="4" t="n">
        <v>1.5</v>
      </c>
      <c r="L215" s="4" t="n">
        <f aca="false">I215*J215</f>
        <v>0.0504</v>
      </c>
      <c r="M215" s="4" t="n">
        <f aca="false">MIN(1,I215*J215*K215)</f>
        <v>0.0756</v>
      </c>
      <c r="N215" s="4" t="n">
        <f aca="false">N214*M215</f>
        <v>0.0108864</v>
      </c>
      <c r="O215" s="4" t="n">
        <f aca="false">'Settings '!$B$8</f>
        <v>0.1</v>
      </c>
      <c r="P215" s="4" t="n">
        <f aca="false">MIN(1,I215*O215*K215)</f>
        <v>0.027</v>
      </c>
      <c r="Q215" s="4" t="n">
        <f aca="false">Q214*P215</f>
        <v>0.003888</v>
      </c>
      <c r="R215" s="4" t="n">
        <f aca="false">'Settings '!$B$9</f>
        <v>0.9</v>
      </c>
      <c r="S215" s="4" t="n">
        <f aca="false">MIN(1,I215*R215*K215)</f>
        <v>0.243</v>
      </c>
      <c r="T215" s="4" t="n">
        <f aca="false">T214*S215</f>
        <v>0.243</v>
      </c>
      <c r="U215" s="4" t="str">
        <f aca="false">IF(E215=4,N215,"")</f>
        <v/>
      </c>
      <c r="V215" s="4" t="str">
        <f aca="false">IF(E215=4,Q215,"")</f>
        <v/>
      </c>
      <c r="W215" s="4" t="str">
        <f aca="false">IF(E215=4,T215,"")</f>
        <v/>
      </c>
      <c r="X215" s="4" t="str">
        <f aca="false">IF(E215=4,IFERROR((LN(U215)-LN(V215))/(LN(W215)-LN(V215)),0),"")</f>
        <v/>
      </c>
      <c r="Y215" s="3" t="str">
        <f aca="false">IF(E215=4,IF(X215&gt;='Settings '!$B$7,"Risk A",IF(X215&gt;='Settings '!$B$6,"Risk B","Risk C")),"")</f>
        <v/>
      </c>
      <c r="Z215" s="3" t="n">
        <f aca="false">IF(Y215="Risk B",1,0)</f>
        <v>0</v>
      </c>
      <c r="AA215" s="3" t="n">
        <f aca="false">IF(J215&gt;='Settings '!$B$10,1,0)</f>
        <v>1</v>
      </c>
      <c r="AB215" s="3" t="n">
        <f aca="false">IF(M215&gt;='Settings '!$B$11,1,0)</f>
        <v>0</v>
      </c>
      <c r="AC215" s="4" t="n">
        <f aca="false">ABS(M215-MIN(1,I215*J215*K215))</f>
        <v>0</v>
      </c>
    </row>
    <row r="216" customFormat="false" ht="14.25" hidden="false" customHeight="true" outlineLevel="0" collapsed="false">
      <c r="A216" s="3" t="s">
        <v>29</v>
      </c>
      <c r="B216" s="3" t="n">
        <v>54</v>
      </c>
      <c r="C216" s="3" t="s">
        <v>115</v>
      </c>
      <c r="D216" s="3" t="s">
        <v>39</v>
      </c>
      <c r="E216" s="3" t="n">
        <v>3</v>
      </c>
      <c r="F216" s="3" t="s">
        <v>57</v>
      </c>
      <c r="G216" s="3" t="s">
        <v>58</v>
      </c>
      <c r="H216" s="3" t="s">
        <v>42</v>
      </c>
      <c r="I216" s="4" t="n">
        <v>0.36</v>
      </c>
      <c r="J216" s="4" t="n">
        <v>0.1</v>
      </c>
      <c r="K216" s="4" t="n">
        <v>2</v>
      </c>
      <c r="L216" s="4" t="n">
        <f aca="false">I216*J216</f>
        <v>0.036</v>
      </c>
      <c r="M216" s="4" t="n">
        <f aca="false">MIN(1,I216*J216*K216)</f>
        <v>0.072</v>
      </c>
      <c r="N216" s="4" t="n">
        <f aca="false">N215*M216</f>
        <v>0.0007838208</v>
      </c>
      <c r="O216" s="4" t="n">
        <f aca="false">'Settings '!$B$8</f>
        <v>0.1</v>
      </c>
      <c r="P216" s="4" t="n">
        <f aca="false">MIN(1,I216*O216*K216)</f>
        <v>0.072</v>
      </c>
      <c r="Q216" s="4" t="n">
        <f aca="false">Q215*P216</f>
        <v>0.000279936</v>
      </c>
      <c r="R216" s="4" t="n">
        <f aca="false">'Settings '!$B$9</f>
        <v>0.9</v>
      </c>
      <c r="S216" s="4" t="n">
        <f aca="false">MIN(1,I216*R216*K216)</f>
        <v>0.648</v>
      </c>
      <c r="T216" s="4" t="n">
        <f aca="false">T215*S216</f>
        <v>0.157464</v>
      </c>
      <c r="U216" s="4" t="str">
        <f aca="false">IF(E216=4,N216,"")</f>
        <v/>
      </c>
      <c r="V216" s="4" t="str">
        <f aca="false">IF(E216=4,Q216,"")</f>
        <v/>
      </c>
      <c r="W216" s="4" t="str">
        <f aca="false">IF(E216=4,T216,"")</f>
        <v/>
      </c>
      <c r="X216" s="4" t="str">
        <f aca="false">IF(E216=4,IFERROR((LN(U216)-LN(V216))/(LN(W216)-LN(V216)),0),"")</f>
        <v/>
      </c>
      <c r="Y216" s="3" t="str">
        <f aca="false">IF(E216=4,IF(X216&gt;='Settings '!$B$7,"Risk A",IF(X216&gt;='Settings '!$B$6,"Risk B","Risk C")),"")</f>
        <v/>
      </c>
      <c r="Z216" s="3" t="n">
        <f aca="false">IF(Y216="Risk B",1,0)</f>
        <v>0</v>
      </c>
      <c r="AA216" s="3" t="n">
        <f aca="false">IF(J216&gt;='Settings '!$B$10,1,0)</f>
        <v>0</v>
      </c>
      <c r="AB216" s="3" t="n">
        <f aca="false">IF(M216&gt;='Settings '!$B$11,1,0)</f>
        <v>0</v>
      </c>
      <c r="AC216" s="4" t="n">
        <f aca="false">ABS(M216-MIN(1,I216*J216*K216))</f>
        <v>0</v>
      </c>
    </row>
    <row r="217" customFormat="false" ht="14.25" hidden="false" customHeight="true" outlineLevel="0" collapsed="false">
      <c r="A217" s="3" t="s">
        <v>29</v>
      </c>
      <c r="B217" s="3" t="n">
        <v>54</v>
      </c>
      <c r="C217" s="3" t="s">
        <v>115</v>
      </c>
      <c r="D217" s="3" t="s">
        <v>43</v>
      </c>
      <c r="E217" s="3" t="n">
        <v>4</v>
      </c>
      <c r="F217" s="3" t="s">
        <v>48</v>
      </c>
      <c r="G217" s="3" t="s">
        <v>49</v>
      </c>
      <c r="H217" s="3" t="s">
        <v>46</v>
      </c>
      <c r="I217" s="4" t="n">
        <v>0.72</v>
      </c>
      <c r="J217" s="4" t="n">
        <v>0.28</v>
      </c>
      <c r="K217" s="4" t="n">
        <v>2</v>
      </c>
      <c r="L217" s="4" t="n">
        <f aca="false">I217*J217</f>
        <v>0.2016</v>
      </c>
      <c r="M217" s="4" t="n">
        <f aca="false">MIN(1,I217*J217*K217)</f>
        <v>0.4032</v>
      </c>
      <c r="N217" s="4" t="n">
        <f aca="false">N216*M217</f>
        <v>0.00031603654656</v>
      </c>
      <c r="O217" s="4" t="n">
        <f aca="false">'Settings '!$B$8</f>
        <v>0.1</v>
      </c>
      <c r="P217" s="4" t="n">
        <f aca="false">MIN(1,I217*O217*K217)</f>
        <v>0.144</v>
      </c>
      <c r="Q217" s="4" t="n">
        <f aca="false">Q216*P217</f>
        <v>4.0310784E-005</v>
      </c>
      <c r="R217" s="4" t="n">
        <f aca="false">'Settings '!$B$9</f>
        <v>0.9</v>
      </c>
      <c r="S217" s="4" t="n">
        <f aca="false">MIN(1,I217*R217*K217)</f>
        <v>1</v>
      </c>
      <c r="T217" s="4" t="n">
        <f aca="false">T216*S217</f>
        <v>0.157464</v>
      </c>
      <c r="U217" s="4" t="n">
        <f aca="false">IF(E217=4,N217,"")</f>
        <v>0.00031603654656</v>
      </c>
      <c r="V217" s="4" t="n">
        <f aca="false">IF(E217=4,Q217,"")</f>
        <v>4.0310784E-005</v>
      </c>
      <c r="W217" s="4" t="n">
        <f aca="false">IF(E217=4,T217,"")</f>
        <v>0.157464</v>
      </c>
      <c r="X217" s="4" t="n">
        <f aca="false">IF(E217=4,IFERROR((LN(U217)-LN(V217))/(LN(W217)-LN(V217)),0),"")</f>
        <v>0.248991038946756</v>
      </c>
      <c r="Y217" s="3" t="str">
        <f aca="false">IF(E217=4,IF(X217&gt;='Settings '!$B$7,"Risk A",IF(X217&gt;='Settings '!$B$6,"Risk B","Risk C")),"")</f>
        <v>Risk C</v>
      </c>
      <c r="Z217" s="3" t="n">
        <f aca="false">IF(Y217="Risk B",1,0)</f>
        <v>0</v>
      </c>
      <c r="AA217" s="3" t="n">
        <f aca="false">IF(J217&gt;='Settings '!$B$10,1,0)</f>
        <v>1</v>
      </c>
      <c r="AB217" s="3" t="n">
        <f aca="false">IF(M217&gt;='Settings '!$B$11,1,0)</f>
        <v>1</v>
      </c>
      <c r="AC217" s="4" t="n">
        <f aca="false">ABS(M217-MIN(1,I217*J217*K217))</f>
        <v>0</v>
      </c>
    </row>
    <row r="218" customFormat="false" ht="25.5" hidden="false" customHeight="true" outlineLevel="0" collapsed="false">
      <c r="A218" s="3" t="s">
        <v>29</v>
      </c>
      <c r="B218" s="3" t="n">
        <v>55</v>
      </c>
      <c r="C218" s="3" t="s">
        <v>116</v>
      </c>
      <c r="D218" s="3" t="s">
        <v>31</v>
      </c>
      <c r="E218" s="3" t="n">
        <v>1</v>
      </c>
      <c r="F218" s="3" t="s">
        <v>32</v>
      </c>
      <c r="G218" s="3" t="s">
        <v>33</v>
      </c>
      <c r="H218" s="3" t="s">
        <v>34</v>
      </c>
      <c r="I218" s="4" t="n">
        <v>0.72</v>
      </c>
      <c r="J218" s="4" t="n">
        <v>0.1</v>
      </c>
      <c r="K218" s="4" t="n">
        <v>2</v>
      </c>
      <c r="L218" s="4" t="n">
        <f aca="false">I218*J218</f>
        <v>0.072</v>
      </c>
      <c r="M218" s="4" t="n">
        <f aca="false">MIN(1,I218*J218*K218)</f>
        <v>0.144</v>
      </c>
      <c r="N218" s="4" t="n">
        <f aca="false">M218</f>
        <v>0.144</v>
      </c>
      <c r="O218" s="4" t="n">
        <f aca="false">'Settings '!$B$8</f>
        <v>0.1</v>
      </c>
      <c r="P218" s="4" t="n">
        <f aca="false">MIN(1,I218*O218*K218)</f>
        <v>0.144</v>
      </c>
      <c r="Q218" s="4" t="n">
        <f aca="false">P218</f>
        <v>0.144</v>
      </c>
      <c r="R218" s="4" t="n">
        <f aca="false">'Settings '!$B$9</f>
        <v>0.9</v>
      </c>
      <c r="S218" s="4" t="n">
        <f aca="false">MIN(1,I218*R218*K218)</f>
        <v>1</v>
      </c>
      <c r="T218" s="4" t="n">
        <f aca="false">S218</f>
        <v>1</v>
      </c>
      <c r="U218" s="4" t="str">
        <f aca="false">IF(E218=4,N218,"")</f>
        <v/>
      </c>
      <c r="V218" s="4" t="str">
        <f aca="false">IF(E218=4,Q218,"")</f>
        <v/>
      </c>
      <c r="W218" s="4" t="str">
        <f aca="false">IF(E218=4,T218,"")</f>
        <v/>
      </c>
      <c r="X218" s="4" t="str">
        <f aca="false">IF(E218=4,IFERROR((LN(U218)-LN(V218))/(LN(W218)-LN(V218)),0),"")</f>
        <v/>
      </c>
      <c r="Y218" s="3" t="str">
        <f aca="false">IF(E218=4,IF(X218&gt;='Settings '!$B$7,"Risk A",IF(X218&gt;='Settings '!$B$6,"Risk B","Risk C")),"")</f>
        <v/>
      </c>
      <c r="Z218" s="3" t="n">
        <f aca="false">IF(Y218="Risk B",1,0)</f>
        <v>0</v>
      </c>
      <c r="AA218" s="3" t="n">
        <f aca="false">IF(J218&gt;='Settings '!$B$10,1,0)</f>
        <v>0</v>
      </c>
      <c r="AB218" s="3" t="n">
        <f aca="false">IF(M218&gt;='Settings '!$B$11,1,0)</f>
        <v>0</v>
      </c>
      <c r="AC218" s="4" t="n">
        <f aca="false">ABS(M218-MIN(1,I218*J218*K218))</f>
        <v>0</v>
      </c>
    </row>
    <row r="219" customFormat="false" ht="14.25" hidden="false" customHeight="true" outlineLevel="0" collapsed="false">
      <c r="A219" s="3" t="s">
        <v>29</v>
      </c>
      <c r="B219" s="3" t="n">
        <v>55</v>
      </c>
      <c r="C219" s="3" t="s">
        <v>116</v>
      </c>
      <c r="D219" s="3" t="s">
        <v>35</v>
      </c>
      <c r="E219" s="3" t="n">
        <v>2</v>
      </c>
      <c r="F219" s="3" t="s">
        <v>109</v>
      </c>
      <c r="G219" s="3" t="s">
        <v>110</v>
      </c>
      <c r="H219" s="3" t="s">
        <v>38</v>
      </c>
      <c r="I219" s="4" t="n">
        <v>0.18</v>
      </c>
      <c r="J219" s="4" t="n">
        <v>0.28</v>
      </c>
      <c r="K219" s="4" t="n">
        <v>1.5</v>
      </c>
      <c r="L219" s="4" t="n">
        <f aca="false">I219*J219</f>
        <v>0.0504</v>
      </c>
      <c r="M219" s="4" t="n">
        <f aca="false">MIN(1,I219*J219*K219)</f>
        <v>0.0756</v>
      </c>
      <c r="N219" s="4" t="n">
        <f aca="false">N218*M219</f>
        <v>0.0108864</v>
      </c>
      <c r="O219" s="4" t="n">
        <f aca="false">'Settings '!$B$8</f>
        <v>0.1</v>
      </c>
      <c r="P219" s="4" t="n">
        <f aca="false">MIN(1,I219*O219*K219)</f>
        <v>0.027</v>
      </c>
      <c r="Q219" s="4" t="n">
        <f aca="false">Q218*P219</f>
        <v>0.003888</v>
      </c>
      <c r="R219" s="4" t="n">
        <f aca="false">'Settings '!$B$9</f>
        <v>0.9</v>
      </c>
      <c r="S219" s="4" t="n">
        <f aca="false">MIN(1,I219*R219*K219)</f>
        <v>0.243</v>
      </c>
      <c r="T219" s="4" t="n">
        <f aca="false">T218*S219</f>
        <v>0.243</v>
      </c>
      <c r="U219" s="4" t="str">
        <f aca="false">IF(E219=4,N219,"")</f>
        <v/>
      </c>
      <c r="V219" s="4" t="str">
        <f aca="false">IF(E219=4,Q219,"")</f>
        <v/>
      </c>
      <c r="W219" s="4" t="str">
        <f aca="false">IF(E219=4,T219,"")</f>
        <v/>
      </c>
      <c r="X219" s="4" t="str">
        <f aca="false">IF(E219=4,IFERROR((LN(U219)-LN(V219))/(LN(W219)-LN(V219)),0),"")</f>
        <v/>
      </c>
      <c r="Y219" s="3" t="str">
        <f aca="false">IF(E219=4,IF(X219&gt;='Settings '!$B$7,"Risk A",IF(X219&gt;='Settings '!$B$6,"Risk B","Risk C")),"")</f>
        <v/>
      </c>
      <c r="Z219" s="3" t="n">
        <f aca="false">IF(Y219="Risk B",1,0)</f>
        <v>0</v>
      </c>
      <c r="AA219" s="3" t="n">
        <f aca="false">IF(J219&gt;='Settings '!$B$10,1,0)</f>
        <v>1</v>
      </c>
      <c r="AB219" s="3" t="n">
        <f aca="false">IF(M219&gt;='Settings '!$B$11,1,0)</f>
        <v>0</v>
      </c>
      <c r="AC219" s="4" t="n">
        <f aca="false">ABS(M219-MIN(1,I219*J219*K219))</f>
        <v>0</v>
      </c>
    </row>
    <row r="220" customFormat="false" ht="14.25" hidden="false" customHeight="true" outlineLevel="0" collapsed="false">
      <c r="A220" s="3" t="s">
        <v>29</v>
      </c>
      <c r="B220" s="3" t="n">
        <v>55</v>
      </c>
      <c r="C220" s="3" t="s">
        <v>116</v>
      </c>
      <c r="D220" s="3" t="s">
        <v>39</v>
      </c>
      <c r="E220" s="3" t="n">
        <v>3</v>
      </c>
      <c r="F220" s="3" t="s">
        <v>57</v>
      </c>
      <c r="G220" s="3" t="s">
        <v>58</v>
      </c>
      <c r="H220" s="3" t="s">
        <v>42</v>
      </c>
      <c r="I220" s="4" t="n">
        <v>0.36</v>
      </c>
      <c r="J220" s="4" t="n">
        <v>0.1</v>
      </c>
      <c r="K220" s="4" t="n">
        <v>2</v>
      </c>
      <c r="L220" s="4" t="n">
        <f aca="false">I220*J220</f>
        <v>0.036</v>
      </c>
      <c r="M220" s="4" t="n">
        <f aca="false">MIN(1,I220*J220*K220)</f>
        <v>0.072</v>
      </c>
      <c r="N220" s="4" t="n">
        <f aca="false">N219*M220</f>
        <v>0.0007838208</v>
      </c>
      <c r="O220" s="4" t="n">
        <f aca="false">'Settings '!$B$8</f>
        <v>0.1</v>
      </c>
      <c r="P220" s="4" t="n">
        <f aca="false">MIN(1,I220*O220*K220)</f>
        <v>0.072</v>
      </c>
      <c r="Q220" s="4" t="n">
        <f aca="false">Q219*P220</f>
        <v>0.000279936</v>
      </c>
      <c r="R220" s="4" t="n">
        <f aca="false">'Settings '!$B$9</f>
        <v>0.9</v>
      </c>
      <c r="S220" s="4" t="n">
        <f aca="false">MIN(1,I220*R220*K220)</f>
        <v>0.648</v>
      </c>
      <c r="T220" s="4" t="n">
        <f aca="false">T219*S220</f>
        <v>0.157464</v>
      </c>
      <c r="U220" s="4" t="str">
        <f aca="false">IF(E220=4,N220,"")</f>
        <v/>
      </c>
      <c r="V220" s="4" t="str">
        <f aca="false">IF(E220=4,Q220,"")</f>
        <v/>
      </c>
      <c r="W220" s="4" t="str">
        <f aca="false">IF(E220=4,T220,"")</f>
        <v/>
      </c>
      <c r="X220" s="4" t="str">
        <f aca="false">IF(E220=4,IFERROR((LN(U220)-LN(V220))/(LN(W220)-LN(V220)),0),"")</f>
        <v/>
      </c>
      <c r="Y220" s="3" t="str">
        <f aca="false">IF(E220=4,IF(X220&gt;='Settings '!$B$7,"Risk A",IF(X220&gt;='Settings '!$B$6,"Risk B","Risk C")),"")</f>
        <v/>
      </c>
      <c r="Z220" s="3" t="n">
        <f aca="false">IF(Y220="Risk B",1,0)</f>
        <v>0</v>
      </c>
      <c r="AA220" s="3" t="n">
        <f aca="false">IF(J220&gt;='Settings '!$B$10,1,0)</f>
        <v>0</v>
      </c>
      <c r="AB220" s="3" t="n">
        <f aca="false">IF(M220&gt;='Settings '!$B$11,1,0)</f>
        <v>0</v>
      </c>
      <c r="AC220" s="4" t="n">
        <f aca="false">ABS(M220-MIN(1,I220*J220*K220))</f>
        <v>0</v>
      </c>
    </row>
    <row r="221" customFormat="false" ht="14.25" hidden="false" customHeight="true" outlineLevel="0" collapsed="false">
      <c r="A221" s="3" t="s">
        <v>29</v>
      </c>
      <c r="B221" s="3" t="n">
        <v>55</v>
      </c>
      <c r="C221" s="3" t="s">
        <v>116</v>
      </c>
      <c r="D221" s="3" t="s">
        <v>43</v>
      </c>
      <c r="E221" s="3" t="n">
        <v>4</v>
      </c>
      <c r="F221" s="3" t="s">
        <v>51</v>
      </c>
      <c r="G221" s="3" t="s">
        <v>52</v>
      </c>
      <c r="H221" s="3" t="s">
        <v>46</v>
      </c>
      <c r="I221" s="4" t="n">
        <v>0.18</v>
      </c>
      <c r="J221" s="4" t="n">
        <v>0.28</v>
      </c>
      <c r="K221" s="4" t="n">
        <v>2</v>
      </c>
      <c r="L221" s="4" t="n">
        <f aca="false">I221*J221</f>
        <v>0.0504</v>
      </c>
      <c r="M221" s="4" t="n">
        <f aca="false">MIN(1,I221*J221*K221)</f>
        <v>0.1008</v>
      </c>
      <c r="N221" s="4" t="n">
        <f aca="false">N220*M221</f>
        <v>7.900913664E-005</v>
      </c>
      <c r="O221" s="4" t="n">
        <f aca="false">'Settings '!$B$8</f>
        <v>0.1</v>
      </c>
      <c r="P221" s="4" t="n">
        <f aca="false">MIN(1,I221*O221*K221)</f>
        <v>0.036</v>
      </c>
      <c r="Q221" s="4" t="n">
        <f aca="false">Q220*P221</f>
        <v>1.0077696E-005</v>
      </c>
      <c r="R221" s="4" t="n">
        <f aca="false">'Settings '!$B$9</f>
        <v>0.9</v>
      </c>
      <c r="S221" s="4" t="n">
        <f aca="false">MIN(1,I221*R221*K221)</f>
        <v>0.324</v>
      </c>
      <c r="T221" s="4" t="n">
        <f aca="false">T220*S221</f>
        <v>0.051018336</v>
      </c>
      <c r="U221" s="4" t="n">
        <f aca="false">IF(E221=4,N221,"")</f>
        <v>7.900913664E-005</v>
      </c>
      <c r="V221" s="4" t="n">
        <f aca="false">IF(E221=4,Q221,"")</f>
        <v>1.0077696E-005</v>
      </c>
      <c r="W221" s="4" t="n">
        <f aca="false">IF(E221=4,T221,"")</f>
        <v>0.051018336</v>
      </c>
      <c r="X221" s="4" t="n">
        <f aca="false">IF(E221=4,IFERROR((LN(U221)-LN(V221))/(LN(W221)-LN(V221)),0),"")</f>
        <v>0.241422228624735</v>
      </c>
      <c r="Y221" s="3" t="str">
        <f aca="false">IF(E221=4,IF(X221&gt;='Settings '!$B$7,"Risk A",IF(X221&gt;='Settings '!$B$6,"Risk B","Risk C")),"")</f>
        <v>Risk C</v>
      </c>
      <c r="Z221" s="3" t="n">
        <f aca="false">IF(Y221="Risk B",1,0)</f>
        <v>0</v>
      </c>
      <c r="AA221" s="3" t="n">
        <f aca="false">IF(J221&gt;='Settings '!$B$10,1,0)</f>
        <v>1</v>
      </c>
      <c r="AB221" s="3" t="n">
        <f aca="false">IF(M221&gt;='Settings '!$B$11,1,0)</f>
        <v>0</v>
      </c>
      <c r="AC221" s="4" t="n">
        <f aca="false">ABS(M221-MIN(1,I221*J221*K221))</f>
        <v>0</v>
      </c>
    </row>
    <row r="222" customFormat="false" ht="25.5" hidden="false" customHeight="true" outlineLevel="0" collapsed="false">
      <c r="A222" s="3" t="s">
        <v>29</v>
      </c>
      <c r="B222" s="3" t="n">
        <v>56</v>
      </c>
      <c r="C222" s="3" t="s">
        <v>117</v>
      </c>
      <c r="D222" s="3" t="s">
        <v>31</v>
      </c>
      <c r="E222" s="3" t="n">
        <v>1</v>
      </c>
      <c r="F222" s="3" t="s">
        <v>32</v>
      </c>
      <c r="G222" s="3" t="s">
        <v>33</v>
      </c>
      <c r="H222" s="3" t="s">
        <v>34</v>
      </c>
      <c r="I222" s="4" t="n">
        <v>0.72</v>
      </c>
      <c r="J222" s="4" t="n">
        <v>0.1</v>
      </c>
      <c r="K222" s="4" t="n">
        <v>2</v>
      </c>
      <c r="L222" s="4" t="n">
        <f aca="false">I222*J222</f>
        <v>0.072</v>
      </c>
      <c r="M222" s="4" t="n">
        <f aca="false">MIN(1,I222*J222*K222)</f>
        <v>0.144</v>
      </c>
      <c r="N222" s="4" t="n">
        <f aca="false">M222</f>
        <v>0.144</v>
      </c>
      <c r="O222" s="4" t="n">
        <f aca="false">'Settings '!$B$8</f>
        <v>0.1</v>
      </c>
      <c r="P222" s="4" t="n">
        <f aca="false">MIN(1,I222*O222*K222)</f>
        <v>0.144</v>
      </c>
      <c r="Q222" s="4" t="n">
        <f aca="false">P222</f>
        <v>0.144</v>
      </c>
      <c r="R222" s="4" t="n">
        <f aca="false">'Settings '!$B$9</f>
        <v>0.9</v>
      </c>
      <c r="S222" s="4" t="n">
        <f aca="false">MIN(1,I222*R222*K222)</f>
        <v>1</v>
      </c>
      <c r="T222" s="4" t="n">
        <f aca="false">S222</f>
        <v>1</v>
      </c>
      <c r="U222" s="4" t="str">
        <f aca="false">IF(E222=4,N222,"")</f>
        <v/>
      </c>
      <c r="V222" s="4" t="str">
        <f aca="false">IF(E222=4,Q222,"")</f>
        <v/>
      </c>
      <c r="W222" s="4" t="str">
        <f aca="false">IF(E222=4,T222,"")</f>
        <v/>
      </c>
      <c r="X222" s="4" t="str">
        <f aca="false">IF(E222=4,IFERROR((LN(U222)-LN(V222))/(LN(W222)-LN(V222)),0),"")</f>
        <v/>
      </c>
      <c r="Y222" s="3" t="str">
        <f aca="false">IF(E222=4,IF(X222&gt;='Settings '!$B$7,"Risk A",IF(X222&gt;='Settings '!$B$6,"Risk B","Risk C")),"")</f>
        <v/>
      </c>
      <c r="Z222" s="3" t="n">
        <f aca="false">IF(Y222="Risk B",1,0)</f>
        <v>0</v>
      </c>
      <c r="AA222" s="3" t="n">
        <f aca="false">IF(J222&gt;='Settings '!$B$10,1,0)</f>
        <v>0</v>
      </c>
      <c r="AB222" s="3" t="n">
        <f aca="false">IF(M222&gt;='Settings '!$B$11,1,0)</f>
        <v>0</v>
      </c>
      <c r="AC222" s="4" t="n">
        <f aca="false">ABS(M222-MIN(1,I222*J222*K222))</f>
        <v>0</v>
      </c>
    </row>
    <row r="223" customFormat="false" ht="14.25" hidden="false" customHeight="true" outlineLevel="0" collapsed="false">
      <c r="A223" s="3" t="s">
        <v>29</v>
      </c>
      <c r="B223" s="3" t="n">
        <v>56</v>
      </c>
      <c r="C223" s="3" t="s">
        <v>117</v>
      </c>
      <c r="D223" s="3" t="s">
        <v>35</v>
      </c>
      <c r="E223" s="3" t="n">
        <v>2</v>
      </c>
      <c r="F223" s="3" t="s">
        <v>109</v>
      </c>
      <c r="G223" s="3" t="s">
        <v>110</v>
      </c>
      <c r="H223" s="3" t="s">
        <v>38</v>
      </c>
      <c r="I223" s="4" t="n">
        <v>0.18</v>
      </c>
      <c r="J223" s="4" t="n">
        <v>0.28</v>
      </c>
      <c r="K223" s="4" t="n">
        <v>1.5</v>
      </c>
      <c r="L223" s="4" t="n">
        <f aca="false">I223*J223</f>
        <v>0.0504</v>
      </c>
      <c r="M223" s="4" t="n">
        <f aca="false">MIN(1,I223*J223*K223)</f>
        <v>0.0756</v>
      </c>
      <c r="N223" s="4" t="n">
        <f aca="false">N222*M223</f>
        <v>0.0108864</v>
      </c>
      <c r="O223" s="4" t="n">
        <f aca="false">'Settings '!$B$8</f>
        <v>0.1</v>
      </c>
      <c r="P223" s="4" t="n">
        <f aca="false">MIN(1,I223*O223*K223)</f>
        <v>0.027</v>
      </c>
      <c r="Q223" s="4" t="n">
        <f aca="false">Q222*P223</f>
        <v>0.003888</v>
      </c>
      <c r="R223" s="4" t="n">
        <f aca="false">'Settings '!$B$9</f>
        <v>0.9</v>
      </c>
      <c r="S223" s="4" t="n">
        <f aca="false">MIN(1,I223*R223*K223)</f>
        <v>0.243</v>
      </c>
      <c r="T223" s="4" t="n">
        <f aca="false">T222*S223</f>
        <v>0.243</v>
      </c>
      <c r="U223" s="4" t="str">
        <f aca="false">IF(E223=4,N223,"")</f>
        <v/>
      </c>
      <c r="V223" s="4" t="str">
        <f aca="false">IF(E223=4,Q223,"")</f>
        <v/>
      </c>
      <c r="W223" s="4" t="str">
        <f aca="false">IF(E223=4,T223,"")</f>
        <v/>
      </c>
      <c r="X223" s="4" t="str">
        <f aca="false">IF(E223=4,IFERROR((LN(U223)-LN(V223))/(LN(W223)-LN(V223)),0),"")</f>
        <v/>
      </c>
      <c r="Y223" s="3" t="str">
        <f aca="false">IF(E223=4,IF(X223&gt;='Settings '!$B$7,"Risk A",IF(X223&gt;='Settings '!$B$6,"Risk B","Risk C")),"")</f>
        <v/>
      </c>
      <c r="Z223" s="3" t="n">
        <f aca="false">IF(Y223="Risk B",1,0)</f>
        <v>0</v>
      </c>
      <c r="AA223" s="3" t="n">
        <f aca="false">IF(J223&gt;='Settings '!$B$10,1,0)</f>
        <v>1</v>
      </c>
      <c r="AB223" s="3" t="n">
        <f aca="false">IF(M223&gt;='Settings '!$B$11,1,0)</f>
        <v>0</v>
      </c>
      <c r="AC223" s="4" t="n">
        <f aca="false">ABS(M223-MIN(1,I223*J223*K223))</f>
        <v>0</v>
      </c>
    </row>
    <row r="224" customFormat="false" ht="14.25" hidden="false" customHeight="true" outlineLevel="0" collapsed="false">
      <c r="A224" s="3" t="s">
        <v>29</v>
      </c>
      <c r="B224" s="3" t="n">
        <v>56</v>
      </c>
      <c r="C224" s="3" t="s">
        <v>117</v>
      </c>
      <c r="D224" s="3" t="s">
        <v>39</v>
      </c>
      <c r="E224" s="3" t="n">
        <v>3</v>
      </c>
      <c r="F224" s="3" t="s">
        <v>57</v>
      </c>
      <c r="G224" s="3" t="s">
        <v>58</v>
      </c>
      <c r="H224" s="3" t="s">
        <v>42</v>
      </c>
      <c r="I224" s="4" t="n">
        <v>0.36</v>
      </c>
      <c r="J224" s="4" t="n">
        <v>0.1</v>
      </c>
      <c r="K224" s="4" t="n">
        <v>2</v>
      </c>
      <c r="L224" s="4" t="n">
        <f aca="false">I224*J224</f>
        <v>0.036</v>
      </c>
      <c r="M224" s="4" t="n">
        <f aca="false">MIN(1,I224*J224*K224)</f>
        <v>0.072</v>
      </c>
      <c r="N224" s="4" t="n">
        <f aca="false">N223*M224</f>
        <v>0.0007838208</v>
      </c>
      <c r="O224" s="4" t="n">
        <f aca="false">'Settings '!$B$8</f>
        <v>0.1</v>
      </c>
      <c r="P224" s="4" t="n">
        <f aca="false">MIN(1,I224*O224*K224)</f>
        <v>0.072</v>
      </c>
      <c r="Q224" s="4" t="n">
        <f aca="false">Q223*P224</f>
        <v>0.000279936</v>
      </c>
      <c r="R224" s="4" t="n">
        <f aca="false">'Settings '!$B$9</f>
        <v>0.9</v>
      </c>
      <c r="S224" s="4" t="n">
        <f aca="false">MIN(1,I224*R224*K224)</f>
        <v>0.648</v>
      </c>
      <c r="T224" s="4" t="n">
        <f aca="false">T223*S224</f>
        <v>0.157464</v>
      </c>
      <c r="U224" s="4" t="str">
        <f aca="false">IF(E224=4,N224,"")</f>
        <v/>
      </c>
      <c r="V224" s="4" t="str">
        <f aca="false">IF(E224=4,Q224,"")</f>
        <v/>
      </c>
      <c r="W224" s="4" t="str">
        <f aca="false">IF(E224=4,T224,"")</f>
        <v/>
      </c>
      <c r="X224" s="4" t="str">
        <f aca="false">IF(E224=4,IFERROR((LN(U224)-LN(V224))/(LN(W224)-LN(V224)),0),"")</f>
        <v/>
      </c>
      <c r="Y224" s="3" t="str">
        <f aca="false">IF(E224=4,IF(X224&gt;='Settings '!$B$7,"Risk A",IF(X224&gt;='Settings '!$B$6,"Risk B","Risk C")),"")</f>
        <v/>
      </c>
      <c r="Z224" s="3" t="n">
        <f aca="false">IF(Y224="Risk B",1,0)</f>
        <v>0</v>
      </c>
      <c r="AA224" s="3" t="n">
        <f aca="false">IF(J224&gt;='Settings '!$B$10,1,0)</f>
        <v>0</v>
      </c>
      <c r="AB224" s="3" t="n">
        <f aca="false">IF(M224&gt;='Settings '!$B$11,1,0)</f>
        <v>0</v>
      </c>
      <c r="AC224" s="4" t="n">
        <f aca="false">ABS(M224-MIN(1,I224*J224*K224))</f>
        <v>0</v>
      </c>
    </row>
    <row r="225" customFormat="false" ht="14.25" hidden="false" customHeight="true" outlineLevel="0" collapsed="false">
      <c r="A225" s="3" t="s">
        <v>29</v>
      </c>
      <c r="B225" s="3" t="n">
        <v>56</v>
      </c>
      <c r="C225" s="3" t="s">
        <v>117</v>
      </c>
      <c r="D225" s="3" t="s">
        <v>43</v>
      </c>
      <c r="E225" s="3" t="n">
        <v>4</v>
      </c>
      <c r="F225" s="3" t="s">
        <v>54</v>
      </c>
      <c r="G225" s="3" t="s">
        <v>55</v>
      </c>
      <c r="H225" s="3" t="s">
        <v>46</v>
      </c>
      <c r="I225" s="4" t="n">
        <v>0.18</v>
      </c>
      <c r="J225" s="4" t="n">
        <v>0.28</v>
      </c>
      <c r="K225" s="4" t="n">
        <v>2</v>
      </c>
      <c r="L225" s="4" t="n">
        <f aca="false">I225*J225</f>
        <v>0.0504</v>
      </c>
      <c r="M225" s="4" t="n">
        <f aca="false">MIN(1,I225*J225*K225)</f>
        <v>0.1008</v>
      </c>
      <c r="N225" s="4" t="n">
        <f aca="false">N224*M225</f>
        <v>7.900913664E-005</v>
      </c>
      <c r="O225" s="4" t="n">
        <f aca="false">'Settings '!$B$8</f>
        <v>0.1</v>
      </c>
      <c r="P225" s="4" t="n">
        <f aca="false">MIN(1,I225*O225*K225)</f>
        <v>0.036</v>
      </c>
      <c r="Q225" s="4" t="n">
        <f aca="false">Q224*P225</f>
        <v>1.0077696E-005</v>
      </c>
      <c r="R225" s="4" t="n">
        <f aca="false">'Settings '!$B$9</f>
        <v>0.9</v>
      </c>
      <c r="S225" s="4" t="n">
        <f aca="false">MIN(1,I225*R225*K225)</f>
        <v>0.324</v>
      </c>
      <c r="T225" s="4" t="n">
        <f aca="false">T224*S225</f>
        <v>0.051018336</v>
      </c>
      <c r="U225" s="4" t="n">
        <f aca="false">IF(E225=4,N225,"")</f>
        <v>7.900913664E-005</v>
      </c>
      <c r="V225" s="4" t="n">
        <f aca="false">IF(E225=4,Q225,"")</f>
        <v>1.0077696E-005</v>
      </c>
      <c r="W225" s="4" t="n">
        <f aca="false">IF(E225=4,T225,"")</f>
        <v>0.051018336</v>
      </c>
      <c r="X225" s="4" t="n">
        <f aca="false">IF(E225=4,IFERROR((LN(U225)-LN(V225))/(LN(W225)-LN(V225)),0),"")</f>
        <v>0.241422228624735</v>
      </c>
      <c r="Y225" s="3" t="str">
        <f aca="false">IF(E225=4,IF(X225&gt;='Settings '!$B$7,"Risk A",IF(X225&gt;='Settings '!$B$6,"Risk B","Risk C")),"")</f>
        <v>Risk C</v>
      </c>
      <c r="Z225" s="3" t="n">
        <f aca="false">IF(Y225="Risk B",1,0)</f>
        <v>0</v>
      </c>
      <c r="AA225" s="3" t="n">
        <f aca="false">IF(J225&gt;='Settings '!$B$10,1,0)</f>
        <v>1</v>
      </c>
      <c r="AB225" s="3" t="n">
        <f aca="false">IF(M225&gt;='Settings '!$B$11,1,0)</f>
        <v>0</v>
      </c>
      <c r="AC225" s="4" t="n">
        <f aca="false">ABS(M225-MIN(1,I225*J225*K225))</f>
        <v>0</v>
      </c>
    </row>
    <row r="226" customFormat="false" ht="25.5" hidden="false" customHeight="true" outlineLevel="0" collapsed="false">
      <c r="A226" s="3" t="s">
        <v>29</v>
      </c>
      <c r="B226" s="3" t="n">
        <v>57</v>
      </c>
      <c r="C226" s="3" t="s">
        <v>118</v>
      </c>
      <c r="D226" s="3" t="s">
        <v>31</v>
      </c>
      <c r="E226" s="3" t="n">
        <v>1</v>
      </c>
      <c r="F226" s="3" t="s">
        <v>32</v>
      </c>
      <c r="G226" s="3" t="s">
        <v>33</v>
      </c>
      <c r="H226" s="3" t="s">
        <v>34</v>
      </c>
      <c r="I226" s="4" t="n">
        <v>0.72</v>
      </c>
      <c r="J226" s="4" t="n">
        <v>0.1</v>
      </c>
      <c r="K226" s="4" t="n">
        <v>2</v>
      </c>
      <c r="L226" s="4" t="n">
        <f aca="false">I226*J226</f>
        <v>0.072</v>
      </c>
      <c r="M226" s="4" t="n">
        <f aca="false">MIN(1,I226*J226*K226)</f>
        <v>0.144</v>
      </c>
      <c r="N226" s="4" t="n">
        <f aca="false">M226</f>
        <v>0.144</v>
      </c>
      <c r="O226" s="4" t="n">
        <f aca="false">'Settings '!$B$8</f>
        <v>0.1</v>
      </c>
      <c r="P226" s="4" t="n">
        <f aca="false">MIN(1,I226*O226*K226)</f>
        <v>0.144</v>
      </c>
      <c r="Q226" s="4" t="n">
        <f aca="false">P226</f>
        <v>0.144</v>
      </c>
      <c r="R226" s="4" t="n">
        <f aca="false">'Settings '!$B$9</f>
        <v>0.9</v>
      </c>
      <c r="S226" s="4" t="n">
        <f aca="false">MIN(1,I226*R226*K226)</f>
        <v>1</v>
      </c>
      <c r="T226" s="4" t="n">
        <f aca="false">S226</f>
        <v>1</v>
      </c>
      <c r="U226" s="4" t="str">
        <f aca="false">IF(E226=4,N226,"")</f>
        <v/>
      </c>
      <c r="V226" s="4" t="str">
        <f aca="false">IF(E226=4,Q226,"")</f>
        <v/>
      </c>
      <c r="W226" s="4" t="str">
        <f aca="false">IF(E226=4,T226,"")</f>
        <v/>
      </c>
      <c r="X226" s="4" t="str">
        <f aca="false">IF(E226=4,IFERROR((LN(U226)-LN(V226))/(LN(W226)-LN(V226)),0),"")</f>
        <v/>
      </c>
      <c r="Y226" s="3" t="str">
        <f aca="false">IF(E226=4,IF(X226&gt;='Settings '!$B$7,"Risk A",IF(X226&gt;='Settings '!$B$6,"Risk B","Risk C")),"")</f>
        <v/>
      </c>
      <c r="Z226" s="3" t="n">
        <f aca="false">IF(Y226="Risk B",1,0)</f>
        <v>0</v>
      </c>
      <c r="AA226" s="3" t="n">
        <f aca="false">IF(J226&gt;='Settings '!$B$10,1,0)</f>
        <v>0</v>
      </c>
      <c r="AB226" s="3" t="n">
        <f aca="false">IF(M226&gt;='Settings '!$B$11,1,0)</f>
        <v>0</v>
      </c>
      <c r="AC226" s="4" t="n">
        <f aca="false">ABS(M226-MIN(1,I226*J226*K226))</f>
        <v>0</v>
      </c>
    </row>
    <row r="227" customFormat="false" ht="14.25" hidden="false" customHeight="true" outlineLevel="0" collapsed="false">
      <c r="A227" s="3" t="s">
        <v>29</v>
      </c>
      <c r="B227" s="3" t="n">
        <v>57</v>
      </c>
      <c r="C227" s="3" t="s">
        <v>118</v>
      </c>
      <c r="D227" s="3" t="s">
        <v>35</v>
      </c>
      <c r="E227" s="3" t="n">
        <v>2</v>
      </c>
      <c r="F227" s="3" t="s">
        <v>109</v>
      </c>
      <c r="G227" s="3" t="s">
        <v>110</v>
      </c>
      <c r="H227" s="3" t="s">
        <v>38</v>
      </c>
      <c r="I227" s="4" t="n">
        <v>0.18</v>
      </c>
      <c r="J227" s="4" t="n">
        <v>0.28</v>
      </c>
      <c r="K227" s="4" t="n">
        <v>1.5</v>
      </c>
      <c r="L227" s="4" t="n">
        <f aca="false">I227*J227</f>
        <v>0.0504</v>
      </c>
      <c r="M227" s="4" t="n">
        <f aca="false">MIN(1,I227*J227*K227)</f>
        <v>0.0756</v>
      </c>
      <c r="N227" s="4" t="n">
        <f aca="false">N226*M227</f>
        <v>0.0108864</v>
      </c>
      <c r="O227" s="4" t="n">
        <f aca="false">'Settings '!$B$8</f>
        <v>0.1</v>
      </c>
      <c r="P227" s="4" t="n">
        <f aca="false">MIN(1,I227*O227*K227)</f>
        <v>0.027</v>
      </c>
      <c r="Q227" s="4" t="n">
        <f aca="false">Q226*P227</f>
        <v>0.003888</v>
      </c>
      <c r="R227" s="4" t="n">
        <f aca="false">'Settings '!$B$9</f>
        <v>0.9</v>
      </c>
      <c r="S227" s="4" t="n">
        <f aca="false">MIN(1,I227*R227*K227)</f>
        <v>0.243</v>
      </c>
      <c r="T227" s="4" t="n">
        <f aca="false">T226*S227</f>
        <v>0.243</v>
      </c>
      <c r="U227" s="4" t="str">
        <f aca="false">IF(E227=4,N227,"")</f>
        <v/>
      </c>
      <c r="V227" s="4" t="str">
        <f aca="false">IF(E227=4,Q227,"")</f>
        <v/>
      </c>
      <c r="W227" s="4" t="str">
        <f aca="false">IF(E227=4,T227,"")</f>
        <v/>
      </c>
      <c r="X227" s="4" t="str">
        <f aca="false">IF(E227=4,IFERROR((LN(U227)-LN(V227))/(LN(W227)-LN(V227)),0),"")</f>
        <v/>
      </c>
      <c r="Y227" s="3" t="str">
        <f aca="false">IF(E227=4,IF(X227&gt;='Settings '!$B$7,"Risk A",IF(X227&gt;='Settings '!$B$6,"Risk B","Risk C")),"")</f>
        <v/>
      </c>
      <c r="Z227" s="3" t="n">
        <f aca="false">IF(Y227="Risk B",1,0)</f>
        <v>0</v>
      </c>
      <c r="AA227" s="3" t="n">
        <f aca="false">IF(J227&gt;='Settings '!$B$10,1,0)</f>
        <v>1</v>
      </c>
      <c r="AB227" s="3" t="n">
        <f aca="false">IF(M227&gt;='Settings '!$B$11,1,0)</f>
        <v>0</v>
      </c>
      <c r="AC227" s="4" t="n">
        <f aca="false">ABS(M227-MIN(1,I227*J227*K227))</f>
        <v>0</v>
      </c>
    </row>
    <row r="228" customFormat="false" ht="14.25" hidden="false" customHeight="true" outlineLevel="0" collapsed="false">
      <c r="A228" s="3" t="s">
        <v>29</v>
      </c>
      <c r="B228" s="3" t="n">
        <v>57</v>
      </c>
      <c r="C228" s="3" t="s">
        <v>118</v>
      </c>
      <c r="D228" s="3" t="s">
        <v>39</v>
      </c>
      <c r="E228" s="3" t="n">
        <v>3</v>
      </c>
      <c r="F228" s="3" t="s">
        <v>63</v>
      </c>
      <c r="G228" s="3" t="s">
        <v>64</v>
      </c>
      <c r="H228" s="3" t="s">
        <v>42</v>
      </c>
      <c r="I228" s="4" t="n">
        <v>0.36</v>
      </c>
      <c r="J228" s="4" t="n">
        <v>0.1</v>
      </c>
      <c r="K228" s="4" t="n">
        <v>2</v>
      </c>
      <c r="L228" s="4" t="n">
        <f aca="false">I228*J228</f>
        <v>0.036</v>
      </c>
      <c r="M228" s="4" t="n">
        <f aca="false">MIN(1,I228*J228*K228)</f>
        <v>0.072</v>
      </c>
      <c r="N228" s="4" t="n">
        <f aca="false">N227*M228</f>
        <v>0.0007838208</v>
      </c>
      <c r="O228" s="4" t="n">
        <f aca="false">'Settings '!$B$8</f>
        <v>0.1</v>
      </c>
      <c r="P228" s="4" t="n">
        <f aca="false">MIN(1,I228*O228*K228)</f>
        <v>0.072</v>
      </c>
      <c r="Q228" s="4" t="n">
        <f aca="false">Q227*P228</f>
        <v>0.000279936</v>
      </c>
      <c r="R228" s="4" t="n">
        <f aca="false">'Settings '!$B$9</f>
        <v>0.9</v>
      </c>
      <c r="S228" s="4" t="n">
        <f aca="false">MIN(1,I228*R228*K228)</f>
        <v>0.648</v>
      </c>
      <c r="T228" s="4" t="n">
        <f aca="false">T227*S228</f>
        <v>0.157464</v>
      </c>
      <c r="U228" s="4" t="str">
        <f aca="false">IF(E228=4,N228,"")</f>
        <v/>
      </c>
      <c r="V228" s="4" t="str">
        <f aca="false">IF(E228=4,Q228,"")</f>
        <v/>
      </c>
      <c r="W228" s="4" t="str">
        <f aca="false">IF(E228=4,T228,"")</f>
        <v/>
      </c>
      <c r="X228" s="4" t="str">
        <f aca="false">IF(E228=4,IFERROR((LN(U228)-LN(V228))/(LN(W228)-LN(V228)),0),"")</f>
        <v/>
      </c>
      <c r="Y228" s="3" t="str">
        <f aca="false">IF(E228=4,IF(X228&gt;='Settings '!$B$7,"Risk A",IF(X228&gt;='Settings '!$B$6,"Risk B","Risk C")),"")</f>
        <v/>
      </c>
      <c r="Z228" s="3" t="n">
        <f aca="false">IF(Y228="Risk B",1,0)</f>
        <v>0</v>
      </c>
      <c r="AA228" s="3" t="n">
        <f aca="false">IF(J228&gt;='Settings '!$B$10,1,0)</f>
        <v>0</v>
      </c>
      <c r="AB228" s="3" t="n">
        <f aca="false">IF(M228&gt;='Settings '!$B$11,1,0)</f>
        <v>0</v>
      </c>
      <c r="AC228" s="4" t="n">
        <f aca="false">ABS(M228-MIN(1,I228*J228*K228))</f>
        <v>0</v>
      </c>
    </row>
    <row r="229" customFormat="false" ht="14.25" hidden="false" customHeight="true" outlineLevel="0" collapsed="false">
      <c r="A229" s="3" t="s">
        <v>29</v>
      </c>
      <c r="B229" s="3" t="n">
        <v>57</v>
      </c>
      <c r="C229" s="3" t="s">
        <v>118</v>
      </c>
      <c r="D229" s="3" t="s">
        <v>43</v>
      </c>
      <c r="E229" s="3" t="n">
        <v>4</v>
      </c>
      <c r="F229" s="3" t="s">
        <v>44</v>
      </c>
      <c r="G229" s="3" t="s">
        <v>45</v>
      </c>
      <c r="H229" s="3" t="s">
        <v>46</v>
      </c>
      <c r="I229" s="4" t="n">
        <v>0.9</v>
      </c>
      <c r="J229" s="4" t="n">
        <v>0.1</v>
      </c>
      <c r="K229" s="4" t="n">
        <v>2</v>
      </c>
      <c r="L229" s="4" t="n">
        <f aca="false">I229*J229</f>
        <v>0.09</v>
      </c>
      <c r="M229" s="4" t="n">
        <f aca="false">MIN(1,I229*J229*K229)</f>
        <v>0.18</v>
      </c>
      <c r="N229" s="4" t="n">
        <f aca="false">N228*M229</f>
        <v>0.000141087744</v>
      </c>
      <c r="O229" s="4" t="n">
        <f aca="false">'Settings '!$B$8</f>
        <v>0.1</v>
      </c>
      <c r="P229" s="4" t="n">
        <f aca="false">MIN(1,I229*O229*K229)</f>
        <v>0.18</v>
      </c>
      <c r="Q229" s="4" t="n">
        <f aca="false">Q228*P229</f>
        <v>5.038848E-005</v>
      </c>
      <c r="R229" s="4" t="n">
        <f aca="false">'Settings '!$B$9</f>
        <v>0.9</v>
      </c>
      <c r="S229" s="4" t="n">
        <f aca="false">MIN(1,I229*R229*K229)</f>
        <v>1</v>
      </c>
      <c r="T229" s="4" t="n">
        <f aca="false">T228*S229</f>
        <v>0.157464</v>
      </c>
      <c r="U229" s="4" t="n">
        <f aca="false">IF(E229=4,N229,"")</f>
        <v>0.000141087744</v>
      </c>
      <c r="V229" s="4" t="n">
        <f aca="false">IF(E229=4,Q229,"")</f>
        <v>5.038848E-005</v>
      </c>
      <c r="W229" s="4" t="n">
        <f aca="false">IF(E229=4,T229,"")</f>
        <v>0.157464</v>
      </c>
      <c r="X229" s="4" t="n">
        <f aca="false">IF(E229=4,IFERROR((LN(U229)-LN(V229))/(LN(W229)-LN(V229)),0),"")</f>
        <v>0.127947702639112</v>
      </c>
      <c r="Y229" s="3" t="str">
        <f aca="false">IF(E229=4,IF(X229&gt;='Settings '!$B$7,"Risk A",IF(X229&gt;='Settings '!$B$6,"Risk B","Risk C")),"")</f>
        <v>Risk C</v>
      </c>
      <c r="Z229" s="3" t="n">
        <f aca="false">IF(Y229="Risk B",1,0)</f>
        <v>0</v>
      </c>
      <c r="AA229" s="3" t="n">
        <f aca="false">IF(J229&gt;='Settings '!$B$10,1,0)</f>
        <v>0</v>
      </c>
      <c r="AB229" s="3" t="n">
        <f aca="false">IF(M229&gt;='Settings '!$B$11,1,0)</f>
        <v>0</v>
      </c>
      <c r="AC229" s="4" t="n">
        <f aca="false">ABS(M229-MIN(1,I229*J229*K229))</f>
        <v>0</v>
      </c>
    </row>
    <row r="230" customFormat="false" ht="25.5" hidden="false" customHeight="true" outlineLevel="0" collapsed="false">
      <c r="A230" s="3" t="s">
        <v>29</v>
      </c>
      <c r="B230" s="3" t="n">
        <v>58</v>
      </c>
      <c r="C230" s="3" t="s">
        <v>119</v>
      </c>
      <c r="D230" s="3" t="s">
        <v>31</v>
      </c>
      <c r="E230" s="3" t="n">
        <v>1</v>
      </c>
      <c r="F230" s="3" t="s">
        <v>32</v>
      </c>
      <c r="G230" s="3" t="s">
        <v>33</v>
      </c>
      <c r="H230" s="3" t="s">
        <v>34</v>
      </c>
      <c r="I230" s="4" t="n">
        <v>0.72</v>
      </c>
      <c r="J230" s="4" t="n">
        <v>0.1</v>
      </c>
      <c r="K230" s="4" t="n">
        <v>2</v>
      </c>
      <c r="L230" s="4" t="n">
        <f aca="false">I230*J230</f>
        <v>0.072</v>
      </c>
      <c r="M230" s="4" t="n">
        <f aca="false">MIN(1,I230*J230*K230)</f>
        <v>0.144</v>
      </c>
      <c r="N230" s="4" t="n">
        <f aca="false">M230</f>
        <v>0.144</v>
      </c>
      <c r="O230" s="4" t="n">
        <f aca="false">'Settings '!$B$8</f>
        <v>0.1</v>
      </c>
      <c r="P230" s="4" t="n">
        <f aca="false">MIN(1,I230*O230*K230)</f>
        <v>0.144</v>
      </c>
      <c r="Q230" s="4" t="n">
        <f aca="false">P230</f>
        <v>0.144</v>
      </c>
      <c r="R230" s="4" t="n">
        <f aca="false">'Settings '!$B$9</f>
        <v>0.9</v>
      </c>
      <c r="S230" s="4" t="n">
        <f aca="false">MIN(1,I230*R230*K230)</f>
        <v>1</v>
      </c>
      <c r="T230" s="4" t="n">
        <f aca="false">S230</f>
        <v>1</v>
      </c>
      <c r="U230" s="4" t="str">
        <f aca="false">IF(E230=4,N230,"")</f>
        <v/>
      </c>
      <c r="V230" s="4" t="str">
        <f aca="false">IF(E230=4,Q230,"")</f>
        <v/>
      </c>
      <c r="W230" s="4" t="str">
        <f aca="false">IF(E230=4,T230,"")</f>
        <v/>
      </c>
      <c r="X230" s="4" t="str">
        <f aca="false">IF(E230=4,IFERROR((LN(U230)-LN(V230))/(LN(W230)-LN(V230)),0),"")</f>
        <v/>
      </c>
      <c r="Y230" s="3" t="str">
        <f aca="false">IF(E230=4,IF(X230&gt;='Settings '!$B$7,"Risk A",IF(X230&gt;='Settings '!$B$6,"Risk B","Risk C")),"")</f>
        <v/>
      </c>
      <c r="Z230" s="3" t="n">
        <f aca="false">IF(Y230="Risk B",1,0)</f>
        <v>0</v>
      </c>
      <c r="AA230" s="3" t="n">
        <f aca="false">IF(J230&gt;='Settings '!$B$10,1,0)</f>
        <v>0</v>
      </c>
      <c r="AB230" s="3" t="n">
        <f aca="false">IF(M230&gt;='Settings '!$B$11,1,0)</f>
        <v>0</v>
      </c>
      <c r="AC230" s="4" t="n">
        <f aca="false">ABS(M230-MIN(1,I230*J230*K230))</f>
        <v>0</v>
      </c>
    </row>
    <row r="231" customFormat="false" ht="14.25" hidden="false" customHeight="true" outlineLevel="0" collapsed="false">
      <c r="A231" s="3" t="s">
        <v>29</v>
      </c>
      <c r="B231" s="3" t="n">
        <v>58</v>
      </c>
      <c r="C231" s="3" t="s">
        <v>119</v>
      </c>
      <c r="D231" s="3" t="s">
        <v>35</v>
      </c>
      <c r="E231" s="3" t="n">
        <v>2</v>
      </c>
      <c r="F231" s="3" t="s">
        <v>109</v>
      </c>
      <c r="G231" s="3" t="s">
        <v>110</v>
      </c>
      <c r="H231" s="3" t="s">
        <v>38</v>
      </c>
      <c r="I231" s="4" t="n">
        <v>0.18</v>
      </c>
      <c r="J231" s="4" t="n">
        <v>0.28</v>
      </c>
      <c r="K231" s="4" t="n">
        <v>1.5</v>
      </c>
      <c r="L231" s="4" t="n">
        <f aca="false">I231*J231</f>
        <v>0.0504</v>
      </c>
      <c r="M231" s="4" t="n">
        <f aca="false">MIN(1,I231*J231*K231)</f>
        <v>0.0756</v>
      </c>
      <c r="N231" s="4" t="n">
        <f aca="false">N230*M231</f>
        <v>0.0108864</v>
      </c>
      <c r="O231" s="4" t="n">
        <f aca="false">'Settings '!$B$8</f>
        <v>0.1</v>
      </c>
      <c r="P231" s="4" t="n">
        <f aca="false">MIN(1,I231*O231*K231)</f>
        <v>0.027</v>
      </c>
      <c r="Q231" s="4" t="n">
        <f aca="false">Q230*P231</f>
        <v>0.003888</v>
      </c>
      <c r="R231" s="4" t="n">
        <f aca="false">'Settings '!$B$9</f>
        <v>0.9</v>
      </c>
      <c r="S231" s="4" t="n">
        <f aca="false">MIN(1,I231*R231*K231)</f>
        <v>0.243</v>
      </c>
      <c r="T231" s="4" t="n">
        <f aca="false">T230*S231</f>
        <v>0.243</v>
      </c>
      <c r="U231" s="4" t="str">
        <f aca="false">IF(E231=4,N231,"")</f>
        <v/>
      </c>
      <c r="V231" s="4" t="str">
        <f aca="false">IF(E231=4,Q231,"")</f>
        <v/>
      </c>
      <c r="W231" s="4" t="str">
        <f aca="false">IF(E231=4,T231,"")</f>
        <v/>
      </c>
      <c r="X231" s="4" t="str">
        <f aca="false">IF(E231=4,IFERROR((LN(U231)-LN(V231))/(LN(W231)-LN(V231)),0),"")</f>
        <v/>
      </c>
      <c r="Y231" s="3" t="str">
        <f aca="false">IF(E231=4,IF(X231&gt;='Settings '!$B$7,"Risk A",IF(X231&gt;='Settings '!$B$6,"Risk B","Risk C")),"")</f>
        <v/>
      </c>
      <c r="Z231" s="3" t="n">
        <f aca="false">IF(Y231="Risk B",1,0)</f>
        <v>0</v>
      </c>
      <c r="AA231" s="3" t="n">
        <f aca="false">IF(J231&gt;='Settings '!$B$10,1,0)</f>
        <v>1</v>
      </c>
      <c r="AB231" s="3" t="n">
        <f aca="false">IF(M231&gt;='Settings '!$B$11,1,0)</f>
        <v>0</v>
      </c>
      <c r="AC231" s="4" t="n">
        <f aca="false">ABS(M231-MIN(1,I231*J231*K231))</f>
        <v>0</v>
      </c>
    </row>
    <row r="232" customFormat="false" ht="14.25" hidden="false" customHeight="true" outlineLevel="0" collapsed="false">
      <c r="A232" s="3" t="s">
        <v>29</v>
      </c>
      <c r="B232" s="3" t="n">
        <v>58</v>
      </c>
      <c r="C232" s="3" t="s">
        <v>119</v>
      </c>
      <c r="D232" s="3" t="s">
        <v>39</v>
      </c>
      <c r="E232" s="3" t="n">
        <v>3</v>
      </c>
      <c r="F232" s="3" t="s">
        <v>63</v>
      </c>
      <c r="G232" s="3" t="s">
        <v>64</v>
      </c>
      <c r="H232" s="3" t="s">
        <v>42</v>
      </c>
      <c r="I232" s="4" t="n">
        <v>0.36</v>
      </c>
      <c r="J232" s="4" t="n">
        <v>0.1</v>
      </c>
      <c r="K232" s="4" t="n">
        <v>2</v>
      </c>
      <c r="L232" s="4" t="n">
        <f aca="false">I232*J232</f>
        <v>0.036</v>
      </c>
      <c r="M232" s="4" t="n">
        <f aca="false">MIN(1,I232*J232*K232)</f>
        <v>0.072</v>
      </c>
      <c r="N232" s="4" t="n">
        <f aca="false">N231*M232</f>
        <v>0.0007838208</v>
      </c>
      <c r="O232" s="4" t="n">
        <f aca="false">'Settings '!$B$8</f>
        <v>0.1</v>
      </c>
      <c r="P232" s="4" t="n">
        <f aca="false">MIN(1,I232*O232*K232)</f>
        <v>0.072</v>
      </c>
      <c r="Q232" s="4" t="n">
        <f aca="false">Q231*P232</f>
        <v>0.000279936</v>
      </c>
      <c r="R232" s="4" t="n">
        <f aca="false">'Settings '!$B$9</f>
        <v>0.9</v>
      </c>
      <c r="S232" s="4" t="n">
        <f aca="false">MIN(1,I232*R232*K232)</f>
        <v>0.648</v>
      </c>
      <c r="T232" s="4" t="n">
        <f aca="false">T231*S232</f>
        <v>0.157464</v>
      </c>
      <c r="U232" s="4" t="str">
        <f aca="false">IF(E232=4,N232,"")</f>
        <v/>
      </c>
      <c r="V232" s="4" t="str">
        <f aca="false">IF(E232=4,Q232,"")</f>
        <v/>
      </c>
      <c r="W232" s="4" t="str">
        <f aca="false">IF(E232=4,T232,"")</f>
        <v/>
      </c>
      <c r="X232" s="4" t="str">
        <f aca="false">IF(E232=4,IFERROR((LN(U232)-LN(V232))/(LN(W232)-LN(V232)),0),"")</f>
        <v/>
      </c>
      <c r="Y232" s="3" t="str">
        <f aca="false">IF(E232=4,IF(X232&gt;='Settings '!$B$7,"Risk A",IF(X232&gt;='Settings '!$B$6,"Risk B","Risk C")),"")</f>
        <v/>
      </c>
      <c r="Z232" s="3" t="n">
        <f aca="false">IF(Y232="Risk B",1,0)</f>
        <v>0</v>
      </c>
      <c r="AA232" s="3" t="n">
        <f aca="false">IF(J232&gt;='Settings '!$B$10,1,0)</f>
        <v>0</v>
      </c>
      <c r="AB232" s="3" t="n">
        <f aca="false">IF(M232&gt;='Settings '!$B$11,1,0)</f>
        <v>0</v>
      </c>
      <c r="AC232" s="4" t="n">
        <f aca="false">ABS(M232-MIN(1,I232*J232*K232))</f>
        <v>0</v>
      </c>
    </row>
    <row r="233" customFormat="false" ht="14.25" hidden="false" customHeight="true" outlineLevel="0" collapsed="false">
      <c r="A233" s="3" t="s">
        <v>29</v>
      </c>
      <c r="B233" s="3" t="n">
        <v>58</v>
      </c>
      <c r="C233" s="3" t="s">
        <v>119</v>
      </c>
      <c r="D233" s="3" t="s">
        <v>43</v>
      </c>
      <c r="E233" s="3" t="n">
        <v>4</v>
      </c>
      <c r="F233" s="3" t="s">
        <v>48</v>
      </c>
      <c r="G233" s="3" t="s">
        <v>49</v>
      </c>
      <c r="H233" s="3" t="s">
        <v>46</v>
      </c>
      <c r="I233" s="4" t="n">
        <v>0.72</v>
      </c>
      <c r="J233" s="4" t="n">
        <v>0.28</v>
      </c>
      <c r="K233" s="4" t="n">
        <v>2</v>
      </c>
      <c r="L233" s="4" t="n">
        <f aca="false">I233*J233</f>
        <v>0.2016</v>
      </c>
      <c r="M233" s="4" t="n">
        <f aca="false">MIN(1,I233*J233*K233)</f>
        <v>0.4032</v>
      </c>
      <c r="N233" s="4" t="n">
        <f aca="false">N232*M233</f>
        <v>0.00031603654656</v>
      </c>
      <c r="O233" s="4" t="n">
        <f aca="false">'Settings '!$B$8</f>
        <v>0.1</v>
      </c>
      <c r="P233" s="4" t="n">
        <f aca="false">MIN(1,I233*O233*K233)</f>
        <v>0.144</v>
      </c>
      <c r="Q233" s="4" t="n">
        <f aca="false">Q232*P233</f>
        <v>4.0310784E-005</v>
      </c>
      <c r="R233" s="4" t="n">
        <f aca="false">'Settings '!$B$9</f>
        <v>0.9</v>
      </c>
      <c r="S233" s="4" t="n">
        <f aca="false">MIN(1,I233*R233*K233)</f>
        <v>1</v>
      </c>
      <c r="T233" s="4" t="n">
        <f aca="false">T232*S233</f>
        <v>0.157464</v>
      </c>
      <c r="U233" s="4" t="n">
        <f aca="false">IF(E233=4,N233,"")</f>
        <v>0.00031603654656</v>
      </c>
      <c r="V233" s="4" t="n">
        <f aca="false">IF(E233=4,Q233,"")</f>
        <v>4.0310784E-005</v>
      </c>
      <c r="W233" s="4" t="n">
        <f aca="false">IF(E233=4,T233,"")</f>
        <v>0.157464</v>
      </c>
      <c r="X233" s="4" t="n">
        <f aca="false">IF(E233=4,IFERROR((LN(U233)-LN(V233))/(LN(W233)-LN(V233)),0),"")</f>
        <v>0.248991038946756</v>
      </c>
      <c r="Y233" s="3" t="str">
        <f aca="false">IF(E233=4,IF(X233&gt;='Settings '!$B$7,"Risk A",IF(X233&gt;='Settings '!$B$6,"Risk B","Risk C")),"")</f>
        <v>Risk C</v>
      </c>
      <c r="Z233" s="3" t="n">
        <f aca="false">IF(Y233="Risk B",1,0)</f>
        <v>0</v>
      </c>
      <c r="AA233" s="3" t="n">
        <f aca="false">IF(J233&gt;='Settings '!$B$10,1,0)</f>
        <v>1</v>
      </c>
      <c r="AB233" s="3" t="n">
        <f aca="false">IF(M233&gt;='Settings '!$B$11,1,0)</f>
        <v>1</v>
      </c>
      <c r="AC233" s="4" t="n">
        <f aca="false">ABS(M233-MIN(1,I233*J233*K233))</f>
        <v>0</v>
      </c>
    </row>
    <row r="234" customFormat="false" ht="25.5" hidden="false" customHeight="true" outlineLevel="0" collapsed="false">
      <c r="A234" s="3" t="s">
        <v>29</v>
      </c>
      <c r="B234" s="3" t="n">
        <v>59</v>
      </c>
      <c r="C234" s="3" t="s">
        <v>120</v>
      </c>
      <c r="D234" s="3" t="s">
        <v>31</v>
      </c>
      <c r="E234" s="3" t="n">
        <v>1</v>
      </c>
      <c r="F234" s="3" t="s">
        <v>32</v>
      </c>
      <c r="G234" s="3" t="s">
        <v>33</v>
      </c>
      <c r="H234" s="3" t="s">
        <v>34</v>
      </c>
      <c r="I234" s="4" t="n">
        <v>0.72</v>
      </c>
      <c r="J234" s="4" t="n">
        <v>0.1</v>
      </c>
      <c r="K234" s="4" t="n">
        <v>2</v>
      </c>
      <c r="L234" s="4" t="n">
        <f aca="false">I234*J234</f>
        <v>0.072</v>
      </c>
      <c r="M234" s="4" t="n">
        <f aca="false">MIN(1,I234*J234*K234)</f>
        <v>0.144</v>
      </c>
      <c r="N234" s="4" t="n">
        <f aca="false">M234</f>
        <v>0.144</v>
      </c>
      <c r="O234" s="4" t="n">
        <f aca="false">'Settings '!$B$8</f>
        <v>0.1</v>
      </c>
      <c r="P234" s="4" t="n">
        <f aca="false">MIN(1,I234*O234*K234)</f>
        <v>0.144</v>
      </c>
      <c r="Q234" s="4" t="n">
        <f aca="false">P234</f>
        <v>0.144</v>
      </c>
      <c r="R234" s="4" t="n">
        <f aca="false">'Settings '!$B$9</f>
        <v>0.9</v>
      </c>
      <c r="S234" s="4" t="n">
        <f aca="false">MIN(1,I234*R234*K234)</f>
        <v>1</v>
      </c>
      <c r="T234" s="4" t="n">
        <f aca="false">S234</f>
        <v>1</v>
      </c>
      <c r="U234" s="4" t="str">
        <f aca="false">IF(E234=4,N234,"")</f>
        <v/>
      </c>
      <c r="V234" s="4" t="str">
        <f aca="false">IF(E234=4,Q234,"")</f>
        <v/>
      </c>
      <c r="W234" s="4" t="str">
        <f aca="false">IF(E234=4,T234,"")</f>
        <v/>
      </c>
      <c r="X234" s="4" t="str">
        <f aca="false">IF(E234=4,IFERROR((LN(U234)-LN(V234))/(LN(W234)-LN(V234)),0),"")</f>
        <v/>
      </c>
      <c r="Y234" s="3" t="str">
        <f aca="false">IF(E234=4,IF(X234&gt;='Settings '!$B$7,"Risk A",IF(X234&gt;='Settings '!$B$6,"Risk B","Risk C")),"")</f>
        <v/>
      </c>
      <c r="Z234" s="3" t="n">
        <f aca="false">IF(Y234="Risk B",1,0)</f>
        <v>0</v>
      </c>
      <c r="AA234" s="3" t="n">
        <f aca="false">IF(J234&gt;='Settings '!$B$10,1,0)</f>
        <v>0</v>
      </c>
      <c r="AB234" s="3" t="n">
        <f aca="false">IF(M234&gt;='Settings '!$B$11,1,0)</f>
        <v>0</v>
      </c>
      <c r="AC234" s="4" t="n">
        <f aca="false">ABS(M234-MIN(1,I234*J234*K234))</f>
        <v>0</v>
      </c>
    </row>
    <row r="235" customFormat="false" ht="14.25" hidden="false" customHeight="true" outlineLevel="0" collapsed="false">
      <c r="A235" s="3" t="s">
        <v>29</v>
      </c>
      <c r="B235" s="3" t="n">
        <v>59</v>
      </c>
      <c r="C235" s="3" t="s">
        <v>120</v>
      </c>
      <c r="D235" s="3" t="s">
        <v>35</v>
      </c>
      <c r="E235" s="3" t="n">
        <v>2</v>
      </c>
      <c r="F235" s="3" t="s">
        <v>109</v>
      </c>
      <c r="G235" s="3" t="s">
        <v>110</v>
      </c>
      <c r="H235" s="3" t="s">
        <v>38</v>
      </c>
      <c r="I235" s="4" t="n">
        <v>0.18</v>
      </c>
      <c r="J235" s="4" t="n">
        <v>0.28</v>
      </c>
      <c r="K235" s="4" t="n">
        <v>1.5</v>
      </c>
      <c r="L235" s="4" t="n">
        <f aca="false">I235*J235</f>
        <v>0.0504</v>
      </c>
      <c r="M235" s="4" t="n">
        <f aca="false">MIN(1,I235*J235*K235)</f>
        <v>0.0756</v>
      </c>
      <c r="N235" s="4" t="n">
        <f aca="false">N234*M235</f>
        <v>0.0108864</v>
      </c>
      <c r="O235" s="4" t="n">
        <f aca="false">'Settings '!$B$8</f>
        <v>0.1</v>
      </c>
      <c r="P235" s="4" t="n">
        <f aca="false">MIN(1,I235*O235*K235)</f>
        <v>0.027</v>
      </c>
      <c r="Q235" s="4" t="n">
        <f aca="false">Q234*P235</f>
        <v>0.003888</v>
      </c>
      <c r="R235" s="4" t="n">
        <f aca="false">'Settings '!$B$9</f>
        <v>0.9</v>
      </c>
      <c r="S235" s="4" t="n">
        <f aca="false">MIN(1,I235*R235*K235)</f>
        <v>0.243</v>
      </c>
      <c r="T235" s="4" t="n">
        <f aca="false">T234*S235</f>
        <v>0.243</v>
      </c>
      <c r="U235" s="4" t="str">
        <f aca="false">IF(E235=4,N235,"")</f>
        <v/>
      </c>
      <c r="V235" s="4" t="str">
        <f aca="false">IF(E235=4,Q235,"")</f>
        <v/>
      </c>
      <c r="W235" s="4" t="str">
        <f aca="false">IF(E235=4,T235,"")</f>
        <v/>
      </c>
      <c r="X235" s="4" t="str">
        <f aca="false">IF(E235=4,IFERROR((LN(U235)-LN(V235))/(LN(W235)-LN(V235)),0),"")</f>
        <v/>
      </c>
      <c r="Y235" s="3" t="str">
        <f aca="false">IF(E235=4,IF(X235&gt;='Settings '!$B$7,"Risk A",IF(X235&gt;='Settings '!$B$6,"Risk B","Risk C")),"")</f>
        <v/>
      </c>
      <c r="Z235" s="3" t="n">
        <f aca="false">IF(Y235="Risk B",1,0)</f>
        <v>0</v>
      </c>
      <c r="AA235" s="3" t="n">
        <f aca="false">IF(J235&gt;='Settings '!$B$10,1,0)</f>
        <v>1</v>
      </c>
      <c r="AB235" s="3" t="n">
        <f aca="false">IF(M235&gt;='Settings '!$B$11,1,0)</f>
        <v>0</v>
      </c>
      <c r="AC235" s="4" t="n">
        <f aca="false">ABS(M235-MIN(1,I235*J235*K235))</f>
        <v>0</v>
      </c>
    </row>
    <row r="236" customFormat="false" ht="14.25" hidden="false" customHeight="true" outlineLevel="0" collapsed="false">
      <c r="A236" s="3" t="s">
        <v>29</v>
      </c>
      <c r="B236" s="3" t="n">
        <v>59</v>
      </c>
      <c r="C236" s="3" t="s">
        <v>120</v>
      </c>
      <c r="D236" s="3" t="s">
        <v>39</v>
      </c>
      <c r="E236" s="3" t="n">
        <v>3</v>
      </c>
      <c r="F236" s="3" t="s">
        <v>63</v>
      </c>
      <c r="G236" s="3" t="s">
        <v>64</v>
      </c>
      <c r="H236" s="3" t="s">
        <v>42</v>
      </c>
      <c r="I236" s="4" t="n">
        <v>0.36</v>
      </c>
      <c r="J236" s="4" t="n">
        <v>0.1</v>
      </c>
      <c r="K236" s="4" t="n">
        <v>2</v>
      </c>
      <c r="L236" s="4" t="n">
        <f aca="false">I236*J236</f>
        <v>0.036</v>
      </c>
      <c r="M236" s="4" t="n">
        <f aca="false">MIN(1,I236*J236*K236)</f>
        <v>0.072</v>
      </c>
      <c r="N236" s="4" t="n">
        <f aca="false">N235*M236</f>
        <v>0.0007838208</v>
      </c>
      <c r="O236" s="4" t="n">
        <f aca="false">'Settings '!$B$8</f>
        <v>0.1</v>
      </c>
      <c r="P236" s="4" t="n">
        <f aca="false">MIN(1,I236*O236*K236)</f>
        <v>0.072</v>
      </c>
      <c r="Q236" s="4" t="n">
        <f aca="false">Q235*P236</f>
        <v>0.000279936</v>
      </c>
      <c r="R236" s="4" t="n">
        <f aca="false">'Settings '!$B$9</f>
        <v>0.9</v>
      </c>
      <c r="S236" s="4" t="n">
        <f aca="false">MIN(1,I236*R236*K236)</f>
        <v>0.648</v>
      </c>
      <c r="T236" s="4" t="n">
        <f aca="false">T235*S236</f>
        <v>0.157464</v>
      </c>
      <c r="U236" s="4" t="str">
        <f aca="false">IF(E236=4,N236,"")</f>
        <v/>
      </c>
      <c r="V236" s="4" t="str">
        <f aca="false">IF(E236=4,Q236,"")</f>
        <v/>
      </c>
      <c r="W236" s="4" t="str">
        <f aca="false">IF(E236=4,T236,"")</f>
        <v/>
      </c>
      <c r="X236" s="4" t="str">
        <f aca="false">IF(E236=4,IFERROR((LN(U236)-LN(V236))/(LN(W236)-LN(V236)),0),"")</f>
        <v/>
      </c>
      <c r="Y236" s="3" t="str">
        <f aca="false">IF(E236=4,IF(X236&gt;='Settings '!$B$7,"Risk A",IF(X236&gt;='Settings '!$B$6,"Risk B","Risk C")),"")</f>
        <v/>
      </c>
      <c r="Z236" s="3" t="n">
        <f aca="false">IF(Y236="Risk B",1,0)</f>
        <v>0</v>
      </c>
      <c r="AA236" s="3" t="n">
        <f aca="false">IF(J236&gt;='Settings '!$B$10,1,0)</f>
        <v>0</v>
      </c>
      <c r="AB236" s="3" t="n">
        <f aca="false">IF(M236&gt;='Settings '!$B$11,1,0)</f>
        <v>0</v>
      </c>
      <c r="AC236" s="4" t="n">
        <f aca="false">ABS(M236-MIN(1,I236*J236*K236))</f>
        <v>0</v>
      </c>
    </row>
    <row r="237" customFormat="false" ht="14.25" hidden="false" customHeight="true" outlineLevel="0" collapsed="false">
      <c r="A237" s="3" t="s">
        <v>29</v>
      </c>
      <c r="B237" s="3" t="n">
        <v>59</v>
      </c>
      <c r="C237" s="3" t="s">
        <v>120</v>
      </c>
      <c r="D237" s="3" t="s">
        <v>43</v>
      </c>
      <c r="E237" s="3" t="n">
        <v>4</v>
      </c>
      <c r="F237" s="3" t="s">
        <v>51</v>
      </c>
      <c r="G237" s="3" t="s">
        <v>52</v>
      </c>
      <c r="H237" s="3" t="s">
        <v>46</v>
      </c>
      <c r="I237" s="4" t="n">
        <v>0.18</v>
      </c>
      <c r="J237" s="4" t="n">
        <v>0.28</v>
      </c>
      <c r="K237" s="4" t="n">
        <v>2</v>
      </c>
      <c r="L237" s="4" t="n">
        <f aca="false">I237*J237</f>
        <v>0.0504</v>
      </c>
      <c r="M237" s="4" t="n">
        <f aca="false">MIN(1,I237*J237*K237)</f>
        <v>0.1008</v>
      </c>
      <c r="N237" s="4" t="n">
        <f aca="false">N236*M237</f>
        <v>7.900913664E-005</v>
      </c>
      <c r="O237" s="4" t="n">
        <f aca="false">'Settings '!$B$8</f>
        <v>0.1</v>
      </c>
      <c r="P237" s="4" t="n">
        <f aca="false">MIN(1,I237*O237*K237)</f>
        <v>0.036</v>
      </c>
      <c r="Q237" s="4" t="n">
        <f aca="false">Q236*P237</f>
        <v>1.0077696E-005</v>
      </c>
      <c r="R237" s="4" t="n">
        <f aca="false">'Settings '!$B$9</f>
        <v>0.9</v>
      </c>
      <c r="S237" s="4" t="n">
        <f aca="false">MIN(1,I237*R237*K237)</f>
        <v>0.324</v>
      </c>
      <c r="T237" s="4" t="n">
        <f aca="false">T236*S237</f>
        <v>0.051018336</v>
      </c>
      <c r="U237" s="4" t="n">
        <f aca="false">IF(E237=4,N237,"")</f>
        <v>7.900913664E-005</v>
      </c>
      <c r="V237" s="4" t="n">
        <f aca="false">IF(E237=4,Q237,"")</f>
        <v>1.0077696E-005</v>
      </c>
      <c r="W237" s="4" t="n">
        <f aca="false">IF(E237=4,T237,"")</f>
        <v>0.051018336</v>
      </c>
      <c r="X237" s="4" t="n">
        <f aca="false">IF(E237=4,IFERROR((LN(U237)-LN(V237))/(LN(W237)-LN(V237)),0),"")</f>
        <v>0.241422228624735</v>
      </c>
      <c r="Y237" s="3" t="str">
        <f aca="false">IF(E237=4,IF(X237&gt;='Settings '!$B$7,"Risk A",IF(X237&gt;='Settings '!$B$6,"Risk B","Risk C")),"")</f>
        <v>Risk C</v>
      </c>
      <c r="Z237" s="3" t="n">
        <f aca="false">IF(Y237="Risk B",1,0)</f>
        <v>0</v>
      </c>
      <c r="AA237" s="3" t="n">
        <f aca="false">IF(J237&gt;='Settings '!$B$10,1,0)</f>
        <v>1</v>
      </c>
      <c r="AB237" s="3" t="n">
        <f aca="false">IF(M237&gt;='Settings '!$B$11,1,0)</f>
        <v>0</v>
      </c>
      <c r="AC237" s="4" t="n">
        <f aca="false">ABS(M237-MIN(1,I237*J237*K237))</f>
        <v>0</v>
      </c>
    </row>
    <row r="238" customFormat="false" ht="25.5" hidden="false" customHeight="true" outlineLevel="0" collapsed="false">
      <c r="A238" s="3" t="s">
        <v>29</v>
      </c>
      <c r="B238" s="3" t="n">
        <v>60</v>
      </c>
      <c r="C238" s="3" t="s">
        <v>121</v>
      </c>
      <c r="D238" s="3" t="s">
        <v>31</v>
      </c>
      <c r="E238" s="3" t="n">
        <v>1</v>
      </c>
      <c r="F238" s="3" t="s">
        <v>32</v>
      </c>
      <c r="G238" s="3" t="s">
        <v>33</v>
      </c>
      <c r="H238" s="3" t="s">
        <v>34</v>
      </c>
      <c r="I238" s="4" t="n">
        <v>0.72</v>
      </c>
      <c r="J238" s="4" t="n">
        <v>0.1</v>
      </c>
      <c r="K238" s="4" t="n">
        <v>2</v>
      </c>
      <c r="L238" s="4" t="n">
        <f aca="false">I238*J238</f>
        <v>0.072</v>
      </c>
      <c r="M238" s="4" t="n">
        <f aca="false">MIN(1,I238*J238*K238)</f>
        <v>0.144</v>
      </c>
      <c r="N238" s="4" t="n">
        <f aca="false">M238</f>
        <v>0.144</v>
      </c>
      <c r="O238" s="4" t="n">
        <f aca="false">'Settings '!$B$8</f>
        <v>0.1</v>
      </c>
      <c r="P238" s="4" t="n">
        <f aca="false">MIN(1,I238*O238*K238)</f>
        <v>0.144</v>
      </c>
      <c r="Q238" s="4" t="n">
        <f aca="false">P238</f>
        <v>0.144</v>
      </c>
      <c r="R238" s="4" t="n">
        <f aca="false">'Settings '!$B$9</f>
        <v>0.9</v>
      </c>
      <c r="S238" s="4" t="n">
        <f aca="false">MIN(1,I238*R238*K238)</f>
        <v>1</v>
      </c>
      <c r="T238" s="4" t="n">
        <f aca="false">S238</f>
        <v>1</v>
      </c>
      <c r="U238" s="4" t="str">
        <f aca="false">IF(E238=4,N238,"")</f>
        <v/>
      </c>
      <c r="V238" s="4" t="str">
        <f aca="false">IF(E238=4,Q238,"")</f>
        <v/>
      </c>
      <c r="W238" s="4" t="str">
        <f aca="false">IF(E238=4,T238,"")</f>
        <v/>
      </c>
      <c r="X238" s="4" t="str">
        <f aca="false">IF(E238=4,IFERROR((LN(U238)-LN(V238))/(LN(W238)-LN(V238)),0),"")</f>
        <v/>
      </c>
      <c r="Y238" s="3" t="str">
        <f aca="false">IF(E238=4,IF(X238&gt;='Settings '!$B$7,"Risk A",IF(X238&gt;='Settings '!$B$6,"Risk B","Risk C")),"")</f>
        <v/>
      </c>
      <c r="Z238" s="3" t="n">
        <f aca="false">IF(Y238="Risk B",1,0)</f>
        <v>0</v>
      </c>
      <c r="AA238" s="3" t="n">
        <f aca="false">IF(J238&gt;='Settings '!$B$10,1,0)</f>
        <v>0</v>
      </c>
      <c r="AB238" s="3" t="n">
        <f aca="false">IF(M238&gt;='Settings '!$B$11,1,0)</f>
        <v>0</v>
      </c>
      <c r="AC238" s="4" t="n">
        <f aca="false">ABS(M238-MIN(1,I238*J238*K238))</f>
        <v>0</v>
      </c>
    </row>
    <row r="239" customFormat="false" ht="14.25" hidden="false" customHeight="true" outlineLevel="0" collapsed="false">
      <c r="A239" s="3" t="s">
        <v>29</v>
      </c>
      <c r="B239" s="3" t="n">
        <v>60</v>
      </c>
      <c r="C239" s="3" t="s">
        <v>121</v>
      </c>
      <c r="D239" s="3" t="s">
        <v>35</v>
      </c>
      <c r="E239" s="3" t="n">
        <v>2</v>
      </c>
      <c r="F239" s="3" t="s">
        <v>109</v>
      </c>
      <c r="G239" s="3" t="s">
        <v>110</v>
      </c>
      <c r="H239" s="3" t="s">
        <v>38</v>
      </c>
      <c r="I239" s="4" t="n">
        <v>0.18</v>
      </c>
      <c r="J239" s="4" t="n">
        <v>0.28</v>
      </c>
      <c r="K239" s="4" t="n">
        <v>1.5</v>
      </c>
      <c r="L239" s="4" t="n">
        <f aca="false">I239*J239</f>
        <v>0.0504</v>
      </c>
      <c r="M239" s="4" t="n">
        <f aca="false">MIN(1,I239*J239*K239)</f>
        <v>0.0756</v>
      </c>
      <c r="N239" s="4" t="n">
        <f aca="false">N238*M239</f>
        <v>0.0108864</v>
      </c>
      <c r="O239" s="4" t="n">
        <f aca="false">'Settings '!$B$8</f>
        <v>0.1</v>
      </c>
      <c r="P239" s="4" t="n">
        <f aca="false">MIN(1,I239*O239*K239)</f>
        <v>0.027</v>
      </c>
      <c r="Q239" s="4" t="n">
        <f aca="false">Q238*P239</f>
        <v>0.003888</v>
      </c>
      <c r="R239" s="4" t="n">
        <f aca="false">'Settings '!$B$9</f>
        <v>0.9</v>
      </c>
      <c r="S239" s="4" t="n">
        <f aca="false">MIN(1,I239*R239*K239)</f>
        <v>0.243</v>
      </c>
      <c r="T239" s="4" t="n">
        <f aca="false">T238*S239</f>
        <v>0.243</v>
      </c>
      <c r="U239" s="4" t="str">
        <f aca="false">IF(E239=4,N239,"")</f>
        <v/>
      </c>
      <c r="V239" s="4" t="str">
        <f aca="false">IF(E239=4,Q239,"")</f>
        <v/>
      </c>
      <c r="W239" s="4" t="str">
        <f aca="false">IF(E239=4,T239,"")</f>
        <v/>
      </c>
      <c r="X239" s="4" t="str">
        <f aca="false">IF(E239=4,IFERROR((LN(U239)-LN(V239))/(LN(W239)-LN(V239)),0),"")</f>
        <v/>
      </c>
      <c r="Y239" s="3" t="str">
        <f aca="false">IF(E239=4,IF(X239&gt;='Settings '!$B$7,"Risk A",IF(X239&gt;='Settings '!$B$6,"Risk B","Risk C")),"")</f>
        <v/>
      </c>
      <c r="Z239" s="3" t="n">
        <f aca="false">IF(Y239="Risk B",1,0)</f>
        <v>0</v>
      </c>
      <c r="AA239" s="3" t="n">
        <f aca="false">IF(J239&gt;='Settings '!$B$10,1,0)</f>
        <v>1</v>
      </c>
      <c r="AB239" s="3" t="n">
        <f aca="false">IF(M239&gt;='Settings '!$B$11,1,0)</f>
        <v>0</v>
      </c>
      <c r="AC239" s="4" t="n">
        <f aca="false">ABS(M239-MIN(1,I239*J239*K239))</f>
        <v>0</v>
      </c>
    </row>
    <row r="240" customFormat="false" ht="14.25" hidden="false" customHeight="true" outlineLevel="0" collapsed="false">
      <c r="A240" s="3" t="s">
        <v>29</v>
      </c>
      <c r="B240" s="3" t="n">
        <v>60</v>
      </c>
      <c r="C240" s="3" t="s">
        <v>121</v>
      </c>
      <c r="D240" s="3" t="s">
        <v>39</v>
      </c>
      <c r="E240" s="3" t="n">
        <v>3</v>
      </c>
      <c r="F240" s="3" t="s">
        <v>63</v>
      </c>
      <c r="G240" s="3" t="s">
        <v>64</v>
      </c>
      <c r="H240" s="3" t="s">
        <v>42</v>
      </c>
      <c r="I240" s="4" t="n">
        <v>0.36</v>
      </c>
      <c r="J240" s="4" t="n">
        <v>0.1</v>
      </c>
      <c r="K240" s="4" t="n">
        <v>2</v>
      </c>
      <c r="L240" s="4" t="n">
        <f aca="false">I240*J240</f>
        <v>0.036</v>
      </c>
      <c r="M240" s="4" t="n">
        <f aca="false">MIN(1,I240*J240*K240)</f>
        <v>0.072</v>
      </c>
      <c r="N240" s="4" t="n">
        <f aca="false">N239*M240</f>
        <v>0.0007838208</v>
      </c>
      <c r="O240" s="4" t="n">
        <f aca="false">'Settings '!$B$8</f>
        <v>0.1</v>
      </c>
      <c r="P240" s="4" t="n">
        <f aca="false">MIN(1,I240*O240*K240)</f>
        <v>0.072</v>
      </c>
      <c r="Q240" s="4" t="n">
        <f aca="false">Q239*P240</f>
        <v>0.000279936</v>
      </c>
      <c r="R240" s="4" t="n">
        <f aca="false">'Settings '!$B$9</f>
        <v>0.9</v>
      </c>
      <c r="S240" s="4" t="n">
        <f aca="false">MIN(1,I240*R240*K240)</f>
        <v>0.648</v>
      </c>
      <c r="T240" s="4" t="n">
        <f aca="false">T239*S240</f>
        <v>0.157464</v>
      </c>
      <c r="U240" s="4" t="str">
        <f aca="false">IF(E240=4,N240,"")</f>
        <v/>
      </c>
      <c r="V240" s="4" t="str">
        <f aca="false">IF(E240=4,Q240,"")</f>
        <v/>
      </c>
      <c r="W240" s="4" t="str">
        <f aca="false">IF(E240=4,T240,"")</f>
        <v/>
      </c>
      <c r="X240" s="4" t="str">
        <f aca="false">IF(E240=4,IFERROR((LN(U240)-LN(V240))/(LN(W240)-LN(V240)),0),"")</f>
        <v/>
      </c>
      <c r="Y240" s="3" t="str">
        <f aca="false">IF(E240=4,IF(X240&gt;='Settings '!$B$7,"Risk A",IF(X240&gt;='Settings '!$B$6,"Risk B","Risk C")),"")</f>
        <v/>
      </c>
      <c r="Z240" s="3" t="n">
        <f aca="false">IF(Y240="Risk B",1,0)</f>
        <v>0</v>
      </c>
      <c r="AA240" s="3" t="n">
        <f aca="false">IF(J240&gt;='Settings '!$B$10,1,0)</f>
        <v>0</v>
      </c>
      <c r="AB240" s="3" t="n">
        <f aca="false">IF(M240&gt;='Settings '!$B$11,1,0)</f>
        <v>0</v>
      </c>
      <c r="AC240" s="4" t="n">
        <f aca="false">ABS(M240-MIN(1,I240*J240*K240))</f>
        <v>0</v>
      </c>
    </row>
    <row r="241" customFormat="false" ht="14.25" hidden="false" customHeight="true" outlineLevel="0" collapsed="false">
      <c r="A241" s="3" t="s">
        <v>29</v>
      </c>
      <c r="B241" s="3" t="n">
        <v>60</v>
      </c>
      <c r="C241" s="3" t="s">
        <v>121</v>
      </c>
      <c r="D241" s="3" t="s">
        <v>43</v>
      </c>
      <c r="E241" s="3" t="n">
        <v>4</v>
      </c>
      <c r="F241" s="3" t="s">
        <v>54</v>
      </c>
      <c r="G241" s="3" t="s">
        <v>55</v>
      </c>
      <c r="H241" s="3" t="s">
        <v>46</v>
      </c>
      <c r="I241" s="4" t="n">
        <v>0.18</v>
      </c>
      <c r="J241" s="4" t="n">
        <v>0.28</v>
      </c>
      <c r="K241" s="4" t="n">
        <v>2</v>
      </c>
      <c r="L241" s="4" t="n">
        <f aca="false">I241*J241</f>
        <v>0.0504</v>
      </c>
      <c r="M241" s="4" t="n">
        <f aca="false">MIN(1,I241*J241*K241)</f>
        <v>0.1008</v>
      </c>
      <c r="N241" s="4" t="n">
        <f aca="false">N240*M241</f>
        <v>7.900913664E-005</v>
      </c>
      <c r="O241" s="4" t="n">
        <f aca="false">'Settings '!$B$8</f>
        <v>0.1</v>
      </c>
      <c r="P241" s="4" t="n">
        <f aca="false">MIN(1,I241*O241*K241)</f>
        <v>0.036</v>
      </c>
      <c r="Q241" s="4" t="n">
        <f aca="false">Q240*P241</f>
        <v>1.0077696E-005</v>
      </c>
      <c r="R241" s="4" t="n">
        <f aca="false">'Settings '!$B$9</f>
        <v>0.9</v>
      </c>
      <c r="S241" s="4" t="n">
        <f aca="false">MIN(1,I241*R241*K241)</f>
        <v>0.324</v>
      </c>
      <c r="T241" s="4" t="n">
        <f aca="false">T240*S241</f>
        <v>0.051018336</v>
      </c>
      <c r="U241" s="4" t="n">
        <f aca="false">IF(E241=4,N241,"")</f>
        <v>7.900913664E-005</v>
      </c>
      <c r="V241" s="4" t="n">
        <f aca="false">IF(E241=4,Q241,"")</f>
        <v>1.0077696E-005</v>
      </c>
      <c r="W241" s="4" t="n">
        <f aca="false">IF(E241=4,T241,"")</f>
        <v>0.051018336</v>
      </c>
      <c r="X241" s="4" t="n">
        <f aca="false">IF(E241=4,IFERROR((LN(U241)-LN(V241))/(LN(W241)-LN(V241)),0),"")</f>
        <v>0.241422228624735</v>
      </c>
      <c r="Y241" s="3" t="str">
        <f aca="false">IF(E241=4,IF(X241&gt;='Settings '!$B$7,"Risk A",IF(X241&gt;='Settings '!$B$6,"Risk B","Risk C")),"")</f>
        <v>Risk C</v>
      </c>
      <c r="Z241" s="3" t="n">
        <f aca="false">IF(Y241="Risk B",1,0)</f>
        <v>0</v>
      </c>
      <c r="AA241" s="3" t="n">
        <f aca="false">IF(J241&gt;='Settings '!$B$10,1,0)</f>
        <v>1</v>
      </c>
      <c r="AB241" s="3" t="n">
        <f aca="false">IF(M241&gt;='Settings '!$B$11,1,0)</f>
        <v>0</v>
      </c>
      <c r="AC241" s="4" t="n">
        <f aca="false">ABS(M241-MIN(1,I241*J241*K241))</f>
        <v>0</v>
      </c>
    </row>
    <row r="242" customFormat="false" ht="25.5" hidden="false" customHeight="true" outlineLevel="0" collapsed="false">
      <c r="A242" s="3" t="s">
        <v>29</v>
      </c>
      <c r="B242" s="3" t="n">
        <v>61</v>
      </c>
      <c r="C242" s="3" t="s">
        <v>122</v>
      </c>
      <c r="D242" s="3" t="s">
        <v>31</v>
      </c>
      <c r="E242" s="3" t="n">
        <v>1</v>
      </c>
      <c r="F242" s="3" t="s">
        <v>32</v>
      </c>
      <c r="G242" s="3" t="s">
        <v>33</v>
      </c>
      <c r="H242" s="3" t="s">
        <v>34</v>
      </c>
      <c r="I242" s="4" t="n">
        <v>0.72</v>
      </c>
      <c r="J242" s="4" t="n">
        <v>0.1</v>
      </c>
      <c r="K242" s="4" t="n">
        <v>2</v>
      </c>
      <c r="L242" s="4" t="n">
        <f aca="false">I242*J242</f>
        <v>0.072</v>
      </c>
      <c r="M242" s="4" t="n">
        <f aca="false">MIN(1,I242*J242*K242)</f>
        <v>0.144</v>
      </c>
      <c r="N242" s="4" t="n">
        <f aca="false">M242</f>
        <v>0.144</v>
      </c>
      <c r="O242" s="4" t="n">
        <f aca="false">'Settings '!$B$8</f>
        <v>0.1</v>
      </c>
      <c r="P242" s="4" t="n">
        <f aca="false">MIN(1,I242*O242*K242)</f>
        <v>0.144</v>
      </c>
      <c r="Q242" s="4" t="n">
        <f aca="false">P242</f>
        <v>0.144</v>
      </c>
      <c r="R242" s="4" t="n">
        <f aca="false">'Settings '!$B$9</f>
        <v>0.9</v>
      </c>
      <c r="S242" s="4" t="n">
        <f aca="false">MIN(1,I242*R242*K242)</f>
        <v>1</v>
      </c>
      <c r="T242" s="4" t="n">
        <f aca="false">S242</f>
        <v>1</v>
      </c>
      <c r="U242" s="4" t="str">
        <f aca="false">IF(E242=4,N242,"")</f>
        <v/>
      </c>
      <c r="V242" s="4" t="str">
        <f aca="false">IF(E242=4,Q242,"")</f>
        <v/>
      </c>
      <c r="W242" s="4" t="str">
        <f aca="false">IF(E242=4,T242,"")</f>
        <v/>
      </c>
      <c r="X242" s="4" t="str">
        <f aca="false">IF(E242=4,IFERROR((LN(U242)-LN(V242))/(LN(W242)-LN(V242)),0),"")</f>
        <v/>
      </c>
      <c r="Y242" s="3" t="str">
        <f aca="false">IF(E242=4,IF(X242&gt;='Settings '!$B$7,"Risk A",IF(X242&gt;='Settings '!$B$6,"Risk B","Risk C")),"")</f>
        <v/>
      </c>
      <c r="Z242" s="3" t="n">
        <f aca="false">IF(Y242="Risk B",1,0)</f>
        <v>0</v>
      </c>
      <c r="AA242" s="3" t="n">
        <f aca="false">IF(J242&gt;='Settings '!$B$10,1,0)</f>
        <v>0</v>
      </c>
      <c r="AB242" s="3" t="n">
        <f aca="false">IF(M242&gt;='Settings '!$B$11,1,0)</f>
        <v>0</v>
      </c>
      <c r="AC242" s="4" t="n">
        <f aca="false">ABS(M242-MIN(1,I242*J242*K242))</f>
        <v>0</v>
      </c>
    </row>
    <row r="243" customFormat="false" ht="14.25" hidden="false" customHeight="true" outlineLevel="0" collapsed="false">
      <c r="A243" s="3" t="s">
        <v>29</v>
      </c>
      <c r="B243" s="3" t="n">
        <v>61</v>
      </c>
      <c r="C243" s="3" t="s">
        <v>122</v>
      </c>
      <c r="D243" s="3" t="s">
        <v>35</v>
      </c>
      <c r="E243" s="3" t="n">
        <v>2</v>
      </c>
      <c r="F243" s="3" t="s">
        <v>109</v>
      </c>
      <c r="G243" s="3" t="s">
        <v>110</v>
      </c>
      <c r="H243" s="3" t="s">
        <v>38</v>
      </c>
      <c r="I243" s="4" t="n">
        <v>0.18</v>
      </c>
      <c r="J243" s="4" t="n">
        <v>0.28</v>
      </c>
      <c r="K243" s="4" t="n">
        <v>1.5</v>
      </c>
      <c r="L243" s="4" t="n">
        <f aca="false">I243*J243</f>
        <v>0.0504</v>
      </c>
      <c r="M243" s="4" t="n">
        <f aca="false">MIN(1,I243*J243*K243)</f>
        <v>0.0756</v>
      </c>
      <c r="N243" s="4" t="n">
        <f aca="false">N242*M243</f>
        <v>0.0108864</v>
      </c>
      <c r="O243" s="4" t="n">
        <f aca="false">'Settings '!$B$8</f>
        <v>0.1</v>
      </c>
      <c r="P243" s="4" t="n">
        <f aca="false">MIN(1,I243*O243*K243)</f>
        <v>0.027</v>
      </c>
      <c r="Q243" s="4" t="n">
        <f aca="false">Q242*P243</f>
        <v>0.003888</v>
      </c>
      <c r="R243" s="4" t="n">
        <f aca="false">'Settings '!$B$9</f>
        <v>0.9</v>
      </c>
      <c r="S243" s="4" t="n">
        <f aca="false">MIN(1,I243*R243*K243)</f>
        <v>0.243</v>
      </c>
      <c r="T243" s="4" t="n">
        <f aca="false">T242*S243</f>
        <v>0.243</v>
      </c>
      <c r="U243" s="4" t="str">
        <f aca="false">IF(E243=4,N243,"")</f>
        <v/>
      </c>
      <c r="V243" s="4" t="str">
        <f aca="false">IF(E243=4,Q243,"")</f>
        <v/>
      </c>
      <c r="W243" s="4" t="str">
        <f aca="false">IF(E243=4,T243,"")</f>
        <v/>
      </c>
      <c r="X243" s="4" t="str">
        <f aca="false">IF(E243=4,IFERROR((LN(U243)-LN(V243))/(LN(W243)-LN(V243)),0),"")</f>
        <v/>
      </c>
      <c r="Y243" s="3" t="str">
        <f aca="false">IF(E243=4,IF(X243&gt;='Settings '!$B$7,"Risk A",IF(X243&gt;='Settings '!$B$6,"Risk B","Risk C")),"")</f>
        <v/>
      </c>
      <c r="Z243" s="3" t="n">
        <f aca="false">IF(Y243="Risk B",1,0)</f>
        <v>0</v>
      </c>
      <c r="AA243" s="3" t="n">
        <f aca="false">IF(J243&gt;='Settings '!$B$10,1,0)</f>
        <v>1</v>
      </c>
      <c r="AB243" s="3" t="n">
        <f aca="false">IF(M243&gt;='Settings '!$B$11,1,0)</f>
        <v>0</v>
      </c>
      <c r="AC243" s="4" t="n">
        <f aca="false">ABS(M243-MIN(1,I243*J243*K243))</f>
        <v>0</v>
      </c>
    </row>
    <row r="244" customFormat="false" ht="14.25" hidden="false" customHeight="true" outlineLevel="0" collapsed="false">
      <c r="A244" s="3" t="s">
        <v>29</v>
      </c>
      <c r="B244" s="3" t="n">
        <v>61</v>
      </c>
      <c r="C244" s="3" t="s">
        <v>122</v>
      </c>
      <c r="D244" s="3" t="s">
        <v>39</v>
      </c>
      <c r="E244" s="3" t="n">
        <v>3</v>
      </c>
      <c r="F244" s="3" t="s">
        <v>69</v>
      </c>
      <c r="G244" s="3" t="s">
        <v>70</v>
      </c>
      <c r="H244" s="3" t="s">
        <v>42</v>
      </c>
      <c r="I244" s="4" t="n">
        <v>0.36</v>
      </c>
      <c r="J244" s="4" t="n">
        <v>0.1</v>
      </c>
      <c r="K244" s="4" t="n">
        <v>2</v>
      </c>
      <c r="L244" s="4" t="n">
        <f aca="false">I244*J244</f>
        <v>0.036</v>
      </c>
      <c r="M244" s="4" t="n">
        <f aca="false">MIN(1,I244*J244*K244)</f>
        <v>0.072</v>
      </c>
      <c r="N244" s="4" t="n">
        <f aca="false">N243*M244</f>
        <v>0.0007838208</v>
      </c>
      <c r="O244" s="4" t="n">
        <f aca="false">'Settings '!$B$8</f>
        <v>0.1</v>
      </c>
      <c r="P244" s="4" t="n">
        <f aca="false">MIN(1,I244*O244*K244)</f>
        <v>0.072</v>
      </c>
      <c r="Q244" s="4" t="n">
        <f aca="false">Q243*P244</f>
        <v>0.000279936</v>
      </c>
      <c r="R244" s="4" t="n">
        <f aca="false">'Settings '!$B$9</f>
        <v>0.9</v>
      </c>
      <c r="S244" s="4" t="n">
        <f aca="false">MIN(1,I244*R244*K244)</f>
        <v>0.648</v>
      </c>
      <c r="T244" s="4" t="n">
        <f aca="false">T243*S244</f>
        <v>0.157464</v>
      </c>
      <c r="U244" s="4" t="str">
        <f aca="false">IF(E244=4,N244,"")</f>
        <v/>
      </c>
      <c r="V244" s="4" t="str">
        <f aca="false">IF(E244=4,Q244,"")</f>
        <v/>
      </c>
      <c r="W244" s="4" t="str">
        <f aca="false">IF(E244=4,T244,"")</f>
        <v/>
      </c>
      <c r="X244" s="4" t="str">
        <f aca="false">IF(E244=4,IFERROR((LN(U244)-LN(V244))/(LN(W244)-LN(V244)),0),"")</f>
        <v/>
      </c>
      <c r="Y244" s="3" t="str">
        <f aca="false">IF(E244=4,IF(X244&gt;='Settings '!$B$7,"Risk A",IF(X244&gt;='Settings '!$B$6,"Risk B","Risk C")),"")</f>
        <v/>
      </c>
      <c r="Z244" s="3" t="n">
        <f aca="false">IF(Y244="Risk B",1,0)</f>
        <v>0</v>
      </c>
      <c r="AA244" s="3" t="n">
        <f aca="false">IF(J244&gt;='Settings '!$B$10,1,0)</f>
        <v>0</v>
      </c>
      <c r="AB244" s="3" t="n">
        <f aca="false">IF(M244&gt;='Settings '!$B$11,1,0)</f>
        <v>0</v>
      </c>
      <c r="AC244" s="4" t="n">
        <f aca="false">ABS(M244-MIN(1,I244*J244*K244))</f>
        <v>0</v>
      </c>
    </row>
    <row r="245" customFormat="false" ht="14.25" hidden="false" customHeight="true" outlineLevel="0" collapsed="false">
      <c r="A245" s="3" t="s">
        <v>29</v>
      </c>
      <c r="B245" s="3" t="n">
        <v>61</v>
      </c>
      <c r="C245" s="3" t="s">
        <v>122</v>
      </c>
      <c r="D245" s="3" t="s">
        <v>43</v>
      </c>
      <c r="E245" s="3" t="n">
        <v>4</v>
      </c>
      <c r="F245" s="3" t="s">
        <v>44</v>
      </c>
      <c r="G245" s="3" t="s">
        <v>45</v>
      </c>
      <c r="H245" s="3" t="s">
        <v>46</v>
      </c>
      <c r="I245" s="4" t="n">
        <v>0.9</v>
      </c>
      <c r="J245" s="4" t="n">
        <v>0.1</v>
      </c>
      <c r="K245" s="4" t="n">
        <v>2</v>
      </c>
      <c r="L245" s="4" t="n">
        <f aca="false">I245*J245</f>
        <v>0.09</v>
      </c>
      <c r="M245" s="4" t="n">
        <f aca="false">MIN(1,I245*J245*K245)</f>
        <v>0.18</v>
      </c>
      <c r="N245" s="4" t="n">
        <f aca="false">N244*M245</f>
        <v>0.000141087744</v>
      </c>
      <c r="O245" s="4" t="n">
        <f aca="false">'Settings '!$B$8</f>
        <v>0.1</v>
      </c>
      <c r="P245" s="4" t="n">
        <f aca="false">MIN(1,I245*O245*K245)</f>
        <v>0.18</v>
      </c>
      <c r="Q245" s="4" t="n">
        <f aca="false">Q244*P245</f>
        <v>5.038848E-005</v>
      </c>
      <c r="R245" s="4" t="n">
        <f aca="false">'Settings '!$B$9</f>
        <v>0.9</v>
      </c>
      <c r="S245" s="4" t="n">
        <f aca="false">MIN(1,I245*R245*K245)</f>
        <v>1</v>
      </c>
      <c r="T245" s="4" t="n">
        <f aca="false">T244*S245</f>
        <v>0.157464</v>
      </c>
      <c r="U245" s="4" t="n">
        <f aca="false">IF(E245=4,N245,"")</f>
        <v>0.000141087744</v>
      </c>
      <c r="V245" s="4" t="n">
        <f aca="false">IF(E245=4,Q245,"")</f>
        <v>5.038848E-005</v>
      </c>
      <c r="W245" s="4" t="n">
        <f aca="false">IF(E245=4,T245,"")</f>
        <v>0.157464</v>
      </c>
      <c r="X245" s="4" t="n">
        <f aca="false">IF(E245=4,IFERROR((LN(U245)-LN(V245))/(LN(W245)-LN(V245)),0),"")</f>
        <v>0.127947702639112</v>
      </c>
      <c r="Y245" s="3" t="str">
        <f aca="false">IF(E245=4,IF(X245&gt;='Settings '!$B$7,"Risk A",IF(X245&gt;='Settings '!$B$6,"Risk B","Risk C")),"")</f>
        <v>Risk C</v>
      </c>
      <c r="Z245" s="3" t="n">
        <f aca="false">IF(Y245="Risk B",1,0)</f>
        <v>0</v>
      </c>
      <c r="AA245" s="3" t="n">
        <f aca="false">IF(J245&gt;='Settings '!$B$10,1,0)</f>
        <v>0</v>
      </c>
      <c r="AB245" s="3" t="n">
        <f aca="false">IF(M245&gt;='Settings '!$B$11,1,0)</f>
        <v>0</v>
      </c>
      <c r="AC245" s="4" t="n">
        <f aca="false">ABS(M245-MIN(1,I245*J245*K245))</f>
        <v>0</v>
      </c>
    </row>
    <row r="246" customFormat="false" ht="25.5" hidden="false" customHeight="true" outlineLevel="0" collapsed="false">
      <c r="A246" s="3" t="s">
        <v>29</v>
      </c>
      <c r="B246" s="3" t="n">
        <v>62</v>
      </c>
      <c r="C246" s="3" t="s">
        <v>123</v>
      </c>
      <c r="D246" s="3" t="s">
        <v>31</v>
      </c>
      <c r="E246" s="3" t="n">
        <v>1</v>
      </c>
      <c r="F246" s="3" t="s">
        <v>32</v>
      </c>
      <c r="G246" s="3" t="s">
        <v>33</v>
      </c>
      <c r="H246" s="3" t="s">
        <v>34</v>
      </c>
      <c r="I246" s="4" t="n">
        <v>0.72</v>
      </c>
      <c r="J246" s="4" t="n">
        <v>0.1</v>
      </c>
      <c r="K246" s="4" t="n">
        <v>2</v>
      </c>
      <c r="L246" s="4" t="n">
        <f aca="false">I246*J246</f>
        <v>0.072</v>
      </c>
      <c r="M246" s="4" t="n">
        <f aca="false">MIN(1,I246*J246*K246)</f>
        <v>0.144</v>
      </c>
      <c r="N246" s="4" t="n">
        <f aca="false">M246</f>
        <v>0.144</v>
      </c>
      <c r="O246" s="4" t="n">
        <f aca="false">'Settings '!$B$8</f>
        <v>0.1</v>
      </c>
      <c r="P246" s="4" t="n">
        <f aca="false">MIN(1,I246*O246*K246)</f>
        <v>0.144</v>
      </c>
      <c r="Q246" s="4" t="n">
        <f aca="false">P246</f>
        <v>0.144</v>
      </c>
      <c r="R246" s="4" t="n">
        <f aca="false">'Settings '!$B$9</f>
        <v>0.9</v>
      </c>
      <c r="S246" s="4" t="n">
        <f aca="false">MIN(1,I246*R246*K246)</f>
        <v>1</v>
      </c>
      <c r="T246" s="4" t="n">
        <f aca="false">S246</f>
        <v>1</v>
      </c>
      <c r="U246" s="4" t="str">
        <f aca="false">IF(E246=4,N246,"")</f>
        <v/>
      </c>
      <c r="V246" s="4" t="str">
        <f aca="false">IF(E246=4,Q246,"")</f>
        <v/>
      </c>
      <c r="W246" s="4" t="str">
        <f aca="false">IF(E246=4,T246,"")</f>
        <v/>
      </c>
      <c r="X246" s="4" t="str">
        <f aca="false">IF(E246=4,IFERROR((LN(U246)-LN(V246))/(LN(W246)-LN(V246)),0),"")</f>
        <v/>
      </c>
      <c r="Y246" s="3" t="str">
        <f aca="false">IF(E246=4,IF(X246&gt;='Settings '!$B$7,"Risk A",IF(X246&gt;='Settings '!$B$6,"Risk B","Risk C")),"")</f>
        <v/>
      </c>
      <c r="Z246" s="3" t="n">
        <f aca="false">IF(Y246="Risk B",1,0)</f>
        <v>0</v>
      </c>
      <c r="AA246" s="3" t="n">
        <f aca="false">IF(J246&gt;='Settings '!$B$10,1,0)</f>
        <v>0</v>
      </c>
      <c r="AB246" s="3" t="n">
        <f aca="false">IF(M246&gt;='Settings '!$B$11,1,0)</f>
        <v>0</v>
      </c>
      <c r="AC246" s="4" t="n">
        <f aca="false">ABS(M246-MIN(1,I246*J246*K246))</f>
        <v>0</v>
      </c>
    </row>
    <row r="247" customFormat="false" ht="14.25" hidden="false" customHeight="true" outlineLevel="0" collapsed="false">
      <c r="A247" s="3" t="s">
        <v>29</v>
      </c>
      <c r="B247" s="3" t="n">
        <v>62</v>
      </c>
      <c r="C247" s="3" t="s">
        <v>123</v>
      </c>
      <c r="D247" s="3" t="s">
        <v>35</v>
      </c>
      <c r="E247" s="3" t="n">
        <v>2</v>
      </c>
      <c r="F247" s="3" t="s">
        <v>109</v>
      </c>
      <c r="G247" s="3" t="s">
        <v>110</v>
      </c>
      <c r="H247" s="3" t="s">
        <v>38</v>
      </c>
      <c r="I247" s="4" t="n">
        <v>0.18</v>
      </c>
      <c r="J247" s="4" t="n">
        <v>0.28</v>
      </c>
      <c r="K247" s="4" t="n">
        <v>1.5</v>
      </c>
      <c r="L247" s="4" t="n">
        <f aca="false">I247*J247</f>
        <v>0.0504</v>
      </c>
      <c r="M247" s="4" t="n">
        <f aca="false">MIN(1,I247*J247*K247)</f>
        <v>0.0756</v>
      </c>
      <c r="N247" s="4" t="n">
        <f aca="false">N246*M247</f>
        <v>0.0108864</v>
      </c>
      <c r="O247" s="4" t="n">
        <f aca="false">'Settings '!$B$8</f>
        <v>0.1</v>
      </c>
      <c r="P247" s="4" t="n">
        <f aca="false">MIN(1,I247*O247*K247)</f>
        <v>0.027</v>
      </c>
      <c r="Q247" s="4" t="n">
        <f aca="false">Q246*P247</f>
        <v>0.003888</v>
      </c>
      <c r="R247" s="4" t="n">
        <f aca="false">'Settings '!$B$9</f>
        <v>0.9</v>
      </c>
      <c r="S247" s="4" t="n">
        <f aca="false">MIN(1,I247*R247*K247)</f>
        <v>0.243</v>
      </c>
      <c r="T247" s="4" t="n">
        <f aca="false">T246*S247</f>
        <v>0.243</v>
      </c>
      <c r="U247" s="4" t="str">
        <f aca="false">IF(E247=4,N247,"")</f>
        <v/>
      </c>
      <c r="V247" s="4" t="str">
        <f aca="false">IF(E247=4,Q247,"")</f>
        <v/>
      </c>
      <c r="W247" s="4" t="str">
        <f aca="false">IF(E247=4,T247,"")</f>
        <v/>
      </c>
      <c r="X247" s="4" t="str">
        <f aca="false">IF(E247=4,IFERROR((LN(U247)-LN(V247))/(LN(W247)-LN(V247)),0),"")</f>
        <v/>
      </c>
      <c r="Y247" s="3" t="str">
        <f aca="false">IF(E247=4,IF(X247&gt;='Settings '!$B$7,"Risk A",IF(X247&gt;='Settings '!$B$6,"Risk B","Risk C")),"")</f>
        <v/>
      </c>
      <c r="Z247" s="3" t="n">
        <f aca="false">IF(Y247="Risk B",1,0)</f>
        <v>0</v>
      </c>
      <c r="AA247" s="3" t="n">
        <f aca="false">IF(J247&gt;='Settings '!$B$10,1,0)</f>
        <v>1</v>
      </c>
      <c r="AB247" s="3" t="n">
        <f aca="false">IF(M247&gt;='Settings '!$B$11,1,0)</f>
        <v>0</v>
      </c>
      <c r="AC247" s="4" t="n">
        <f aca="false">ABS(M247-MIN(1,I247*J247*K247))</f>
        <v>0</v>
      </c>
    </row>
    <row r="248" customFormat="false" ht="14.25" hidden="false" customHeight="true" outlineLevel="0" collapsed="false">
      <c r="A248" s="3" t="s">
        <v>29</v>
      </c>
      <c r="B248" s="3" t="n">
        <v>62</v>
      </c>
      <c r="C248" s="3" t="s">
        <v>123</v>
      </c>
      <c r="D248" s="3" t="s">
        <v>39</v>
      </c>
      <c r="E248" s="3" t="n">
        <v>3</v>
      </c>
      <c r="F248" s="3" t="s">
        <v>69</v>
      </c>
      <c r="G248" s="3" t="s">
        <v>70</v>
      </c>
      <c r="H248" s="3" t="s">
        <v>42</v>
      </c>
      <c r="I248" s="4" t="n">
        <v>0.36</v>
      </c>
      <c r="J248" s="4" t="n">
        <v>0.1</v>
      </c>
      <c r="K248" s="4" t="n">
        <v>2</v>
      </c>
      <c r="L248" s="4" t="n">
        <f aca="false">I248*J248</f>
        <v>0.036</v>
      </c>
      <c r="M248" s="4" t="n">
        <f aca="false">MIN(1,I248*J248*K248)</f>
        <v>0.072</v>
      </c>
      <c r="N248" s="4" t="n">
        <f aca="false">N247*M248</f>
        <v>0.0007838208</v>
      </c>
      <c r="O248" s="4" t="n">
        <f aca="false">'Settings '!$B$8</f>
        <v>0.1</v>
      </c>
      <c r="P248" s="4" t="n">
        <f aca="false">MIN(1,I248*O248*K248)</f>
        <v>0.072</v>
      </c>
      <c r="Q248" s="4" t="n">
        <f aca="false">Q247*P248</f>
        <v>0.000279936</v>
      </c>
      <c r="R248" s="4" t="n">
        <f aca="false">'Settings '!$B$9</f>
        <v>0.9</v>
      </c>
      <c r="S248" s="4" t="n">
        <f aca="false">MIN(1,I248*R248*K248)</f>
        <v>0.648</v>
      </c>
      <c r="T248" s="4" t="n">
        <f aca="false">T247*S248</f>
        <v>0.157464</v>
      </c>
      <c r="U248" s="4" t="str">
        <f aca="false">IF(E248=4,N248,"")</f>
        <v/>
      </c>
      <c r="V248" s="4" t="str">
        <f aca="false">IF(E248=4,Q248,"")</f>
        <v/>
      </c>
      <c r="W248" s="4" t="str">
        <f aca="false">IF(E248=4,T248,"")</f>
        <v/>
      </c>
      <c r="X248" s="4" t="str">
        <f aca="false">IF(E248=4,IFERROR((LN(U248)-LN(V248))/(LN(W248)-LN(V248)),0),"")</f>
        <v/>
      </c>
      <c r="Y248" s="3" t="str">
        <f aca="false">IF(E248=4,IF(X248&gt;='Settings '!$B$7,"Risk A",IF(X248&gt;='Settings '!$B$6,"Risk B","Risk C")),"")</f>
        <v/>
      </c>
      <c r="Z248" s="3" t="n">
        <f aca="false">IF(Y248="Risk B",1,0)</f>
        <v>0</v>
      </c>
      <c r="AA248" s="3" t="n">
        <f aca="false">IF(J248&gt;='Settings '!$B$10,1,0)</f>
        <v>0</v>
      </c>
      <c r="AB248" s="3" t="n">
        <f aca="false">IF(M248&gt;='Settings '!$B$11,1,0)</f>
        <v>0</v>
      </c>
      <c r="AC248" s="4" t="n">
        <f aca="false">ABS(M248-MIN(1,I248*J248*K248))</f>
        <v>0</v>
      </c>
    </row>
    <row r="249" customFormat="false" ht="14.25" hidden="false" customHeight="true" outlineLevel="0" collapsed="false">
      <c r="A249" s="3" t="s">
        <v>29</v>
      </c>
      <c r="B249" s="3" t="n">
        <v>62</v>
      </c>
      <c r="C249" s="3" t="s">
        <v>123</v>
      </c>
      <c r="D249" s="3" t="s">
        <v>43</v>
      </c>
      <c r="E249" s="3" t="n">
        <v>4</v>
      </c>
      <c r="F249" s="3" t="s">
        <v>48</v>
      </c>
      <c r="G249" s="3" t="s">
        <v>49</v>
      </c>
      <c r="H249" s="3" t="s">
        <v>46</v>
      </c>
      <c r="I249" s="4" t="n">
        <v>0.72</v>
      </c>
      <c r="J249" s="4" t="n">
        <v>0.28</v>
      </c>
      <c r="K249" s="4" t="n">
        <v>2</v>
      </c>
      <c r="L249" s="4" t="n">
        <f aca="false">I249*J249</f>
        <v>0.2016</v>
      </c>
      <c r="M249" s="4" t="n">
        <f aca="false">MIN(1,I249*J249*K249)</f>
        <v>0.4032</v>
      </c>
      <c r="N249" s="4" t="n">
        <f aca="false">N248*M249</f>
        <v>0.00031603654656</v>
      </c>
      <c r="O249" s="4" t="n">
        <f aca="false">'Settings '!$B$8</f>
        <v>0.1</v>
      </c>
      <c r="P249" s="4" t="n">
        <f aca="false">MIN(1,I249*O249*K249)</f>
        <v>0.144</v>
      </c>
      <c r="Q249" s="4" t="n">
        <f aca="false">Q248*P249</f>
        <v>4.0310784E-005</v>
      </c>
      <c r="R249" s="4" t="n">
        <f aca="false">'Settings '!$B$9</f>
        <v>0.9</v>
      </c>
      <c r="S249" s="4" t="n">
        <f aca="false">MIN(1,I249*R249*K249)</f>
        <v>1</v>
      </c>
      <c r="T249" s="4" t="n">
        <f aca="false">T248*S249</f>
        <v>0.157464</v>
      </c>
      <c r="U249" s="4" t="n">
        <f aca="false">IF(E249=4,N249,"")</f>
        <v>0.00031603654656</v>
      </c>
      <c r="V249" s="4" t="n">
        <f aca="false">IF(E249=4,Q249,"")</f>
        <v>4.0310784E-005</v>
      </c>
      <c r="W249" s="4" t="n">
        <f aca="false">IF(E249=4,T249,"")</f>
        <v>0.157464</v>
      </c>
      <c r="X249" s="4" t="n">
        <f aca="false">IF(E249=4,IFERROR((LN(U249)-LN(V249))/(LN(W249)-LN(V249)),0),"")</f>
        <v>0.248991038946756</v>
      </c>
      <c r="Y249" s="3" t="str">
        <f aca="false">IF(E249=4,IF(X249&gt;='Settings '!$B$7,"Risk A",IF(X249&gt;='Settings '!$B$6,"Risk B","Risk C")),"")</f>
        <v>Risk C</v>
      </c>
      <c r="Z249" s="3" t="n">
        <f aca="false">IF(Y249="Risk B",1,0)</f>
        <v>0</v>
      </c>
      <c r="AA249" s="3" t="n">
        <f aca="false">IF(J249&gt;='Settings '!$B$10,1,0)</f>
        <v>1</v>
      </c>
      <c r="AB249" s="3" t="n">
        <f aca="false">IF(M249&gt;='Settings '!$B$11,1,0)</f>
        <v>1</v>
      </c>
      <c r="AC249" s="4" t="n">
        <f aca="false">ABS(M249-MIN(1,I249*J249*K249))</f>
        <v>0</v>
      </c>
    </row>
    <row r="250" customFormat="false" ht="25.5" hidden="false" customHeight="true" outlineLevel="0" collapsed="false">
      <c r="A250" s="3" t="s">
        <v>29</v>
      </c>
      <c r="B250" s="3" t="n">
        <v>63</v>
      </c>
      <c r="C250" s="3" t="s">
        <v>124</v>
      </c>
      <c r="D250" s="3" t="s">
        <v>31</v>
      </c>
      <c r="E250" s="3" t="n">
        <v>1</v>
      </c>
      <c r="F250" s="3" t="s">
        <v>32</v>
      </c>
      <c r="G250" s="3" t="s">
        <v>33</v>
      </c>
      <c r="H250" s="3" t="s">
        <v>34</v>
      </c>
      <c r="I250" s="4" t="n">
        <v>0.72</v>
      </c>
      <c r="J250" s="4" t="n">
        <v>0.1</v>
      </c>
      <c r="K250" s="4" t="n">
        <v>2</v>
      </c>
      <c r="L250" s="4" t="n">
        <f aca="false">I250*J250</f>
        <v>0.072</v>
      </c>
      <c r="M250" s="4" t="n">
        <f aca="false">MIN(1,I250*J250*K250)</f>
        <v>0.144</v>
      </c>
      <c r="N250" s="4" t="n">
        <f aca="false">M250</f>
        <v>0.144</v>
      </c>
      <c r="O250" s="4" t="n">
        <f aca="false">'Settings '!$B$8</f>
        <v>0.1</v>
      </c>
      <c r="P250" s="4" t="n">
        <f aca="false">MIN(1,I250*O250*K250)</f>
        <v>0.144</v>
      </c>
      <c r="Q250" s="4" t="n">
        <f aca="false">P250</f>
        <v>0.144</v>
      </c>
      <c r="R250" s="4" t="n">
        <f aca="false">'Settings '!$B$9</f>
        <v>0.9</v>
      </c>
      <c r="S250" s="4" t="n">
        <f aca="false">MIN(1,I250*R250*K250)</f>
        <v>1</v>
      </c>
      <c r="T250" s="4" t="n">
        <f aca="false">S250</f>
        <v>1</v>
      </c>
      <c r="U250" s="4" t="str">
        <f aca="false">IF(E250=4,N250,"")</f>
        <v/>
      </c>
      <c r="V250" s="4" t="str">
        <f aca="false">IF(E250=4,Q250,"")</f>
        <v/>
      </c>
      <c r="W250" s="4" t="str">
        <f aca="false">IF(E250=4,T250,"")</f>
        <v/>
      </c>
      <c r="X250" s="4" t="str">
        <f aca="false">IF(E250=4,IFERROR((LN(U250)-LN(V250))/(LN(W250)-LN(V250)),0),"")</f>
        <v/>
      </c>
      <c r="Y250" s="3" t="str">
        <f aca="false">IF(E250=4,IF(X250&gt;='Settings '!$B$7,"Risk A",IF(X250&gt;='Settings '!$B$6,"Risk B","Risk C")),"")</f>
        <v/>
      </c>
      <c r="Z250" s="3" t="n">
        <f aca="false">IF(Y250="Risk B",1,0)</f>
        <v>0</v>
      </c>
      <c r="AA250" s="3" t="n">
        <f aca="false">IF(J250&gt;='Settings '!$B$10,1,0)</f>
        <v>0</v>
      </c>
      <c r="AB250" s="3" t="n">
        <f aca="false">IF(M250&gt;='Settings '!$B$11,1,0)</f>
        <v>0</v>
      </c>
      <c r="AC250" s="4" t="n">
        <f aca="false">ABS(M250-MIN(1,I250*J250*K250))</f>
        <v>0</v>
      </c>
    </row>
    <row r="251" customFormat="false" ht="14.25" hidden="false" customHeight="true" outlineLevel="0" collapsed="false">
      <c r="A251" s="3" t="s">
        <v>29</v>
      </c>
      <c r="B251" s="3" t="n">
        <v>63</v>
      </c>
      <c r="C251" s="3" t="s">
        <v>124</v>
      </c>
      <c r="D251" s="3" t="s">
        <v>35</v>
      </c>
      <c r="E251" s="3" t="n">
        <v>2</v>
      </c>
      <c r="F251" s="3" t="s">
        <v>109</v>
      </c>
      <c r="G251" s="3" t="s">
        <v>110</v>
      </c>
      <c r="H251" s="3" t="s">
        <v>38</v>
      </c>
      <c r="I251" s="4" t="n">
        <v>0.18</v>
      </c>
      <c r="J251" s="4" t="n">
        <v>0.28</v>
      </c>
      <c r="K251" s="4" t="n">
        <v>1.5</v>
      </c>
      <c r="L251" s="4" t="n">
        <f aca="false">I251*J251</f>
        <v>0.0504</v>
      </c>
      <c r="M251" s="4" t="n">
        <f aca="false">MIN(1,I251*J251*K251)</f>
        <v>0.0756</v>
      </c>
      <c r="N251" s="4" t="n">
        <f aca="false">N250*M251</f>
        <v>0.0108864</v>
      </c>
      <c r="O251" s="4" t="n">
        <f aca="false">'Settings '!$B$8</f>
        <v>0.1</v>
      </c>
      <c r="P251" s="4" t="n">
        <f aca="false">MIN(1,I251*O251*K251)</f>
        <v>0.027</v>
      </c>
      <c r="Q251" s="4" t="n">
        <f aca="false">Q250*P251</f>
        <v>0.003888</v>
      </c>
      <c r="R251" s="4" t="n">
        <f aca="false">'Settings '!$B$9</f>
        <v>0.9</v>
      </c>
      <c r="S251" s="4" t="n">
        <f aca="false">MIN(1,I251*R251*K251)</f>
        <v>0.243</v>
      </c>
      <c r="T251" s="4" t="n">
        <f aca="false">T250*S251</f>
        <v>0.243</v>
      </c>
      <c r="U251" s="4" t="str">
        <f aca="false">IF(E251=4,N251,"")</f>
        <v/>
      </c>
      <c r="V251" s="4" t="str">
        <f aca="false">IF(E251=4,Q251,"")</f>
        <v/>
      </c>
      <c r="W251" s="4" t="str">
        <f aca="false">IF(E251=4,T251,"")</f>
        <v/>
      </c>
      <c r="X251" s="4" t="str">
        <f aca="false">IF(E251=4,IFERROR((LN(U251)-LN(V251))/(LN(W251)-LN(V251)),0),"")</f>
        <v/>
      </c>
      <c r="Y251" s="3" t="str">
        <f aca="false">IF(E251=4,IF(X251&gt;='Settings '!$B$7,"Risk A",IF(X251&gt;='Settings '!$B$6,"Risk B","Risk C")),"")</f>
        <v/>
      </c>
      <c r="Z251" s="3" t="n">
        <f aca="false">IF(Y251="Risk B",1,0)</f>
        <v>0</v>
      </c>
      <c r="AA251" s="3" t="n">
        <f aca="false">IF(J251&gt;='Settings '!$B$10,1,0)</f>
        <v>1</v>
      </c>
      <c r="AB251" s="3" t="n">
        <f aca="false">IF(M251&gt;='Settings '!$B$11,1,0)</f>
        <v>0</v>
      </c>
      <c r="AC251" s="4" t="n">
        <f aca="false">ABS(M251-MIN(1,I251*J251*K251))</f>
        <v>0</v>
      </c>
    </row>
    <row r="252" customFormat="false" ht="14.25" hidden="false" customHeight="true" outlineLevel="0" collapsed="false">
      <c r="A252" s="3" t="s">
        <v>29</v>
      </c>
      <c r="B252" s="3" t="n">
        <v>63</v>
      </c>
      <c r="C252" s="3" t="s">
        <v>124</v>
      </c>
      <c r="D252" s="3" t="s">
        <v>39</v>
      </c>
      <c r="E252" s="3" t="n">
        <v>3</v>
      </c>
      <c r="F252" s="3" t="s">
        <v>69</v>
      </c>
      <c r="G252" s="3" t="s">
        <v>70</v>
      </c>
      <c r="H252" s="3" t="s">
        <v>42</v>
      </c>
      <c r="I252" s="4" t="n">
        <v>0.36</v>
      </c>
      <c r="J252" s="4" t="n">
        <v>0.1</v>
      </c>
      <c r="K252" s="4" t="n">
        <v>2</v>
      </c>
      <c r="L252" s="4" t="n">
        <f aca="false">I252*J252</f>
        <v>0.036</v>
      </c>
      <c r="M252" s="4" t="n">
        <f aca="false">MIN(1,I252*J252*K252)</f>
        <v>0.072</v>
      </c>
      <c r="N252" s="4" t="n">
        <f aca="false">N251*M252</f>
        <v>0.0007838208</v>
      </c>
      <c r="O252" s="4" t="n">
        <f aca="false">'Settings '!$B$8</f>
        <v>0.1</v>
      </c>
      <c r="P252" s="4" t="n">
        <f aca="false">MIN(1,I252*O252*K252)</f>
        <v>0.072</v>
      </c>
      <c r="Q252" s="4" t="n">
        <f aca="false">Q251*P252</f>
        <v>0.000279936</v>
      </c>
      <c r="R252" s="4" t="n">
        <f aca="false">'Settings '!$B$9</f>
        <v>0.9</v>
      </c>
      <c r="S252" s="4" t="n">
        <f aca="false">MIN(1,I252*R252*K252)</f>
        <v>0.648</v>
      </c>
      <c r="T252" s="4" t="n">
        <f aca="false">T251*S252</f>
        <v>0.157464</v>
      </c>
      <c r="U252" s="4" t="str">
        <f aca="false">IF(E252=4,N252,"")</f>
        <v/>
      </c>
      <c r="V252" s="4" t="str">
        <f aca="false">IF(E252=4,Q252,"")</f>
        <v/>
      </c>
      <c r="W252" s="4" t="str">
        <f aca="false">IF(E252=4,T252,"")</f>
        <v/>
      </c>
      <c r="X252" s="4" t="str">
        <f aca="false">IF(E252=4,IFERROR((LN(U252)-LN(V252))/(LN(W252)-LN(V252)),0),"")</f>
        <v/>
      </c>
      <c r="Y252" s="3" t="str">
        <f aca="false">IF(E252=4,IF(X252&gt;='Settings '!$B$7,"Risk A",IF(X252&gt;='Settings '!$B$6,"Risk B","Risk C")),"")</f>
        <v/>
      </c>
      <c r="Z252" s="3" t="n">
        <f aca="false">IF(Y252="Risk B",1,0)</f>
        <v>0</v>
      </c>
      <c r="AA252" s="3" t="n">
        <f aca="false">IF(J252&gt;='Settings '!$B$10,1,0)</f>
        <v>0</v>
      </c>
      <c r="AB252" s="3" t="n">
        <f aca="false">IF(M252&gt;='Settings '!$B$11,1,0)</f>
        <v>0</v>
      </c>
      <c r="AC252" s="4" t="n">
        <f aca="false">ABS(M252-MIN(1,I252*J252*K252))</f>
        <v>0</v>
      </c>
    </row>
    <row r="253" customFormat="false" ht="14.25" hidden="false" customHeight="true" outlineLevel="0" collapsed="false">
      <c r="A253" s="3" t="s">
        <v>29</v>
      </c>
      <c r="B253" s="3" t="n">
        <v>63</v>
      </c>
      <c r="C253" s="3" t="s">
        <v>124</v>
      </c>
      <c r="D253" s="3" t="s">
        <v>43</v>
      </c>
      <c r="E253" s="3" t="n">
        <v>4</v>
      </c>
      <c r="F253" s="3" t="s">
        <v>51</v>
      </c>
      <c r="G253" s="3" t="s">
        <v>52</v>
      </c>
      <c r="H253" s="3" t="s">
        <v>46</v>
      </c>
      <c r="I253" s="4" t="n">
        <v>0.18</v>
      </c>
      <c r="J253" s="4" t="n">
        <v>0.28</v>
      </c>
      <c r="K253" s="4" t="n">
        <v>2</v>
      </c>
      <c r="L253" s="4" t="n">
        <f aca="false">I253*J253</f>
        <v>0.0504</v>
      </c>
      <c r="M253" s="4" t="n">
        <f aca="false">MIN(1,I253*J253*K253)</f>
        <v>0.1008</v>
      </c>
      <c r="N253" s="4" t="n">
        <f aca="false">N252*M253</f>
        <v>7.900913664E-005</v>
      </c>
      <c r="O253" s="4" t="n">
        <f aca="false">'Settings '!$B$8</f>
        <v>0.1</v>
      </c>
      <c r="P253" s="4" t="n">
        <f aca="false">MIN(1,I253*O253*K253)</f>
        <v>0.036</v>
      </c>
      <c r="Q253" s="4" t="n">
        <f aca="false">Q252*P253</f>
        <v>1.0077696E-005</v>
      </c>
      <c r="R253" s="4" t="n">
        <f aca="false">'Settings '!$B$9</f>
        <v>0.9</v>
      </c>
      <c r="S253" s="4" t="n">
        <f aca="false">MIN(1,I253*R253*K253)</f>
        <v>0.324</v>
      </c>
      <c r="T253" s="4" t="n">
        <f aca="false">T252*S253</f>
        <v>0.051018336</v>
      </c>
      <c r="U253" s="4" t="n">
        <f aca="false">IF(E253=4,N253,"")</f>
        <v>7.900913664E-005</v>
      </c>
      <c r="V253" s="4" t="n">
        <f aca="false">IF(E253=4,Q253,"")</f>
        <v>1.0077696E-005</v>
      </c>
      <c r="W253" s="4" t="n">
        <f aca="false">IF(E253=4,T253,"")</f>
        <v>0.051018336</v>
      </c>
      <c r="X253" s="4" t="n">
        <f aca="false">IF(E253=4,IFERROR((LN(U253)-LN(V253))/(LN(W253)-LN(V253)),0),"")</f>
        <v>0.241422228624735</v>
      </c>
      <c r="Y253" s="3" t="str">
        <f aca="false">IF(E253=4,IF(X253&gt;='Settings '!$B$7,"Risk A",IF(X253&gt;='Settings '!$B$6,"Risk B","Risk C")),"")</f>
        <v>Risk C</v>
      </c>
      <c r="Z253" s="3" t="n">
        <f aca="false">IF(Y253="Risk B",1,0)</f>
        <v>0</v>
      </c>
      <c r="AA253" s="3" t="n">
        <f aca="false">IF(J253&gt;='Settings '!$B$10,1,0)</f>
        <v>1</v>
      </c>
      <c r="AB253" s="3" t="n">
        <f aca="false">IF(M253&gt;='Settings '!$B$11,1,0)</f>
        <v>0</v>
      </c>
      <c r="AC253" s="4" t="n">
        <f aca="false">ABS(M253-MIN(1,I253*J253*K253))</f>
        <v>0</v>
      </c>
    </row>
    <row r="254" customFormat="false" ht="25.5" hidden="false" customHeight="true" outlineLevel="0" collapsed="false">
      <c r="A254" s="3" t="s">
        <v>29</v>
      </c>
      <c r="B254" s="3" t="n">
        <v>64</v>
      </c>
      <c r="C254" s="3" t="s">
        <v>125</v>
      </c>
      <c r="D254" s="3" t="s">
        <v>31</v>
      </c>
      <c r="E254" s="3" t="n">
        <v>1</v>
      </c>
      <c r="F254" s="3" t="s">
        <v>32</v>
      </c>
      <c r="G254" s="3" t="s">
        <v>33</v>
      </c>
      <c r="H254" s="3" t="s">
        <v>34</v>
      </c>
      <c r="I254" s="4" t="n">
        <v>0.72</v>
      </c>
      <c r="J254" s="4" t="n">
        <v>0.1</v>
      </c>
      <c r="K254" s="4" t="n">
        <v>2</v>
      </c>
      <c r="L254" s="4" t="n">
        <f aca="false">I254*J254</f>
        <v>0.072</v>
      </c>
      <c r="M254" s="4" t="n">
        <f aca="false">MIN(1,I254*J254*K254)</f>
        <v>0.144</v>
      </c>
      <c r="N254" s="4" t="n">
        <f aca="false">M254</f>
        <v>0.144</v>
      </c>
      <c r="O254" s="4" t="n">
        <f aca="false">'Settings '!$B$8</f>
        <v>0.1</v>
      </c>
      <c r="P254" s="4" t="n">
        <f aca="false">MIN(1,I254*O254*K254)</f>
        <v>0.144</v>
      </c>
      <c r="Q254" s="4" t="n">
        <f aca="false">P254</f>
        <v>0.144</v>
      </c>
      <c r="R254" s="4" t="n">
        <f aca="false">'Settings '!$B$9</f>
        <v>0.9</v>
      </c>
      <c r="S254" s="4" t="n">
        <f aca="false">MIN(1,I254*R254*K254)</f>
        <v>1</v>
      </c>
      <c r="T254" s="4" t="n">
        <f aca="false">S254</f>
        <v>1</v>
      </c>
      <c r="U254" s="4" t="str">
        <f aca="false">IF(E254=4,N254,"")</f>
        <v/>
      </c>
      <c r="V254" s="4" t="str">
        <f aca="false">IF(E254=4,Q254,"")</f>
        <v/>
      </c>
      <c r="W254" s="4" t="str">
        <f aca="false">IF(E254=4,T254,"")</f>
        <v/>
      </c>
      <c r="X254" s="4" t="str">
        <f aca="false">IF(E254=4,IFERROR((LN(U254)-LN(V254))/(LN(W254)-LN(V254)),0),"")</f>
        <v/>
      </c>
      <c r="Y254" s="3" t="str">
        <f aca="false">IF(E254=4,IF(X254&gt;='Settings '!$B$7,"Risk A",IF(X254&gt;='Settings '!$B$6,"Risk B","Risk C")),"")</f>
        <v/>
      </c>
      <c r="Z254" s="3" t="n">
        <f aca="false">IF(Y254="Risk B",1,0)</f>
        <v>0</v>
      </c>
      <c r="AA254" s="3" t="n">
        <f aca="false">IF(J254&gt;='Settings '!$B$10,1,0)</f>
        <v>0</v>
      </c>
      <c r="AB254" s="3" t="n">
        <f aca="false">IF(M254&gt;='Settings '!$B$11,1,0)</f>
        <v>0</v>
      </c>
      <c r="AC254" s="4" t="n">
        <f aca="false">ABS(M254-MIN(1,I254*J254*K254))</f>
        <v>0</v>
      </c>
    </row>
    <row r="255" customFormat="false" ht="14.25" hidden="false" customHeight="true" outlineLevel="0" collapsed="false">
      <c r="A255" s="3" t="s">
        <v>29</v>
      </c>
      <c r="B255" s="3" t="n">
        <v>64</v>
      </c>
      <c r="C255" s="3" t="s">
        <v>125</v>
      </c>
      <c r="D255" s="3" t="s">
        <v>35</v>
      </c>
      <c r="E255" s="3" t="n">
        <v>2</v>
      </c>
      <c r="F255" s="3" t="s">
        <v>109</v>
      </c>
      <c r="G255" s="3" t="s">
        <v>110</v>
      </c>
      <c r="H255" s="3" t="s">
        <v>38</v>
      </c>
      <c r="I255" s="4" t="n">
        <v>0.18</v>
      </c>
      <c r="J255" s="4" t="n">
        <v>0.28</v>
      </c>
      <c r="K255" s="4" t="n">
        <v>1.5</v>
      </c>
      <c r="L255" s="4" t="n">
        <f aca="false">I255*J255</f>
        <v>0.0504</v>
      </c>
      <c r="M255" s="4" t="n">
        <f aca="false">MIN(1,I255*J255*K255)</f>
        <v>0.0756</v>
      </c>
      <c r="N255" s="4" t="n">
        <f aca="false">N254*M255</f>
        <v>0.0108864</v>
      </c>
      <c r="O255" s="4" t="n">
        <f aca="false">'Settings '!$B$8</f>
        <v>0.1</v>
      </c>
      <c r="P255" s="4" t="n">
        <f aca="false">MIN(1,I255*O255*K255)</f>
        <v>0.027</v>
      </c>
      <c r="Q255" s="4" t="n">
        <f aca="false">Q254*P255</f>
        <v>0.003888</v>
      </c>
      <c r="R255" s="4" t="n">
        <f aca="false">'Settings '!$B$9</f>
        <v>0.9</v>
      </c>
      <c r="S255" s="4" t="n">
        <f aca="false">MIN(1,I255*R255*K255)</f>
        <v>0.243</v>
      </c>
      <c r="T255" s="4" t="n">
        <f aca="false">T254*S255</f>
        <v>0.243</v>
      </c>
      <c r="U255" s="4" t="str">
        <f aca="false">IF(E255=4,N255,"")</f>
        <v/>
      </c>
      <c r="V255" s="4" t="str">
        <f aca="false">IF(E255=4,Q255,"")</f>
        <v/>
      </c>
      <c r="W255" s="4" t="str">
        <f aca="false">IF(E255=4,T255,"")</f>
        <v/>
      </c>
      <c r="X255" s="4" t="str">
        <f aca="false">IF(E255=4,IFERROR((LN(U255)-LN(V255))/(LN(W255)-LN(V255)),0),"")</f>
        <v/>
      </c>
      <c r="Y255" s="3" t="str">
        <f aca="false">IF(E255=4,IF(X255&gt;='Settings '!$B$7,"Risk A",IF(X255&gt;='Settings '!$B$6,"Risk B","Risk C")),"")</f>
        <v/>
      </c>
      <c r="Z255" s="3" t="n">
        <f aca="false">IF(Y255="Risk B",1,0)</f>
        <v>0</v>
      </c>
      <c r="AA255" s="3" t="n">
        <f aca="false">IF(J255&gt;='Settings '!$B$10,1,0)</f>
        <v>1</v>
      </c>
      <c r="AB255" s="3" t="n">
        <f aca="false">IF(M255&gt;='Settings '!$B$11,1,0)</f>
        <v>0</v>
      </c>
      <c r="AC255" s="4" t="n">
        <f aca="false">ABS(M255-MIN(1,I255*J255*K255))</f>
        <v>0</v>
      </c>
    </row>
    <row r="256" customFormat="false" ht="14.25" hidden="false" customHeight="true" outlineLevel="0" collapsed="false">
      <c r="A256" s="3" t="s">
        <v>29</v>
      </c>
      <c r="B256" s="3" t="n">
        <v>64</v>
      </c>
      <c r="C256" s="3" t="s">
        <v>125</v>
      </c>
      <c r="D256" s="3" t="s">
        <v>39</v>
      </c>
      <c r="E256" s="3" t="n">
        <v>3</v>
      </c>
      <c r="F256" s="3" t="s">
        <v>69</v>
      </c>
      <c r="G256" s="3" t="s">
        <v>70</v>
      </c>
      <c r="H256" s="3" t="s">
        <v>42</v>
      </c>
      <c r="I256" s="4" t="n">
        <v>0.36</v>
      </c>
      <c r="J256" s="4" t="n">
        <v>0.1</v>
      </c>
      <c r="K256" s="4" t="n">
        <v>2</v>
      </c>
      <c r="L256" s="4" t="n">
        <f aca="false">I256*J256</f>
        <v>0.036</v>
      </c>
      <c r="M256" s="4" t="n">
        <f aca="false">MIN(1,I256*J256*K256)</f>
        <v>0.072</v>
      </c>
      <c r="N256" s="4" t="n">
        <f aca="false">N255*M256</f>
        <v>0.0007838208</v>
      </c>
      <c r="O256" s="4" t="n">
        <f aca="false">'Settings '!$B$8</f>
        <v>0.1</v>
      </c>
      <c r="P256" s="4" t="n">
        <f aca="false">MIN(1,I256*O256*K256)</f>
        <v>0.072</v>
      </c>
      <c r="Q256" s="4" t="n">
        <f aca="false">Q255*P256</f>
        <v>0.000279936</v>
      </c>
      <c r="R256" s="4" t="n">
        <f aca="false">'Settings '!$B$9</f>
        <v>0.9</v>
      </c>
      <c r="S256" s="4" t="n">
        <f aca="false">MIN(1,I256*R256*K256)</f>
        <v>0.648</v>
      </c>
      <c r="T256" s="4" t="n">
        <f aca="false">T255*S256</f>
        <v>0.157464</v>
      </c>
      <c r="U256" s="4" t="str">
        <f aca="false">IF(E256=4,N256,"")</f>
        <v/>
      </c>
      <c r="V256" s="4" t="str">
        <f aca="false">IF(E256=4,Q256,"")</f>
        <v/>
      </c>
      <c r="W256" s="4" t="str">
        <f aca="false">IF(E256=4,T256,"")</f>
        <v/>
      </c>
      <c r="X256" s="4" t="str">
        <f aca="false">IF(E256=4,IFERROR((LN(U256)-LN(V256))/(LN(W256)-LN(V256)),0),"")</f>
        <v/>
      </c>
      <c r="Y256" s="3" t="str">
        <f aca="false">IF(E256=4,IF(X256&gt;='Settings '!$B$7,"Risk A",IF(X256&gt;='Settings '!$B$6,"Risk B","Risk C")),"")</f>
        <v/>
      </c>
      <c r="Z256" s="3" t="n">
        <f aca="false">IF(Y256="Risk B",1,0)</f>
        <v>0</v>
      </c>
      <c r="AA256" s="3" t="n">
        <f aca="false">IF(J256&gt;='Settings '!$B$10,1,0)</f>
        <v>0</v>
      </c>
      <c r="AB256" s="3" t="n">
        <f aca="false">IF(M256&gt;='Settings '!$B$11,1,0)</f>
        <v>0</v>
      </c>
      <c r="AC256" s="4" t="n">
        <f aca="false">ABS(M256-MIN(1,I256*J256*K256))</f>
        <v>0</v>
      </c>
    </row>
    <row r="257" customFormat="false" ht="14.25" hidden="false" customHeight="true" outlineLevel="0" collapsed="false">
      <c r="A257" s="3" t="s">
        <v>29</v>
      </c>
      <c r="B257" s="3" t="n">
        <v>64</v>
      </c>
      <c r="C257" s="3" t="s">
        <v>125</v>
      </c>
      <c r="D257" s="3" t="s">
        <v>43</v>
      </c>
      <c r="E257" s="3" t="n">
        <v>4</v>
      </c>
      <c r="F257" s="3" t="s">
        <v>54</v>
      </c>
      <c r="G257" s="3" t="s">
        <v>55</v>
      </c>
      <c r="H257" s="3" t="s">
        <v>46</v>
      </c>
      <c r="I257" s="4" t="n">
        <v>0.18</v>
      </c>
      <c r="J257" s="4" t="n">
        <v>0.28</v>
      </c>
      <c r="K257" s="4" t="n">
        <v>2</v>
      </c>
      <c r="L257" s="4" t="n">
        <f aca="false">I257*J257</f>
        <v>0.0504</v>
      </c>
      <c r="M257" s="4" t="n">
        <f aca="false">MIN(1,I257*J257*K257)</f>
        <v>0.1008</v>
      </c>
      <c r="N257" s="4" t="n">
        <f aca="false">N256*M257</f>
        <v>7.900913664E-005</v>
      </c>
      <c r="O257" s="4" t="n">
        <f aca="false">'Settings '!$B$8</f>
        <v>0.1</v>
      </c>
      <c r="P257" s="4" t="n">
        <f aca="false">MIN(1,I257*O257*K257)</f>
        <v>0.036</v>
      </c>
      <c r="Q257" s="4" t="n">
        <f aca="false">Q256*P257</f>
        <v>1.0077696E-005</v>
      </c>
      <c r="R257" s="4" t="n">
        <f aca="false">'Settings '!$B$9</f>
        <v>0.9</v>
      </c>
      <c r="S257" s="4" t="n">
        <f aca="false">MIN(1,I257*R257*K257)</f>
        <v>0.324</v>
      </c>
      <c r="T257" s="4" t="n">
        <f aca="false">T256*S257</f>
        <v>0.051018336</v>
      </c>
      <c r="U257" s="4" t="n">
        <f aca="false">IF(E257=4,N257,"")</f>
        <v>7.900913664E-005</v>
      </c>
      <c r="V257" s="4" t="n">
        <f aca="false">IF(E257=4,Q257,"")</f>
        <v>1.0077696E-005</v>
      </c>
      <c r="W257" s="4" t="n">
        <f aca="false">IF(E257=4,T257,"")</f>
        <v>0.051018336</v>
      </c>
      <c r="X257" s="4" t="n">
        <f aca="false">IF(E257=4,IFERROR((LN(U257)-LN(V257))/(LN(W257)-LN(V257)),0),"")</f>
        <v>0.241422228624735</v>
      </c>
      <c r="Y257" s="3" t="str">
        <f aca="false">IF(E257=4,IF(X257&gt;='Settings '!$B$7,"Risk A",IF(X257&gt;='Settings '!$B$6,"Risk B","Risk C")),"")</f>
        <v>Risk C</v>
      </c>
      <c r="Z257" s="3" t="n">
        <f aca="false">IF(Y257="Risk B",1,0)</f>
        <v>0</v>
      </c>
      <c r="AA257" s="3" t="n">
        <f aca="false">IF(J257&gt;='Settings '!$B$10,1,0)</f>
        <v>1</v>
      </c>
      <c r="AB257" s="3" t="n">
        <f aca="false">IF(M257&gt;='Settings '!$B$11,1,0)</f>
        <v>0</v>
      </c>
      <c r="AC257" s="4" t="n">
        <f aca="false">ABS(M257-MIN(1,I257*J257*K257))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2.7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2" min="11" style="1" width="90"/>
    <col collapsed="false" customWidth="true" hidden="false" outlineLevel="0" max="14" min="13" style="1" width="14"/>
    <col collapsed="false" customWidth="true" hidden="false" outlineLevel="0" max="15" min="15" style="1" width="10"/>
    <col collapsed="false" customWidth="true" hidden="false" outlineLevel="0" max="17" min="16" style="1" width="13"/>
    <col collapsed="false" customWidth="true" hidden="false" outlineLevel="0" max="18" min="18" style="1" width="10"/>
    <col collapsed="false" customWidth="true" hidden="false" outlineLevel="0" max="23" min="19" style="1" width="14"/>
    <col collapsed="false" customWidth="true" hidden="false" outlineLevel="0" max="27" min="24" style="1" width="12"/>
    <col collapsed="false" customWidth="true" hidden="false" outlineLevel="0" max="29" min="28" style="1" width="14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126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127</v>
      </c>
      <c r="L1" s="2" t="s">
        <v>128</v>
      </c>
    </row>
    <row r="2" customFormat="false" ht="25.5" hidden="false" customHeight="true" outlineLevel="0" collapsed="false">
      <c r="A2" s="3" t="s">
        <v>29</v>
      </c>
      <c r="B2" s="3" t="n">
        <v>1</v>
      </c>
      <c r="C2" s="3" t="s">
        <v>30</v>
      </c>
      <c r="D2" s="3" t="n">
        <v>5</v>
      </c>
      <c r="E2" s="4" t="n">
        <f aca="false">LONG!U5</f>
        <v>0.00010077696</v>
      </c>
      <c r="F2" s="4" t="n">
        <f aca="false">LONG!V5</f>
        <v>0.00010077696</v>
      </c>
      <c r="G2" s="4" t="n">
        <f aca="false">LONG!W5</f>
        <v>0.314928</v>
      </c>
      <c r="H2" s="4" t="n">
        <f aca="false">LONG!X5</f>
        <v>0</v>
      </c>
      <c r="I2" s="3" t="str">
        <f aca="false">LONG!Y5</f>
        <v>Risk C</v>
      </c>
      <c r="J2" s="3" t="n">
        <f aca="false">LONG!Z5</f>
        <v>0</v>
      </c>
      <c r="K2" s="3" t="s">
        <v>129</v>
      </c>
      <c r="L2" s="3" t="s">
        <v>130</v>
      </c>
    </row>
    <row r="3" customFormat="false" ht="25.5" hidden="false" customHeight="true" outlineLevel="0" collapsed="false">
      <c r="A3" s="3" t="s">
        <v>29</v>
      </c>
      <c r="B3" s="3" t="n">
        <v>2</v>
      </c>
      <c r="C3" s="3" t="s">
        <v>47</v>
      </c>
      <c r="D3" s="3" t="n">
        <v>9</v>
      </c>
      <c r="E3" s="4" t="n">
        <f aca="false">LONG!U9</f>
        <v>0.0002257403904</v>
      </c>
      <c r="F3" s="4" t="n">
        <f aca="false">LONG!V9</f>
        <v>8.0621568E-005</v>
      </c>
      <c r="G3" s="4" t="n">
        <f aca="false">LONG!W9</f>
        <v>0.314928</v>
      </c>
      <c r="H3" s="4" t="n">
        <f aca="false">LONG!X9</f>
        <v>0.124495519473378</v>
      </c>
      <c r="I3" s="3" t="str">
        <f aca="false">LONG!Y9</f>
        <v>Risk C</v>
      </c>
      <c r="J3" s="3" t="n">
        <f aca="false">LONG!Z9</f>
        <v>0</v>
      </c>
      <c r="K3" s="3" t="s">
        <v>131</v>
      </c>
      <c r="L3" s="3" t="s">
        <v>130</v>
      </c>
    </row>
    <row r="4" customFormat="false" ht="25.5" hidden="false" customHeight="true" outlineLevel="0" collapsed="false">
      <c r="A4" s="3" t="s">
        <v>29</v>
      </c>
      <c r="B4" s="3" t="n">
        <v>3</v>
      </c>
      <c r="C4" s="3" t="s">
        <v>50</v>
      </c>
      <c r="D4" s="3" t="n">
        <v>13</v>
      </c>
      <c r="E4" s="4" t="n">
        <f aca="false">LONG!U13</f>
        <v>5.64350976E-005</v>
      </c>
      <c r="F4" s="4" t="n">
        <f aca="false">LONG!V13</f>
        <v>2.0155392E-005</v>
      </c>
      <c r="G4" s="4" t="n">
        <f aca="false">LONG!W13</f>
        <v>0.102036672</v>
      </c>
      <c r="H4" s="4" t="n">
        <f aca="false">LONG!X13</f>
        <v>0.120711114312368</v>
      </c>
      <c r="I4" s="3" t="str">
        <f aca="false">LONG!Y13</f>
        <v>Risk C</v>
      </c>
      <c r="J4" s="3" t="n">
        <f aca="false">LONG!Z13</f>
        <v>0</v>
      </c>
      <c r="K4" s="3" t="s">
        <v>132</v>
      </c>
      <c r="L4" s="3" t="s">
        <v>130</v>
      </c>
    </row>
    <row r="5" customFormat="false" ht="25.5" hidden="false" customHeight="true" outlineLevel="0" collapsed="false">
      <c r="A5" s="3" t="s">
        <v>29</v>
      </c>
      <c r="B5" s="3" t="n">
        <v>4</v>
      </c>
      <c r="C5" s="3" t="s">
        <v>53</v>
      </c>
      <c r="D5" s="3" t="n">
        <v>17</v>
      </c>
      <c r="E5" s="4" t="n">
        <f aca="false">LONG!U17</f>
        <v>5.64350976E-005</v>
      </c>
      <c r="F5" s="4" t="n">
        <f aca="false">LONG!V17</f>
        <v>2.0155392E-005</v>
      </c>
      <c r="G5" s="4" t="n">
        <f aca="false">LONG!W17</f>
        <v>0.102036672</v>
      </c>
      <c r="H5" s="4" t="n">
        <f aca="false">LONG!X17</f>
        <v>0.120711114312368</v>
      </c>
      <c r="I5" s="3" t="str">
        <f aca="false">LONG!Y17</f>
        <v>Risk C</v>
      </c>
      <c r="J5" s="3" t="n">
        <f aca="false">LONG!Z17</f>
        <v>0</v>
      </c>
      <c r="K5" s="3" t="s">
        <v>133</v>
      </c>
      <c r="L5" s="3" t="s">
        <v>130</v>
      </c>
    </row>
    <row r="6" customFormat="false" ht="25.5" hidden="false" customHeight="true" outlineLevel="0" collapsed="false">
      <c r="A6" s="3" t="s">
        <v>29</v>
      </c>
      <c r="B6" s="3" t="n">
        <v>5</v>
      </c>
      <c r="C6" s="3" t="s">
        <v>56</v>
      </c>
      <c r="D6" s="3" t="n">
        <v>21</v>
      </c>
      <c r="E6" s="4" t="n">
        <f aca="false">LONG!U21</f>
        <v>0.00010077696</v>
      </c>
      <c r="F6" s="4" t="n">
        <f aca="false">LONG!V21</f>
        <v>0.00010077696</v>
      </c>
      <c r="G6" s="4" t="n">
        <f aca="false">LONG!W21</f>
        <v>0.314928</v>
      </c>
      <c r="H6" s="4" t="n">
        <f aca="false">LONG!X21</f>
        <v>0</v>
      </c>
      <c r="I6" s="3" t="str">
        <f aca="false">LONG!Y21</f>
        <v>Risk C</v>
      </c>
      <c r="J6" s="3" t="n">
        <f aca="false">LONG!Z21</f>
        <v>0</v>
      </c>
      <c r="K6" s="3" t="s">
        <v>134</v>
      </c>
      <c r="L6" s="3" t="s">
        <v>130</v>
      </c>
    </row>
    <row r="7" customFormat="false" ht="25.5" hidden="false" customHeight="true" outlineLevel="0" collapsed="false">
      <c r="A7" s="3" t="s">
        <v>29</v>
      </c>
      <c r="B7" s="3" t="n">
        <v>6</v>
      </c>
      <c r="C7" s="3" t="s">
        <v>59</v>
      </c>
      <c r="D7" s="3" t="n">
        <v>25</v>
      </c>
      <c r="E7" s="4" t="n">
        <f aca="false">LONG!U25</f>
        <v>0.0002257403904</v>
      </c>
      <c r="F7" s="4" t="n">
        <f aca="false">LONG!V25</f>
        <v>8.0621568E-005</v>
      </c>
      <c r="G7" s="4" t="n">
        <f aca="false">LONG!W25</f>
        <v>0.314928</v>
      </c>
      <c r="H7" s="4" t="n">
        <f aca="false">LONG!X25</f>
        <v>0.124495519473378</v>
      </c>
      <c r="I7" s="3" t="str">
        <f aca="false">LONG!Y25</f>
        <v>Risk C</v>
      </c>
      <c r="J7" s="3" t="n">
        <f aca="false">LONG!Z25</f>
        <v>0</v>
      </c>
      <c r="K7" s="3" t="s">
        <v>135</v>
      </c>
      <c r="L7" s="3" t="s">
        <v>130</v>
      </c>
    </row>
    <row r="8" customFormat="false" ht="25.5" hidden="false" customHeight="true" outlineLevel="0" collapsed="false">
      <c r="A8" s="3" t="s">
        <v>29</v>
      </c>
      <c r="B8" s="3" t="n">
        <v>7</v>
      </c>
      <c r="C8" s="3" t="s">
        <v>60</v>
      </c>
      <c r="D8" s="3" t="n">
        <v>29</v>
      </c>
      <c r="E8" s="4" t="n">
        <f aca="false">LONG!U29</f>
        <v>5.64350976E-005</v>
      </c>
      <c r="F8" s="4" t="n">
        <f aca="false">LONG!V29</f>
        <v>2.0155392E-005</v>
      </c>
      <c r="G8" s="4" t="n">
        <f aca="false">LONG!W29</f>
        <v>0.102036672</v>
      </c>
      <c r="H8" s="4" t="n">
        <f aca="false">LONG!X29</f>
        <v>0.120711114312368</v>
      </c>
      <c r="I8" s="3" t="str">
        <f aca="false">LONG!Y29</f>
        <v>Risk C</v>
      </c>
      <c r="J8" s="3" t="n">
        <f aca="false">LONG!Z29</f>
        <v>0</v>
      </c>
      <c r="K8" s="3" t="s">
        <v>136</v>
      </c>
      <c r="L8" s="3" t="s">
        <v>130</v>
      </c>
    </row>
    <row r="9" customFormat="false" ht="25.5" hidden="false" customHeight="true" outlineLevel="0" collapsed="false">
      <c r="A9" s="3" t="s">
        <v>29</v>
      </c>
      <c r="B9" s="3" t="n">
        <v>8</v>
      </c>
      <c r="C9" s="3" t="s">
        <v>61</v>
      </c>
      <c r="D9" s="3" t="n">
        <v>33</v>
      </c>
      <c r="E9" s="4" t="n">
        <f aca="false">LONG!U33</f>
        <v>5.64350976E-005</v>
      </c>
      <c r="F9" s="4" t="n">
        <f aca="false">LONG!V33</f>
        <v>2.0155392E-005</v>
      </c>
      <c r="G9" s="4" t="n">
        <f aca="false">LONG!W33</f>
        <v>0.102036672</v>
      </c>
      <c r="H9" s="4" t="n">
        <f aca="false">LONG!X33</f>
        <v>0.120711114312368</v>
      </c>
      <c r="I9" s="3" t="str">
        <f aca="false">LONG!Y33</f>
        <v>Risk C</v>
      </c>
      <c r="J9" s="3" t="n">
        <f aca="false">LONG!Z33</f>
        <v>0</v>
      </c>
      <c r="K9" s="3" t="s">
        <v>137</v>
      </c>
      <c r="L9" s="3" t="s">
        <v>130</v>
      </c>
    </row>
    <row r="10" customFormat="false" ht="25.5" hidden="false" customHeight="true" outlineLevel="0" collapsed="false">
      <c r="A10" s="3" t="s">
        <v>29</v>
      </c>
      <c r="B10" s="3" t="n">
        <v>9</v>
      </c>
      <c r="C10" s="3" t="s">
        <v>62</v>
      </c>
      <c r="D10" s="3" t="n">
        <v>37</v>
      </c>
      <c r="E10" s="4" t="n">
        <f aca="false">LONG!U37</f>
        <v>0.00010077696</v>
      </c>
      <c r="F10" s="4" t="n">
        <f aca="false">LONG!V37</f>
        <v>0.00010077696</v>
      </c>
      <c r="G10" s="4" t="n">
        <f aca="false">LONG!W37</f>
        <v>0.314928</v>
      </c>
      <c r="H10" s="4" t="n">
        <f aca="false">LONG!X37</f>
        <v>0</v>
      </c>
      <c r="I10" s="3" t="str">
        <f aca="false">LONG!Y37</f>
        <v>Risk C</v>
      </c>
      <c r="J10" s="3" t="n">
        <f aca="false">LONG!Z37</f>
        <v>0</v>
      </c>
      <c r="K10" s="3" t="s">
        <v>138</v>
      </c>
      <c r="L10" s="3" t="s">
        <v>130</v>
      </c>
    </row>
    <row r="11" customFormat="false" ht="25.5" hidden="false" customHeight="true" outlineLevel="0" collapsed="false">
      <c r="A11" s="3" t="s">
        <v>29</v>
      </c>
      <c r="B11" s="3" t="n">
        <v>10</v>
      </c>
      <c r="C11" s="3" t="s">
        <v>65</v>
      </c>
      <c r="D11" s="3" t="n">
        <v>41</v>
      </c>
      <c r="E11" s="4" t="n">
        <f aca="false">LONG!U41</f>
        <v>0.0002257403904</v>
      </c>
      <c r="F11" s="4" t="n">
        <f aca="false">LONG!V41</f>
        <v>8.0621568E-005</v>
      </c>
      <c r="G11" s="4" t="n">
        <f aca="false">LONG!W41</f>
        <v>0.314928</v>
      </c>
      <c r="H11" s="4" t="n">
        <f aca="false">LONG!X41</f>
        <v>0.124495519473378</v>
      </c>
      <c r="I11" s="3" t="str">
        <f aca="false">LONG!Y41</f>
        <v>Risk C</v>
      </c>
      <c r="J11" s="3" t="n">
        <f aca="false">LONG!Z41</f>
        <v>0</v>
      </c>
      <c r="K11" s="3" t="s">
        <v>139</v>
      </c>
      <c r="L11" s="3" t="s">
        <v>130</v>
      </c>
    </row>
    <row r="12" customFormat="false" ht="25.5" hidden="false" customHeight="true" outlineLevel="0" collapsed="false">
      <c r="A12" s="3" t="s">
        <v>29</v>
      </c>
      <c r="B12" s="3" t="n">
        <v>11</v>
      </c>
      <c r="C12" s="3" t="s">
        <v>66</v>
      </c>
      <c r="D12" s="3" t="n">
        <v>45</v>
      </c>
      <c r="E12" s="4" t="n">
        <f aca="false">LONG!U45</f>
        <v>5.64350976E-005</v>
      </c>
      <c r="F12" s="4" t="n">
        <f aca="false">LONG!V45</f>
        <v>2.0155392E-005</v>
      </c>
      <c r="G12" s="4" t="n">
        <f aca="false">LONG!W45</f>
        <v>0.102036672</v>
      </c>
      <c r="H12" s="4" t="n">
        <f aca="false">LONG!X45</f>
        <v>0.120711114312368</v>
      </c>
      <c r="I12" s="3" t="str">
        <f aca="false">LONG!Y45</f>
        <v>Risk C</v>
      </c>
      <c r="J12" s="3" t="n">
        <f aca="false">LONG!Z45</f>
        <v>0</v>
      </c>
      <c r="K12" s="3" t="s">
        <v>140</v>
      </c>
      <c r="L12" s="3" t="s">
        <v>130</v>
      </c>
    </row>
    <row r="13" customFormat="false" ht="25.5" hidden="false" customHeight="true" outlineLevel="0" collapsed="false">
      <c r="A13" s="3" t="s">
        <v>29</v>
      </c>
      <c r="B13" s="3" t="n">
        <v>12</v>
      </c>
      <c r="C13" s="3" t="s">
        <v>67</v>
      </c>
      <c r="D13" s="3" t="n">
        <v>49</v>
      </c>
      <c r="E13" s="4" t="n">
        <f aca="false">LONG!U49</f>
        <v>5.64350976E-005</v>
      </c>
      <c r="F13" s="4" t="n">
        <f aca="false">LONG!V49</f>
        <v>2.0155392E-005</v>
      </c>
      <c r="G13" s="4" t="n">
        <f aca="false">LONG!W49</f>
        <v>0.102036672</v>
      </c>
      <c r="H13" s="4" t="n">
        <f aca="false">LONG!X49</f>
        <v>0.120711114312368</v>
      </c>
      <c r="I13" s="3" t="str">
        <f aca="false">LONG!Y49</f>
        <v>Risk C</v>
      </c>
      <c r="J13" s="3" t="n">
        <f aca="false">LONG!Z49</f>
        <v>0</v>
      </c>
      <c r="K13" s="3" t="s">
        <v>141</v>
      </c>
      <c r="L13" s="3" t="s">
        <v>130</v>
      </c>
    </row>
    <row r="14" customFormat="false" ht="25.5" hidden="false" customHeight="true" outlineLevel="0" collapsed="false">
      <c r="A14" s="3" t="s">
        <v>29</v>
      </c>
      <c r="B14" s="3" t="n">
        <v>13</v>
      </c>
      <c r="C14" s="3" t="s">
        <v>68</v>
      </c>
      <c r="D14" s="3" t="n">
        <v>53</v>
      </c>
      <c r="E14" s="4" t="n">
        <f aca="false">LONG!U53</f>
        <v>0.00010077696</v>
      </c>
      <c r="F14" s="4" t="n">
        <f aca="false">LONG!V53</f>
        <v>0.00010077696</v>
      </c>
      <c r="G14" s="4" t="n">
        <f aca="false">LONG!W53</f>
        <v>0.314928</v>
      </c>
      <c r="H14" s="4" t="n">
        <f aca="false">LONG!X53</f>
        <v>0</v>
      </c>
      <c r="I14" s="3" t="str">
        <f aca="false">LONG!Y53</f>
        <v>Risk C</v>
      </c>
      <c r="J14" s="3" t="n">
        <f aca="false">LONG!Z53</f>
        <v>0</v>
      </c>
      <c r="K14" s="3" t="s">
        <v>142</v>
      </c>
      <c r="L14" s="3" t="s">
        <v>130</v>
      </c>
    </row>
    <row r="15" customFormat="false" ht="25.5" hidden="false" customHeight="true" outlineLevel="0" collapsed="false">
      <c r="A15" s="3" t="s">
        <v>29</v>
      </c>
      <c r="B15" s="3" t="n">
        <v>14</v>
      </c>
      <c r="C15" s="3" t="s">
        <v>71</v>
      </c>
      <c r="D15" s="3" t="n">
        <v>57</v>
      </c>
      <c r="E15" s="4" t="n">
        <f aca="false">LONG!U57</f>
        <v>0.0002257403904</v>
      </c>
      <c r="F15" s="4" t="n">
        <f aca="false">LONG!V57</f>
        <v>8.0621568E-005</v>
      </c>
      <c r="G15" s="4" t="n">
        <f aca="false">LONG!W57</f>
        <v>0.314928</v>
      </c>
      <c r="H15" s="4" t="n">
        <f aca="false">LONG!X57</f>
        <v>0.124495519473378</v>
      </c>
      <c r="I15" s="3" t="str">
        <f aca="false">LONG!Y57</f>
        <v>Risk C</v>
      </c>
      <c r="J15" s="3" t="n">
        <f aca="false">LONG!Z57</f>
        <v>0</v>
      </c>
      <c r="K15" s="3" t="s">
        <v>143</v>
      </c>
      <c r="L15" s="3" t="s">
        <v>130</v>
      </c>
    </row>
    <row r="16" customFormat="false" ht="25.5" hidden="false" customHeight="true" outlineLevel="0" collapsed="false">
      <c r="A16" s="3" t="s">
        <v>29</v>
      </c>
      <c r="B16" s="3" t="n">
        <v>15</v>
      </c>
      <c r="C16" s="3" t="s">
        <v>72</v>
      </c>
      <c r="D16" s="3" t="n">
        <v>61</v>
      </c>
      <c r="E16" s="4" t="n">
        <f aca="false">LONG!U61</f>
        <v>5.64350976E-005</v>
      </c>
      <c r="F16" s="4" t="n">
        <f aca="false">LONG!V61</f>
        <v>2.0155392E-005</v>
      </c>
      <c r="G16" s="4" t="n">
        <f aca="false">LONG!W61</f>
        <v>0.102036672</v>
      </c>
      <c r="H16" s="4" t="n">
        <f aca="false">LONG!X61</f>
        <v>0.120711114312368</v>
      </c>
      <c r="I16" s="3" t="str">
        <f aca="false">LONG!Y61</f>
        <v>Risk C</v>
      </c>
      <c r="J16" s="3" t="n">
        <f aca="false">LONG!Z61</f>
        <v>0</v>
      </c>
      <c r="K16" s="3" t="s">
        <v>144</v>
      </c>
      <c r="L16" s="3" t="s">
        <v>130</v>
      </c>
    </row>
    <row r="17" customFormat="false" ht="25.5" hidden="false" customHeight="true" outlineLevel="0" collapsed="false">
      <c r="A17" s="3" t="s">
        <v>29</v>
      </c>
      <c r="B17" s="3" t="n">
        <v>16</v>
      </c>
      <c r="C17" s="3" t="s">
        <v>73</v>
      </c>
      <c r="D17" s="3" t="n">
        <v>65</v>
      </c>
      <c r="E17" s="4" t="n">
        <f aca="false">LONG!U65</f>
        <v>5.64350976E-005</v>
      </c>
      <c r="F17" s="4" t="n">
        <f aca="false">LONG!V65</f>
        <v>2.0155392E-005</v>
      </c>
      <c r="G17" s="4" t="n">
        <f aca="false">LONG!W65</f>
        <v>0.102036672</v>
      </c>
      <c r="H17" s="4" t="n">
        <f aca="false">LONG!X65</f>
        <v>0.120711114312368</v>
      </c>
      <c r="I17" s="3" t="str">
        <f aca="false">LONG!Y65</f>
        <v>Risk C</v>
      </c>
      <c r="J17" s="3" t="n">
        <f aca="false">LONG!Z65</f>
        <v>0</v>
      </c>
      <c r="K17" s="3" t="s">
        <v>145</v>
      </c>
      <c r="L17" s="3" t="s">
        <v>130</v>
      </c>
    </row>
    <row r="18" customFormat="false" ht="25.5" hidden="false" customHeight="true" outlineLevel="0" collapsed="false">
      <c r="A18" s="3" t="s">
        <v>29</v>
      </c>
      <c r="B18" s="3" t="n">
        <v>17</v>
      </c>
      <c r="C18" s="3" t="s">
        <v>74</v>
      </c>
      <c r="D18" s="3" t="n">
        <v>69</v>
      </c>
      <c r="E18" s="4" t="n">
        <f aca="false">LONG!U69</f>
        <v>0.00010077696</v>
      </c>
      <c r="F18" s="4" t="n">
        <f aca="false">LONG!V69</f>
        <v>0.00010077696</v>
      </c>
      <c r="G18" s="4" t="n">
        <f aca="false">LONG!W69</f>
        <v>0.314928</v>
      </c>
      <c r="H18" s="4" t="n">
        <f aca="false">LONG!X69</f>
        <v>0</v>
      </c>
      <c r="I18" s="3" t="str">
        <f aca="false">LONG!Y69</f>
        <v>Risk C</v>
      </c>
      <c r="J18" s="3" t="n">
        <f aca="false">LONG!Z69</f>
        <v>0</v>
      </c>
      <c r="K18" s="3" t="s">
        <v>146</v>
      </c>
      <c r="L18" s="3" t="s">
        <v>130</v>
      </c>
    </row>
    <row r="19" customFormat="false" ht="25.5" hidden="false" customHeight="true" outlineLevel="0" collapsed="false">
      <c r="A19" s="3" t="s">
        <v>29</v>
      </c>
      <c r="B19" s="3" t="n">
        <v>18</v>
      </c>
      <c r="C19" s="3" t="s">
        <v>75</v>
      </c>
      <c r="D19" s="3" t="n">
        <v>73</v>
      </c>
      <c r="E19" s="4" t="n">
        <f aca="false">LONG!U73</f>
        <v>0.0002257403904</v>
      </c>
      <c r="F19" s="4" t="n">
        <f aca="false">LONG!V73</f>
        <v>8.0621568E-005</v>
      </c>
      <c r="G19" s="4" t="n">
        <f aca="false">LONG!W73</f>
        <v>0.314928</v>
      </c>
      <c r="H19" s="4" t="n">
        <f aca="false">LONG!X73</f>
        <v>0.124495519473378</v>
      </c>
      <c r="I19" s="3" t="str">
        <f aca="false">LONG!Y73</f>
        <v>Risk C</v>
      </c>
      <c r="J19" s="3" t="n">
        <f aca="false">LONG!Z73</f>
        <v>0</v>
      </c>
      <c r="K19" s="3" t="s">
        <v>147</v>
      </c>
      <c r="L19" s="3" t="s">
        <v>130</v>
      </c>
    </row>
    <row r="20" customFormat="false" ht="25.5" hidden="false" customHeight="true" outlineLevel="0" collapsed="false">
      <c r="A20" s="3" t="s">
        <v>29</v>
      </c>
      <c r="B20" s="3" t="n">
        <v>19</v>
      </c>
      <c r="C20" s="3" t="s">
        <v>76</v>
      </c>
      <c r="D20" s="3" t="n">
        <v>77</v>
      </c>
      <c r="E20" s="4" t="n">
        <f aca="false">LONG!U77</f>
        <v>5.64350976E-005</v>
      </c>
      <c r="F20" s="4" t="n">
        <f aca="false">LONG!V77</f>
        <v>2.0155392E-005</v>
      </c>
      <c r="G20" s="4" t="n">
        <f aca="false">LONG!W77</f>
        <v>0.102036672</v>
      </c>
      <c r="H20" s="4" t="n">
        <f aca="false">LONG!X77</f>
        <v>0.120711114312368</v>
      </c>
      <c r="I20" s="3" t="str">
        <f aca="false">LONG!Y77</f>
        <v>Risk C</v>
      </c>
      <c r="J20" s="3" t="n">
        <f aca="false">LONG!Z77</f>
        <v>0</v>
      </c>
      <c r="K20" s="3" t="s">
        <v>148</v>
      </c>
      <c r="L20" s="3" t="s">
        <v>130</v>
      </c>
    </row>
    <row r="21" customFormat="false" ht="25.5" hidden="false" customHeight="true" outlineLevel="0" collapsed="false">
      <c r="A21" s="3" t="s">
        <v>29</v>
      </c>
      <c r="B21" s="3" t="n">
        <v>20</v>
      </c>
      <c r="C21" s="3" t="s">
        <v>77</v>
      </c>
      <c r="D21" s="3" t="n">
        <v>81</v>
      </c>
      <c r="E21" s="4" t="n">
        <f aca="false">LONG!U81</f>
        <v>5.64350976E-005</v>
      </c>
      <c r="F21" s="4" t="n">
        <f aca="false">LONG!V81</f>
        <v>2.0155392E-005</v>
      </c>
      <c r="G21" s="4" t="n">
        <f aca="false">LONG!W81</f>
        <v>0.102036672</v>
      </c>
      <c r="H21" s="4" t="n">
        <f aca="false">LONG!X81</f>
        <v>0.120711114312368</v>
      </c>
      <c r="I21" s="3" t="str">
        <f aca="false">LONG!Y81</f>
        <v>Risk C</v>
      </c>
      <c r="J21" s="3" t="n">
        <f aca="false">LONG!Z81</f>
        <v>0</v>
      </c>
      <c r="K21" s="3" t="s">
        <v>149</v>
      </c>
      <c r="L21" s="3" t="s">
        <v>130</v>
      </c>
    </row>
    <row r="22" customFormat="false" ht="25.5" hidden="false" customHeight="true" outlineLevel="0" collapsed="false">
      <c r="A22" s="3" t="s">
        <v>29</v>
      </c>
      <c r="B22" s="3" t="n">
        <v>21</v>
      </c>
      <c r="C22" s="3" t="s">
        <v>78</v>
      </c>
      <c r="D22" s="3" t="n">
        <v>85</v>
      </c>
      <c r="E22" s="4" t="n">
        <f aca="false">LONG!U85</f>
        <v>0.00010077696</v>
      </c>
      <c r="F22" s="4" t="n">
        <f aca="false">LONG!V85</f>
        <v>0.00010077696</v>
      </c>
      <c r="G22" s="4" t="n">
        <f aca="false">LONG!W85</f>
        <v>0.314928</v>
      </c>
      <c r="H22" s="4" t="n">
        <f aca="false">LONG!X85</f>
        <v>0</v>
      </c>
      <c r="I22" s="3" t="str">
        <f aca="false">LONG!Y85</f>
        <v>Risk C</v>
      </c>
      <c r="J22" s="3" t="n">
        <f aca="false">LONG!Z85</f>
        <v>0</v>
      </c>
      <c r="K22" s="3" t="s">
        <v>150</v>
      </c>
      <c r="L22" s="3" t="s">
        <v>130</v>
      </c>
    </row>
    <row r="23" customFormat="false" ht="25.5" hidden="false" customHeight="true" outlineLevel="0" collapsed="false">
      <c r="A23" s="3" t="s">
        <v>29</v>
      </c>
      <c r="B23" s="3" t="n">
        <v>22</v>
      </c>
      <c r="C23" s="3" t="s">
        <v>79</v>
      </c>
      <c r="D23" s="3" t="n">
        <v>89</v>
      </c>
      <c r="E23" s="4" t="n">
        <f aca="false">LONG!U89</f>
        <v>0.0002257403904</v>
      </c>
      <c r="F23" s="4" t="n">
        <f aca="false">LONG!V89</f>
        <v>8.0621568E-005</v>
      </c>
      <c r="G23" s="4" t="n">
        <f aca="false">LONG!W89</f>
        <v>0.314928</v>
      </c>
      <c r="H23" s="4" t="n">
        <f aca="false">LONG!X89</f>
        <v>0.124495519473378</v>
      </c>
      <c r="I23" s="3" t="str">
        <f aca="false">LONG!Y89</f>
        <v>Risk C</v>
      </c>
      <c r="J23" s="3" t="n">
        <f aca="false">LONG!Z89</f>
        <v>0</v>
      </c>
      <c r="K23" s="3" t="s">
        <v>151</v>
      </c>
      <c r="L23" s="3" t="s">
        <v>130</v>
      </c>
    </row>
    <row r="24" customFormat="false" ht="25.5" hidden="false" customHeight="true" outlineLevel="0" collapsed="false">
      <c r="A24" s="3" t="s">
        <v>29</v>
      </c>
      <c r="B24" s="3" t="n">
        <v>23</v>
      </c>
      <c r="C24" s="3" t="s">
        <v>80</v>
      </c>
      <c r="D24" s="3" t="n">
        <v>93</v>
      </c>
      <c r="E24" s="4" t="n">
        <f aca="false">LONG!U93</f>
        <v>5.64350976E-005</v>
      </c>
      <c r="F24" s="4" t="n">
        <f aca="false">LONG!V93</f>
        <v>2.0155392E-005</v>
      </c>
      <c r="G24" s="4" t="n">
        <f aca="false">LONG!W93</f>
        <v>0.102036672</v>
      </c>
      <c r="H24" s="4" t="n">
        <f aca="false">LONG!X93</f>
        <v>0.120711114312368</v>
      </c>
      <c r="I24" s="3" t="str">
        <f aca="false">LONG!Y93</f>
        <v>Risk C</v>
      </c>
      <c r="J24" s="3" t="n">
        <f aca="false">LONG!Z93</f>
        <v>0</v>
      </c>
      <c r="K24" s="3" t="s">
        <v>152</v>
      </c>
      <c r="L24" s="3" t="s">
        <v>130</v>
      </c>
    </row>
    <row r="25" customFormat="false" ht="25.5" hidden="false" customHeight="true" outlineLevel="0" collapsed="false">
      <c r="A25" s="3" t="s">
        <v>29</v>
      </c>
      <c r="B25" s="3" t="n">
        <v>24</v>
      </c>
      <c r="C25" s="3" t="s">
        <v>81</v>
      </c>
      <c r="D25" s="3" t="n">
        <v>97</v>
      </c>
      <c r="E25" s="4" t="n">
        <f aca="false">LONG!U97</f>
        <v>5.64350976E-005</v>
      </c>
      <c r="F25" s="4" t="n">
        <f aca="false">LONG!V97</f>
        <v>2.0155392E-005</v>
      </c>
      <c r="G25" s="4" t="n">
        <f aca="false">LONG!W97</f>
        <v>0.102036672</v>
      </c>
      <c r="H25" s="4" t="n">
        <f aca="false">LONG!X97</f>
        <v>0.120711114312368</v>
      </c>
      <c r="I25" s="3" t="str">
        <f aca="false">LONG!Y97</f>
        <v>Risk C</v>
      </c>
      <c r="J25" s="3" t="n">
        <f aca="false">LONG!Z97</f>
        <v>0</v>
      </c>
      <c r="K25" s="3" t="s">
        <v>153</v>
      </c>
      <c r="L25" s="3" t="s">
        <v>130</v>
      </c>
    </row>
    <row r="26" customFormat="false" ht="25.5" hidden="false" customHeight="true" outlineLevel="0" collapsed="false">
      <c r="A26" s="3" t="s">
        <v>29</v>
      </c>
      <c r="B26" s="3" t="n">
        <v>25</v>
      </c>
      <c r="C26" s="3" t="s">
        <v>82</v>
      </c>
      <c r="D26" s="3" t="n">
        <v>101</v>
      </c>
      <c r="E26" s="4" t="n">
        <f aca="false">LONG!U101</f>
        <v>0.00010077696</v>
      </c>
      <c r="F26" s="4" t="n">
        <f aca="false">LONG!V101</f>
        <v>0.00010077696</v>
      </c>
      <c r="G26" s="4" t="n">
        <f aca="false">LONG!W101</f>
        <v>0.314928</v>
      </c>
      <c r="H26" s="4" t="n">
        <f aca="false">LONG!X101</f>
        <v>0</v>
      </c>
      <c r="I26" s="3" t="str">
        <f aca="false">LONG!Y101</f>
        <v>Risk C</v>
      </c>
      <c r="J26" s="3" t="n">
        <f aca="false">LONG!Z101</f>
        <v>0</v>
      </c>
      <c r="K26" s="3" t="s">
        <v>154</v>
      </c>
      <c r="L26" s="3" t="s">
        <v>130</v>
      </c>
    </row>
    <row r="27" customFormat="false" ht="25.5" hidden="false" customHeight="true" outlineLevel="0" collapsed="false">
      <c r="A27" s="3" t="s">
        <v>29</v>
      </c>
      <c r="B27" s="3" t="n">
        <v>26</v>
      </c>
      <c r="C27" s="3" t="s">
        <v>83</v>
      </c>
      <c r="D27" s="3" t="n">
        <v>105</v>
      </c>
      <c r="E27" s="4" t="n">
        <f aca="false">LONG!U105</f>
        <v>0.0002257403904</v>
      </c>
      <c r="F27" s="4" t="n">
        <f aca="false">LONG!V105</f>
        <v>8.0621568E-005</v>
      </c>
      <c r="G27" s="4" t="n">
        <f aca="false">LONG!W105</f>
        <v>0.314928</v>
      </c>
      <c r="H27" s="4" t="n">
        <f aca="false">LONG!X105</f>
        <v>0.124495519473378</v>
      </c>
      <c r="I27" s="3" t="str">
        <f aca="false">LONG!Y105</f>
        <v>Risk C</v>
      </c>
      <c r="J27" s="3" t="n">
        <f aca="false">LONG!Z105</f>
        <v>0</v>
      </c>
      <c r="K27" s="3" t="s">
        <v>155</v>
      </c>
      <c r="L27" s="3" t="s">
        <v>130</v>
      </c>
    </row>
    <row r="28" customFormat="false" ht="25.5" hidden="false" customHeight="true" outlineLevel="0" collapsed="false">
      <c r="A28" s="3" t="s">
        <v>29</v>
      </c>
      <c r="B28" s="3" t="n">
        <v>27</v>
      </c>
      <c r="C28" s="3" t="s">
        <v>84</v>
      </c>
      <c r="D28" s="3" t="n">
        <v>109</v>
      </c>
      <c r="E28" s="4" t="n">
        <f aca="false">LONG!U109</f>
        <v>5.64350976E-005</v>
      </c>
      <c r="F28" s="4" t="n">
        <f aca="false">LONG!V109</f>
        <v>2.0155392E-005</v>
      </c>
      <c r="G28" s="4" t="n">
        <f aca="false">LONG!W109</f>
        <v>0.102036672</v>
      </c>
      <c r="H28" s="4" t="n">
        <f aca="false">LONG!X109</f>
        <v>0.120711114312368</v>
      </c>
      <c r="I28" s="3" t="str">
        <f aca="false">LONG!Y109</f>
        <v>Risk C</v>
      </c>
      <c r="J28" s="3" t="n">
        <f aca="false">LONG!Z109</f>
        <v>0</v>
      </c>
      <c r="K28" s="3" t="s">
        <v>156</v>
      </c>
      <c r="L28" s="3" t="s">
        <v>130</v>
      </c>
    </row>
    <row r="29" customFormat="false" ht="25.5" hidden="false" customHeight="true" outlineLevel="0" collapsed="false">
      <c r="A29" s="3" t="s">
        <v>29</v>
      </c>
      <c r="B29" s="3" t="n">
        <v>28</v>
      </c>
      <c r="C29" s="3" t="s">
        <v>85</v>
      </c>
      <c r="D29" s="3" t="n">
        <v>113</v>
      </c>
      <c r="E29" s="4" t="n">
        <f aca="false">LONG!U113</f>
        <v>5.64350976E-005</v>
      </c>
      <c r="F29" s="4" t="n">
        <f aca="false">LONG!V113</f>
        <v>2.0155392E-005</v>
      </c>
      <c r="G29" s="4" t="n">
        <f aca="false">LONG!W113</f>
        <v>0.102036672</v>
      </c>
      <c r="H29" s="4" t="n">
        <f aca="false">LONG!X113</f>
        <v>0.120711114312368</v>
      </c>
      <c r="I29" s="3" t="str">
        <f aca="false">LONG!Y113</f>
        <v>Risk C</v>
      </c>
      <c r="J29" s="3" t="n">
        <f aca="false">LONG!Z113</f>
        <v>0</v>
      </c>
      <c r="K29" s="3" t="s">
        <v>157</v>
      </c>
      <c r="L29" s="3" t="s">
        <v>130</v>
      </c>
    </row>
    <row r="30" customFormat="false" ht="25.5" hidden="false" customHeight="true" outlineLevel="0" collapsed="false">
      <c r="A30" s="3" t="s">
        <v>29</v>
      </c>
      <c r="B30" s="3" t="n">
        <v>29</v>
      </c>
      <c r="C30" s="3" t="s">
        <v>86</v>
      </c>
      <c r="D30" s="3" t="n">
        <v>117</v>
      </c>
      <c r="E30" s="4" t="n">
        <f aca="false">LONG!U117</f>
        <v>0.00010077696</v>
      </c>
      <c r="F30" s="4" t="n">
        <f aca="false">LONG!V117</f>
        <v>0.00010077696</v>
      </c>
      <c r="G30" s="4" t="n">
        <f aca="false">LONG!W117</f>
        <v>0.314928</v>
      </c>
      <c r="H30" s="4" t="n">
        <f aca="false">LONG!X117</f>
        <v>0</v>
      </c>
      <c r="I30" s="3" t="str">
        <f aca="false">LONG!Y117</f>
        <v>Risk C</v>
      </c>
      <c r="J30" s="3" t="n">
        <f aca="false">LONG!Z117</f>
        <v>0</v>
      </c>
      <c r="K30" s="3" t="s">
        <v>158</v>
      </c>
      <c r="L30" s="3" t="s">
        <v>130</v>
      </c>
    </row>
    <row r="31" customFormat="false" ht="25.5" hidden="false" customHeight="true" outlineLevel="0" collapsed="false">
      <c r="A31" s="3" t="s">
        <v>29</v>
      </c>
      <c r="B31" s="3" t="n">
        <v>30</v>
      </c>
      <c r="C31" s="3" t="s">
        <v>87</v>
      </c>
      <c r="D31" s="3" t="n">
        <v>121</v>
      </c>
      <c r="E31" s="4" t="n">
        <f aca="false">LONG!U121</f>
        <v>0.0002257403904</v>
      </c>
      <c r="F31" s="4" t="n">
        <f aca="false">LONG!V121</f>
        <v>8.0621568E-005</v>
      </c>
      <c r="G31" s="4" t="n">
        <f aca="false">LONG!W121</f>
        <v>0.314928</v>
      </c>
      <c r="H31" s="4" t="n">
        <f aca="false">LONG!X121</f>
        <v>0.124495519473378</v>
      </c>
      <c r="I31" s="3" t="str">
        <f aca="false">LONG!Y121</f>
        <v>Risk C</v>
      </c>
      <c r="J31" s="3" t="n">
        <f aca="false">LONG!Z121</f>
        <v>0</v>
      </c>
      <c r="K31" s="3" t="s">
        <v>159</v>
      </c>
      <c r="L31" s="3" t="s">
        <v>130</v>
      </c>
    </row>
    <row r="32" customFormat="false" ht="25.5" hidden="false" customHeight="true" outlineLevel="0" collapsed="false">
      <c r="A32" s="3" t="s">
        <v>29</v>
      </c>
      <c r="B32" s="3" t="n">
        <v>31</v>
      </c>
      <c r="C32" s="3" t="s">
        <v>88</v>
      </c>
      <c r="D32" s="3" t="n">
        <v>125</v>
      </c>
      <c r="E32" s="4" t="n">
        <f aca="false">LONG!U125</f>
        <v>5.64350976E-005</v>
      </c>
      <c r="F32" s="4" t="n">
        <f aca="false">LONG!V125</f>
        <v>2.0155392E-005</v>
      </c>
      <c r="G32" s="4" t="n">
        <f aca="false">LONG!W125</f>
        <v>0.102036672</v>
      </c>
      <c r="H32" s="4" t="n">
        <f aca="false">LONG!X125</f>
        <v>0.120711114312368</v>
      </c>
      <c r="I32" s="3" t="str">
        <f aca="false">LONG!Y125</f>
        <v>Risk C</v>
      </c>
      <c r="J32" s="3" t="n">
        <f aca="false">LONG!Z125</f>
        <v>0</v>
      </c>
      <c r="K32" s="3" t="s">
        <v>160</v>
      </c>
      <c r="L32" s="3" t="s">
        <v>130</v>
      </c>
    </row>
    <row r="33" customFormat="false" ht="25.5" hidden="false" customHeight="true" outlineLevel="0" collapsed="false">
      <c r="A33" s="3" t="s">
        <v>29</v>
      </c>
      <c r="B33" s="3" t="n">
        <v>32</v>
      </c>
      <c r="C33" s="3" t="s">
        <v>89</v>
      </c>
      <c r="D33" s="3" t="n">
        <v>129</v>
      </c>
      <c r="E33" s="4" t="n">
        <f aca="false">LONG!U129</f>
        <v>5.64350976E-005</v>
      </c>
      <c r="F33" s="4" t="n">
        <f aca="false">LONG!V129</f>
        <v>2.0155392E-005</v>
      </c>
      <c r="G33" s="4" t="n">
        <f aca="false">LONG!W129</f>
        <v>0.102036672</v>
      </c>
      <c r="H33" s="4" t="n">
        <f aca="false">LONG!X129</f>
        <v>0.120711114312368</v>
      </c>
      <c r="I33" s="3" t="str">
        <f aca="false">LONG!Y129</f>
        <v>Risk C</v>
      </c>
      <c r="J33" s="3" t="n">
        <f aca="false">LONG!Z129</f>
        <v>0</v>
      </c>
      <c r="K33" s="3" t="s">
        <v>161</v>
      </c>
      <c r="L33" s="3" t="s">
        <v>130</v>
      </c>
    </row>
    <row r="34" customFormat="false" ht="25.5" hidden="false" customHeight="true" outlineLevel="0" collapsed="false">
      <c r="A34" s="3" t="s">
        <v>29</v>
      </c>
      <c r="B34" s="3" t="n">
        <v>33</v>
      </c>
      <c r="C34" s="3" t="s">
        <v>90</v>
      </c>
      <c r="D34" s="3" t="n">
        <v>133</v>
      </c>
      <c r="E34" s="4" t="n">
        <f aca="false">LONG!U133</f>
        <v>0.000463574016</v>
      </c>
      <c r="F34" s="4" t="n">
        <f aca="false">LONG!V133</f>
        <v>0.00010077696</v>
      </c>
      <c r="G34" s="4" t="n">
        <f aca="false">LONG!W133</f>
        <v>0.314928</v>
      </c>
      <c r="H34" s="4" t="n">
        <f aca="false">LONG!X133</f>
        <v>0.189638418693276</v>
      </c>
      <c r="I34" s="3" t="str">
        <f aca="false">LONG!Y133</f>
        <v>Risk C</v>
      </c>
      <c r="J34" s="3" t="n">
        <f aca="false">LONG!Z133</f>
        <v>0</v>
      </c>
      <c r="K34" s="3" t="s">
        <v>162</v>
      </c>
      <c r="L34" s="3" t="s">
        <v>130</v>
      </c>
    </row>
    <row r="35" customFormat="false" ht="25.5" hidden="false" customHeight="true" outlineLevel="0" collapsed="false">
      <c r="A35" s="3" t="s">
        <v>29</v>
      </c>
      <c r="B35" s="3" t="n">
        <v>34</v>
      </c>
      <c r="C35" s="3" t="s">
        <v>93</v>
      </c>
      <c r="D35" s="3" t="n">
        <v>137</v>
      </c>
      <c r="E35" s="4" t="n">
        <f aca="false">LONG!U137</f>
        <v>0.00103840579584</v>
      </c>
      <c r="F35" s="4" t="n">
        <f aca="false">LONG!V137</f>
        <v>8.0621568E-005</v>
      </c>
      <c r="G35" s="4" t="n">
        <f aca="false">LONG!W137</f>
        <v>0.314928</v>
      </c>
      <c r="H35" s="4" t="n">
        <f aca="false">LONG!X137</f>
        <v>0.309017265158183</v>
      </c>
      <c r="I35" s="3" t="str">
        <f aca="false">LONG!Y137</f>
        <v>Risk C</v>
      </c>
      <c r="J35" s="3" t="n">
        <f aca="false">LONG!Z137</f>
        <v>0</v>
      </c>
      <c r="K35" s="3" t="s">
        <v>163</v>
      </c>
      <c r="L35" s="3" t="s">
        <v>130</v>
      </c>
    </row>
    <row r="36" customFormat="false" ht="25.5" hidden="false" customHeight="true" outlineLevel="0" collapsed="false">
      <c r="A36" s="3" t="s">
        <v>29</v>
      </c>
      <c r="B36" s="3" t="n">
        <v>35</v>
      </c>
      <c r="C36" s="3" t="s">
        <v>94</v>
      </c>
      <c r="D36" s="3" t="n">
        <v>141</v>
      </c>
      <c r="E36" s="4" t="n">
        <f aca="false">LONG!U141</f>
        <v>0.00025960144896</v>
      </c>
      <c r="F36" s="4" t="n">
        <f aca="false">LONG!V141</f>
        <v>2.0155392E-005</v>
      </c>
      <c r="G36" s="4" t="n">
        <f aca="false">LONG!W141</f>
        <v>0.102036672</v>
      </c>
      <c r="H36" s="4" t="n">
        <f aca="false">LONG!X141</f>
        <v>0.29962378225974</v>
      </c>
      <c r="I36" s="3" t="str">
        <f aca="false">LONG!Y141</f>
        <v>Risk C</v>
      </c>
      <c r="J36" s="3" t="n">
        <f aca="false">LONG!Z141</f>
        <v>0</v>
      </c>
      <c r="K36" s="3" t="s">
        <v>164</v>
      </c>
      <c r="L36" s="3" t="s">
        <v>130</v>
      </c>
    </row>
    <row r="37" customFormat="false" ht="25.5" hidden="false" customHeight="true" outlineLevel="0" collapsed="false">
      <c r="A37" s="3" t="s">
        <v>29</v>
      </c>
      <c r="B37" s="3" t="n">
        <v>36</v>
      </c>
      <c r="C37" s="3" t="s">
        <v>95</v>
      </c>
      <c r="D37" s="3" t="n">
        <v>145</v>
      </c>
      <c r="E37" s="4" t="n">
        <f aca="false">LONG!U145</f>
        <v>0.00025960144896</v>
      </c>
      <c r="F37" s="4" t="n">
        <f aca="false">LONG!V145</f>
        <v>2.0155392E-005</v>
      </c>
      <c r="G37" s="4" t="n">
        <f aca="false">LONG!W145</f>
        <v>0.102036672</v>
      </c>
      <c r="H37" s="4" t="n">
        <f aca="false">LONG!X145</f>
        <v>0.29962378225974</v>
      </c>
      <c r="I37" s="3" t="str">
        <f aca="false">LONG!Y145</f>
        <v>Risk C</v>
      </c>
      <c r="J37" s="3" t="n">
        <f aca="false">LONG!Z145</f>
        <v>0</v>
      </c>
      <c r="K37" s="3" t="s">
        <v>165</v>
      </c>
      <c r="L37" s="3" t="s">
        <v>130</v>
      </c>
    </row>
    <row r="38" customFormat="false" ht="25.5" hidden="false" customHeight="true" outlineLevel="0" collapsed="false">
      <c r="A38" s="3" t="s">
        <v>29</v>
      </c>
      <c r="B38" s="3" t="n">
        <v>37</v>
      </c>
      <c r="C38" s="3" t="s">
        <v>96</v>
      </c>
      <c r="D38" s="3" t="n">
        <v>149</v>
      </c>
      <c r="E38" s="4" t="n">
        <f aca="false">LONG!U149</f>
        <v>0.000463574016</v>
      </c>
      <c r="F38" s="4" t="n">
        <f aca="false">LONG!V149</f>
        <v>0.00010077696</v>
      </c>
      <c r="G38" s="4" t="n">
        <f aca="false">LONG!W149</f>
        <v>0.314928</v>
      </c>
      <c r="H38" s="4" t="n">
        <f aca="false">LONG!X149</f>
        <v>0.189638418693276</v>
      </c>
      <c r="I38" s="3" t="str">
        <f aca="false">LONG!Y149</f>
        <v>Risk C</v>
      </c>
      <c r="J38" s="3" t="n">
        <f aca="false">LONG!Z149</f>
        <v>0</v>
      </c>
      <c r="K38" s="3" t="s">
        <v>166</v>
      </c>
      <c r="L38" s="3" t="s">
        <v>130</v>
      </c>
    </row>
    <row r="39" customFormat="false" ht="25.5" hidden="false" customHeight="true" outlineLevel="0" collapsed="false">
      <c r="A39" s="3" t="s">
        <v>29</v>
      </c>
      <c r="B39" s="3" t="n">
        <v>38</v>
      </c>
      <c r="C39" s="3" t="s">
        <v>97</v>
      </c>
      <c r="D39" s="3" t="n">
        <v>153</v>
      </c>
      <c r="E39" s="4" t="n">
        <f aca="false">LONG!U153</f>
        <v>0.00103840579584</v>
      </c>
      <c r="F39" s="4" t="n">
        <f aca="false">LONG!V153</f>
        <v>8.0621568E-005</v>
      </c>
      <c r="G39" s="4" t="n">
        <f aca="false">LONG!W153</f>
        <v>0.314928</v>
      </c>
      <c r="H39" s="4" t="n">
        <f aca="false">LONG!X153</f>
        <v>0.309017265158183</v>
      </c>
      <c r="I39" s="3" t="str">
        <f aca="false">LONG!Y153</f>
        <v>Risk C</v>
      </c>
      <c r="J39" s="3" t="n">
        <f aca="false">LONG!Z153</f>
        <v>0</v>
      </c>
      <c r="K39" s="3" t="s">
        <v>167</v>
      </c>
      <c r="L39" s="3" t="s">
        <v>130</v>
      </c>
    </row>
    <row r="40" customFormat="false" ht="25.5" hidden="false" customHeight="true" outlineLevel="0" collapsed="false">
      <c r="A40" s="3" t="s">
        <v>29</v>
      </c>
      <c r="B40" s="3" t="n">
        <v>39</v>
      </c>
      <c r="C40" s="3" t="s">
        <v>98</v>
      </c>
      <c r="D40" s="3" t="n">
        <v>157</v>
      </c>
      <c r="E40" s="4" t="n">
        <f aca="false">LONG!U157</f>
        <v>0.00025960144896</v>
      </c>
      <c r="F40" s="4" t="n">
        <f aca="false">LONG!V157</f>
        <v>2.0155392E-005</v>
      </c>
      <c r="G40" s="4" t="n">
        <f aca="false">LONG!W157</f>
        <v>0.102036672</v>
      </c>
      <c r="H40" s="4" t="n">
        <f aca="false">LONG!X157</f>
        <v>0.29962378225974</v>
      </c>
      <c r="I40" s="3" t="str">
        <f aca="false">LONG!Y157</f>
        <v>Risk C</v>
      </c>
      <c r="J40" s="3" t="n">
        <f aca="false">LONG!Z157</f>
        <v>0</v>
      </c>
      <c r="K40" s="3" t="s">
        <v>168</v>
      </c>
      <c r="L40" s="3" t="s">
        <v>130</v>
      </c>
    </row>
    <row r="41" customFormat="false" ht="25.5" hidden="false" customHeight="true" outlineLevel="0" collapsed="false">
      <c r="A41" s="3" t="s">
        <v>29</v>
      </c>
      <c r="B41" s="3" t="n">
        <v>40</v>
      </c>
      <c r="C41" s="3" t="s">
        <v>99</v>
      </c>
      <c r="D41" s="3" t="n">
        <v>161</v>
      </c>
      <c r="E41" s="4" t="n">
        <f aca="false">LONG!U161</f>
        <v>0.00025960144896</v>
      </c>
      <c r="F41" s="4" t="n">
        <f aca="false">LONG!V161</f>
        <v>2.0155392E-005</v>
      </c>
      <c r="G41" s="4" t="n">
        <f aca="false">LONG!W161</f>
        <v>0.102036672</v>
      </c>
      <c r="H41" s="4" t="n">
        <f aca="false">LONG!X161</f>
        <v>0.29962378225974</v>
      </c>
      <c r="I41" s="3" t="str">
        <f aca="false">LONG!Y161</f>
        <v>Risk C</v>
      </c>
      <c r="J41" s="3" t="n">
        <f aca="false">LONG!Z161</f>
        <v>0</v>
      </c>
      <c r="K41" s="3" t="s">
        <v>169</v>
      </c>
      <c r="L41" s="3" t="s">
        <v>130</v>
      </c>
    </row>
    <row r="42" customFormat="false" ht="25.5" hidden="false" customHeight="true" outlineLevel="0" collapsed="false">
      <c r="A42" s="3" t="s">
        <v>29</v>
      </c>
      <c r="B42" s="3" t="n">
        <v>41</v>
      </c>
      <c r="C42" s="3" t="s">
        <v>100</v>
      </c>
      <c r="D42" s="3" t="n">
        <v>165</v>
      </c>
      <c r="E42" s="4" t="n">
        <f aca="false">LONG!U165</f>
        <v>0.000463574016</v>
      </c>
      <c r="F42" s="4" t="n">
        <f aca="false">LONG!V165</f>
        <v>0.00010077696</v>
      </c>
      <c r="G42" s="4" t="n">
        <f aca="false">LONG!W165</f>
        <v>0.314928</v>
      </c>
      <c r="H42" s="4" t="n">
        <f aca="false">LONG!X165</f>
        <v>0.189638418693276</v>
      </c>
      <c r="I42" s="3" t="str">
        <f aca="false">LONG!Y165</f>
        <v>Risk C</v>
      </c>
      <c r="J42" s="3" t="n">
        <f aca="false">LONG!Z165</f>
        <v>0</v>
      </c>
      <c r="K42" s="3" t="s">
        <v>170</v>
      </c>
      <c r="L42" s="3" t="s">
        <v>130</v>
      </c>
    </row>
    <row r="43" customFormat="false" ht="25.5" hidden="false" customHeight="true" outlineLevel="0" collapsed="false">
      <c r="A43" s="3" t="s">
        <v>29</v>
      </c>
      <c r="B43" s="3" t="n">
        <v>42</v>
      </c>
      <c r="C43" s="3" t="s">
        <v>101</v>
      </c>
      <c r="D43" s="3" t="n">
        <v>169</v>
      </c>
      <c r="E43" s="4" t="n">
        <f aca="false">LONG!U169</f>
        <v>0.00103840579584</v>
      </c>
      <c r="F43" s="4" t="n">
        <f aca="false">LONG!V169</f>
        <v>8.0621568E-005</v>
      </c>
      <c r="G43" s="4" t="n">
        <f aca="false">LONG!W169</f>
        <v>0.314928</v>
      </c>
      <c r="H43" s="4" t="n">
        <f aca="false">LONG!X169</f>
        <v>0.309017265158183</v>
      </c>
      <c r="I43" s="3" t="str">
        <f aca="false">LONG!Y169</f>
        <v>Risk C</v>
      </c>
      <c r="J43" s="3" t="n">
        <f aca="false">LONG!Z169</f>
        <v>0</v>
      </c>
      <c r="K43" s="3" t="s">
        <v>171</v>
      </c>
      <c r="L43" s="3" t="s">
        <v>130</v>
      </c>
    </row>
    <row r="44" customFormat="false" ht="25.5" hidden="false" customHeight="true" outlineLevel="0" collapsed="false">
      <c r="A44" s="3" t="s">
        <v>29</v>
      </c>
      <c r="B44" s="3" t="n">
        <v>43</v>
      </c>
      <c r="C44" s="3" t="s">
        <v>102</v>
      </c>
      <c r="D44" s="3" t="n">
        <v>173</v>
      </c>
      <c r="E44" s="4" t="n">
        <f aca="false">LONG!U173</f>
        <v>0.00025960144896</v>
      </c>
      <c r="F44" s="4" t="n">
        <f aca="false">LONG!V173</f>
        <v>2.0155392E-005</v>
      </c>
      <c r="G44" s="4" t="n">
        <f aca="false">LONG!W173</f>
        <v>0.102036672</v>
      </c>
      <c r="H44" s="4" t="n">
        <f aca="false">LONG!X173</f>
        <v>0.29962378225974</v>
      </c>
      <c r="I44" s="3" t="str">
        <f aca="false">LONG!Y173</f>
        <v>Risk C</v>
      </c>
      <c r="J44" s="3" t="n">
        <f aca="false">LONG!Z173</f>
        <v>0</v>
      </c>
      <c r="K44" s="3" t="s">
        <v>172</v>
      </c>
      <c r="L44" s="3" t="s">
        <v>130</v>
      </c>
    </row>
    <row r="45" customFormat="false" ht="25.5" hidden="false" customHeight="true" outlineLevel="0" collapsed="false">
      <c r="A45" s="3" t="s">
        <v>29</v>
      </c>
      <c r="B45" s="3" t="n">
        <v>44</v>
      </c>
      <c r="C45" s="3" t="s">
        <v>103</v>
      </c>
      <c r="D45" s="3" t="n">
        <v>177</v>
      </c>
      <c r="E45" s="4" t="n">
        <f aca="false">LONG!U177</f>
        <v>0.00025960144896</v>
      </c>
      <c r="F45" s="4" t="n">
        <f aca="false">LONG!V177</f>
        <v>2.0155392E-005</v>
      </c>
      <c r="G45" s="4" t="n">
        <f aca="false">LONG!W177</f>
        <v>0.102036672</v>
      </c>
      <c r="H45" s="4" t="n">
        <f aca="false">LONG!X177</f>
        <v>0.29962378225974</v>
      </c>
      <c r="I45" s="3" t="str">
        <f aca="false">LONG!Y177</f>
        <v>Risk C</v>
      </c>
      <c r="J45" s="3" t="n">
        <f aca="false">LONG!Z177</f>
        <v>0</v>
      </c>
      <c r="K45" s="3" t="s">
        <v>173</v>
      </c>
      <c r="L45" s="3" t="s">
        <v>130</v>
      </c>
    </row>
    <row r="46" customFormat="false" ht="25.5" hidden="false" customHeight="true" outlineLevel="0" collapsed="false">
      <c r="A46" s="3" t="s">
        <v>29</v>
      </c>
      <c r="B46" s="3" t="n">
        <v>45</v>
      </c>
      <c r="C46" s="3" t="s">
        <v>104</v>
      </c>
      <c r="D46" s="3" t="n">
        <v>181</v>
      </c>
      <c r="E46" s="4" t="n">
        <f aca="false">LONG!U181</f>
        <v>0.000463574016</v>
      </c>
      <c r="F46" s="4" t="n">
        <f aca="false">LONG!V181</f>
        <v>0.00010077696</v>
      </c>
      <c r="G46" s="4" t="n">
        <f aca="false">LONG!W181</f>
        <v>0.314928</v>
      </c>
      <c r="H46" s="4" t="n">
        <f aca="false">LONG!X181</f>
        <v>0.189638418693276</v>
      </c>
      <c r="I46" s="3" t="str">
        <f aca="false">LONG!Y181</f>
        <v>Risk C</v>
      </c>
      <c r="J46" s="3" t="n">
        <f aca="false">LONG!Z181</f>
        <v>0</v>
      </c>
      <c r="K46" s="3" t="s">
        <v>174</v>
      </c>
      <c r="L46" s="3" t="s">
        <v>130</v>
      </c>
    </row>
    <row r="47" customFormat="false" ht="25.5" hidden="false" customHeight="true" outlineLevel="0" collapsed="false">
      <c r="A47" s="3" t="s">
        <v>29</v>
      </c>
      <c r="B47" s="3" t="n">
        <v>46</v>
      </c>
      <c r="C47" s="3" t="s">
        <v>105</v>
      </c>
      <c r="D47" s="3" t="n">
        <v>185</v>
      </c>
      <c r="E47" s="4" t="n">
        <f aca="false">LONG!U185</f>
        <v>0.00103840579584</v>
      </c>
      <c r="F47" s="4" t="n">
        <f aca="false">LONG!V185</f>
        <v>8.0621568E-005</v>
      </c>
      <c r="G47" s="4" t="n">
        <f aca="false">LONG!W185</f>
        <v>0.314928</v>
      </c>
      <c r="H47" s="4" t="n">
        <f aca="false">LONG!X185</f>
        <v>0.309017265158183</v>
      </c>
      <c r="I47" s="3" t="str">
        <f aca="false">LONG!Y185</f>
        <v>Risk C</v>
      </c>
      <c r="J47" s="3" t="n">
        <f aca="false">LONG!Z185</f>
        <v>0</v>
      </c>
      <c r="K47" s="3" t="s">
        <v>175</v>
      </c>
      <c r="L47" s="3" t="s">
        <v>130</v>
      </c>
    </row>
    <row r="48" customFormat="false" ht="25.5" hidden="false" customHeight="true" outlineLevel="0" collapsed="false">
      <c r="A48" s="3" t="s">
        <v>29</v>
      </c>
      <c r="B48" s="3" t="n">
        <v>47</v>
      </c>
      <c r="C48" s="3" t="s">
        <v>106</v>
      </c>
      <c r="D48" s="3" t="n">
        <v>189</v>
      </c>
      <c r="E48" s="4" t="n">
        <f aca="false">LONG!U189</f>
        <v>0.00025960144896</v>
      </c>
      <c r="F48" s="4" t="n">
        <f aca="false">LONG!V189</f>
        <v>2.0155392E-005</v>
      </c>
      <c r="G48" s="4" t="n">
        <f aca="false">LONG!W189</f>
        <v>0.102036672</v>
      </c>
      <c r="H48" s="4" t="n">
        <f aca="false">LONG!X189</f>
        <v>0.29962378225974</v>
      </c>
      <c r="I48" s="3" t="str">
        <f aca="false">LONG!Y189</f>
        <v>Risk C</v>
      </c>
      <c r="J48" s="3" t="n">
        <f aca="false">LONG!Z189</f>
        <v>0</v>
      </c>
      <c r="K48" s="3" t="s">
        <v>176</v>
      </c>
      <c r="L48" s="3" t="s">
        <v>130</v>
      </c>
    </row>
    <row r="49" customFormat="false" ht="25.5" hidden="false" customHeight="true" outlineLevel="0" collapsed="false">
      <c r="A49" s="3" t="s">
        <v>29</v>
      </c>
      <c r="B49" s="3" t="n">
        <v>48</v>
      </c>
      <c r="C49" s="3" t="s">
        <v>107</v>
      </c>
      <c r="D49" s="3" t="n">
        <v>193</v>
      </c>
      <c r="E49" s="4" t="n">
        <f aca="false">LONG!U193</f>
        <v>0.00025960144896</v>
      </c>
      <c r="F49" s="4" t="n">
        <f aca="false">LONG!V193</f>
        <v>2.0155392E-005</v>
      </c>
      <c r="G49" s="4" t="n">
        <f aca="false">LONG!W193</f>
        <v>0.102036672</v>
      </c>
      <c r="H49" s="4" t="n">
        <f aca="false">LONG!X193</f>
        <v>0.29962378225974</v>
      </c>
      <c r="I49" s="3" t="str">
        <f aca="false">LONG!Y193</f>
        <v>Risk C</v>
      </c>
      <c r="J49" s="3" t="n">
        <f aca="false">LONG!Z193</f>
        <v>0</v>
      </c>
      <c r="K49" s="3" t="s">
        <v>177</v>
      </c>
      <c r="L49" s="3" t="s">
        <v>130</v>
      </c>
    </row>
    <row r="50" customFormat="false" ht="25.5" hidden="false" customHeight="true" outlineLevel="0" collapsed="false">
      <c r="A50" s="3" t="s">
        <v>29</v>
      </c>
      <c r="B50" s="3" t="n">
        <v>49</v>
      </c>
      <c r="C50" s="3" t="s">
        <v>108</v>
      </c>
      <c r="D50" s="3" t="n">
        <v>197</v>
      </c>
      <c r="E50" s="4" t="n">
        <f aca="false">LONG!U197</f>
        <v>0.000141087744</v>
      </c>
      <c r="F50" s="4" t="n">
        <f aca="false">LONG!V197</f>
        <v>5.038848E-005</v>
      </c>
      <c r="G50" s="4" t="n">
        <f aca="false">LONG!W197</f>
        <v>0.157464</v>
      </c>
      <c r="H50" s="4" t="n">
        <f aca="false">LONG!X197</f>
        <v>0.127947702639112</v>
      </c>
      <c r="I50" s="3" t="str">
        <f aca="false">LONG!Y197</f>
        <v>Risk C</v>
      </c>
      <c r="J50" s="3" t="n">
        <f aca="false">LONG!Z197</f>
        <v>0</v>
      </c>
      <c r="K50" s="3" t="s">
        <v>178</v>
      </c>
      <c r="L50" s="3" t="s">
        <v>130</v>
      </c>
    </row>
    <row r="51" customFormat="false" ht="25.5" hidden="false" customHeight="true" outlineLevel="0" collapsed="false">
      <c r="A51" s="3" t="s">
        <v>29</v>
      </c>
      <c r="B51" s="3" t="n">
        <v>50</v>
      </c>
      <c r="C51" s="3" t="s">
        <v>111</v>
      </c>
      <c r="D51" s="3" t="n">
        <v>201</v>
      </c>
      <c r="E51" s="4" t="n">
        <f aca="false">LONG!U201</f>
        <v>0.00031603654656</v>
      </c>
      <c r="F51" s="4" t="n">
        <f aca="false">LONG!V201</f>
        <v>4.0310784E-005</v>
      </c>
      <c r="G51" s="4" t="n">
        <f aca="false">LONG!W201</f>
        <v>0.157464</v>
      </c>
      <c r="H51" s="4" t="n">
        <f aca="false">LONG!X201</f>
        <v>0.248991038946756</v>
      </c>
      <c r="I51" s="3" t="str">
        <f aca="false">LONG!Y201</f>
        <v>Risk C</v>
      </c>
      <c r="J51" s="3" t="n">
        <f aca="false">LONG!Z201</f>
        <v>0</v>
      </c>
      <c r="K51" s="3" t="s">
        <v>179</v>
      </c>
      <c r="L51" s="3" t="s">
        <v>130</v>
      </c>
    </row>
    <row r="52" customFormat="false" ht="25.5" hidden="false" customHeight="true" outlineLevel="0" collapsed="false">
      <c r="A52" s="3" t="s">
        <v>29</v>
      </c>
      <c r="B52" s="3" t="n">
        <v>51</v>
      </c>
      <c r="C52" s="3" t="s">
        <v>112</v>
      </c>
      <c r="D52" s="3" t="n">
        <v>205</v>
      </c>
      <c r="E52" s="4" t="n">
        <f aca="false">LONG!U205</f>
        <v>7.900913664E-005</v>
      </c>
      <c r="F52" s="4" t="n">
        <f aca="false">LONG!V205</f>
        <v>1.0077696E-005</v>
      </c>
      <c r="G52" s="4" t="n">
        <f aca="false">LONG!W205</f>
        <v>0.051018336</v>
      </c>
      <c r="H52" s="4" t="n">
        <f aca="false">LONG!X205</f>
        <v>0.241422228624735</v>
      </c>
      <c r="I52" s="3" t="str">
        <f aca="false">LONG!Y205</f>
        <v>Risk C</v>
      </c>
      <c r="J52" s="3" t="n">
        <f aca="false">LONG!Z205</f>
        <v>0</v>
      </c>
      <c r="K52" s="3" t="s">
        <v>180</v>
      </c>
      <c r="L52" s="3" t="s">
        <v>130</v>
      </c>
    </row>
    <row r="53" customFormat="false" ht="25.5" hidden="false" customHeight="true" outlineLevel="0" collapsed="false">
      <c r="A53" s="3" t="s">
        <v>29</v>
      </c>
      <c r="B53" s="3" t="n">
        <v>52</v>
      </c>
      <c r="C53" s="3" t="s">
        <v>113</v>
      </c>
      <c r="D53" s="3" t="n">
        <v>209</v>
      </c>
      <c r="E53" s="4" t="n">
        <f aca="false">LONG!U209</f>
        <v>7.900913664E-005</v>
      </c>
      <c r="F53" s="4" t="n">
        <f aca="false">LONG!V209</f>
        <v>1.0077696E-005</v>
      </c>
      <c r="G53" s="4" t="n">
        <f aca="false">LONG!W209</f>
        <v>0.051018336</v>
      </c>
      <c r="H53" s="4" t="n">
        <f aca="false">LONG!X209</f>
        <v>0.241422228624735</v>
      </c>
      <c r="I53" s="3" t="str">
        <f aca="false">LONG!Y209</f>
        <v>Risk C</v>
      </c>
      <c r="J53" s="3" t="n">
        <f aca="false">LONG!Z209</f>
        <v>0</v>
      </c>
      <c r="K53" s="3" t="s">
        <v>181</v>
      </c>
      <c r="L53" s="3" t="s">
        <v>130</v>
      </c>
    </row>
    <row r="54" customFormat="false" ht="25.5" hidden="false" customHeight="true" outlineLevel="0" collapsed="false">
      <c r="A54" s="3" t="s">
        <v>29</v>
      </c>
      <c r="B54" s="3" t="n">
        <v>53</v>
      </c>
      <c r="C54" s="3" t="s">
        <v>114</v>
      </c>
      <c r="D54" s="3" t="n">
        <v>213</v>
      </c>
      <c r="E54" s="4" t="n">
        <f aca="false">LONG!U213</f>
        <v>0.000141087744</v>
      </c>
      <c r="F54" s="4" t="n">
        <f aca="false">LONG!V213</f>
        <v>5.038848E-005</v>
      </c>
      <c r="G54" s="4" t="n">
        <f aca="false">LONG!W213</f>
        <v>0.157464</v>
      </c>
      <c r="H54" s="4" t="n">
        <f aca="false">LONG!X213</f>
        <v>0.127947702639112</v>
      </c>
      <c r="I54" s="3" t="str">
        <f aca="false">LONG!Y213</f>
        <v>Risk C</v>
      </c>
      <c r="J54" s="3" t="n">
        <f aca="false">LONG!Z213</f>
        <v>0</v>
      </c>
      <c r="K54" s="3" t="s">
        <v>182</v>
      </c>
      <c r="L54" s="3" t="s">
        <v>130</v>
      </c>
    </row>
    <row r="55" customFormat="false" ht="25.5" hidden="false" customHeight="true" outlineLevel="0" collapsed="false">
      <c r="A55" s="3" t="s">
        <v>29</v>
      </c>
      <c r="B55" s="3" t="n">
        <v>54</v>
      </c>
      <c r="C55" s="3" t="s">
        <v>115</v>
      </c>
      <c r="D55" s="3" t="n">
        <v>217</v>
      </c>
      <c r="E55" s="4" t="n">
        <f aca="false">LONG!U217</f>
        <v>0.00031603654656</v>
      </c>
      <c r="F55" s="4" t="n">
        <f aca="false">LONG!V217</f>
        <v>4.0310784E-005</v>
      </c>
      <c r="G55" s="4" t="n">
        <f aca="false">LONG!W217</f>
        <v>0.157464</v>
      </c>
      <c r="H55" s="4" t="n">
        <f aca="false">LONG!X217</f>
        <v>0.248991038946756</v>
      </c>
      <c r="I55" s="3" t="str">
        <f aca="false">LONG!Y217</f>
        <v>Risk C</v>
      </c>
      <c r="J55" s="3" t="n">
        <f aca="false">LONG!Z217</f>
        <v>0</v>
      </c>
      <c r="K55" s="3" t="s">
        <v>183</v>
      </c>
      <c r="L55" s="3" t="s">
        <v>130</v>
      </c>
    </row>
    <row r="56" customFormat="false" ht="25.5" hidden="false" customHeight="true" outlineLevel="0" collapsed="false">
      <c r="A56" s="3" t="s">
        <v>29</v>
      </c>
      <c r="B56" s="3" t="n">
        <v>55</v>
      </c>
      <c r="C56" s="3" t="s">
        <v>116</v>
      </c>
      <c r="D56" s="3" t="n">
        <v>221</v>
      </c>
      <c r="E56" s="4" t="n">
        <f aca="false">LONG!U221</f>
        <v>7.900913664E-005</v>
      </c>
      <c r="F56" s="4" t="n">
        <f aca="false">LONG!V221</f>
        <v>1.0077696E-005</v>
      </c>
      <c r="G56" s="4" t="n">
        <f aca="false">LONG!W221</f>
        <v>0.051018336</v>
      </c>
      <c r="H56" s="4" t="n">
        <f aca="false">LONG!X221</f>
        <v>0.241422228624735</v>
      </c>
      <c r="I56" s="3" t="str">
        <f aca="false">LONG!Y221</f>
        <v>Risk C</v>
      </c>
      <c r="J56" s="3" t="n">
        <f aca="false">LONG!Z221</f>
        <v>0</v>
      </c>
      <c r="K56" s="3" t="s">
        <v>184</v>
      </c>
      <c r="L56" s="3" t="s">
        <v>130</v>
      </c>
    </row>
    <row r="57" customFormat="false" ht="25.5" hidden="false" customHeight="true" outlineLevel="0" collapsed="false">
      <c r="A57" s="3" t="s">
        <v>29</v>
      </c>
      <c r="B57" s="3" t="n">
        <v>56</v>
      </c>
      <c r="C57" s="3" t="s">
        <v>117</v>
      </c>
      <c r="D57" s="3" t="n">
        <v>225</v>
      </c>
      <c r="E57" s="4" t="n">
        <f aca="false">LONG!U225</f>
        <v>7.900913664E-005</v>
      </c>
      <c r="F57" s="4" t="n">
        <f aca="false">LONG!V225</f>
        <v>1.0077696E-005</v>
      </c>
      <c r="G57" s="4" t="n">
        <f aca="false">LONG!W225</f>
        <v>0.051018336</v>
      </c>
      <c r="H57" s="4" t="n">
        <f aca="false">LONG!X225</f>
        <v>0.241422228624735</v>
      </c>
      <c r="I57" s="3" t="str">
        <f aca="false">LONG!Y225</f>
        <v>Risk C</v>
      </c>
      <c r="J57" s="3" t="n">
        <f aca="false">LONG!Z225</f>
        <v>0</v>
      </c>
      <c r="K57" s="3" t="s">
        <v>185</v>
      </c>
      <c r="L57" s="3" t="s">
        <v>130</v>
      </c>
    </row>
    <row r="58" customFormat="false" ht="25.5" hidden="false" customHeight="true" outlineLevel="0" collapsed="false">
      <c r="A58" s="3" t="s">
        <v>29</v>
      </c>
      <c r="B58" s="3" t="n">
        <v>57</v>
      </c>
      <c r="C58" s="3" t="s">
        <v>118</v>
      </c>
      <c r="D58" s="3" t="n">
        <v>229</v>
      </c>
      <c r="E58" s="4" t="n">
        <f aca="false">LONG!U229</f>
        <v>0.000141087744</v>
      </c>
      <c r="F58" s="4" t="n">
        <f aca="false">LONG!V229</f>
        <v>5.038848E-005</v>
      </c>
      <c r="G58" s="4" t="n">
        <f aca="false">LONG!W229</f>
        <v>0.157464</v>
      </c>
      <c r="H58" s="4" t="n">
        <f aca="false">LONG!X229</f>
        <v>0.127947702639112</v>
      </c>
      <c r="I58" s="3" t="str">
        <f aca="false">LONG!Y229</f>
        <v>Risk C</v>
      </c>
      <c r="J58" s="3" t="n">
        <f aca="false">LONG!Z229</f>
        <v>0</v>
      </c>
      <c r="K58" s="3" t="s">
        <v>186</v>
      </c>
      <c r="L58" s="3" t="s">
        <v>130</v>
      </c>
    </row>
    <row r="59" customFormat="false" ht="25.5" hidden="false" customHeight="true" outlineLevel="0" collapsed="false">
      <c r="A59" s="3" t="s">
        <v>29</v>
      </c>
      <c r="B59" s="3" t="n">
        <v>58</v>
      </c>
      <c r="C59" s="3" t="s">
        <v>119</v>
      </c>
      <c r="D59" s="3" t="n">
        <v>233</v>
      </c>
      <c r="E59" s="4" t="n">
        <f aca="false">LONG!U233</f>
        <v>0.00031603654656</v>
      </c>
      <c r="F59" s="4" t="n">
        <f aca="false">LONG!V233</f>
        <v>4.0310784E-005</v>
      </c>
      <c r="G59" s="4" t="n">
        <f aca="false">LONG!W233</f>
        <v>0.157464</v>
      </c>
      <c r="H59" s="4" t="n">
        <f aca="false">LONG!X233</f>
        <v>0.248991038946756</v>
      </c>
      <c r="I59" s="3" t="str">
        <f aca="false">LONG!Y233</f>
        <v>Risk C</v>
      </c>
      <c r="J59" s="3" t="n">
        <f aca="false">LONG!Z233</f>
        <v>0</v>
      </c>
      <c r="K59" s="3" t="s">
        <v>187</v>
      </c>
      <c r="L59" s="3" t="s">
        <v>130</v>
      </c>
    </row>
    <row r="60" customFormat="false" ht="25.5" hidden="false" customHeight="true" outlineLevel="0" collapsed="false">
      <c r="A60" s="3" t="s">
        <v>29</v>
      </c>
      <c r="B60" s="3" t="n">
        <v>59</v>
      </c>
      <c r="C60" s="3" t="s">
        <v>120</v>
      </c>
      <c r="D60" s="3" t="n">
        <v>237</v>
      </c>
      <c r="E60" s="4" t="n">
        <f aca="false">LONG!U237</f>
        <v>7.900913664E-005</v>
      </c>
      <c r="F60" s="4" t="n">
        <f aca="false">LONG!V237</f>
        <v>1.0077696E-005</v>
      </c>
      <c r="G60" s="4" t="n">
        <f aca="false">LONG!W237</f>
        <v>0.051018336</v>
      </c>
      <c r="H60" s="4" t="n">
        <f aca="false">LONG!X237</f>
        <v>0.241422228624735</v>
      </c>
      <c r="I60" s="3" t="str">
        <f aca="false">LONG!Y237</f>
        <v>Risk C</v>
      </c>
      <c r="J60" s="3" t="n">
        <f aca="false">LONG!Z237</f>
        <v>0</v>
      </c>
      <c r="K60" s="3" t="s">
        <v>188</v>
      </c>
      <c r="L60" s="3" t="s">
        <v>130</v>
      </c>
    </row>
    <row r="61" customFormat="false" ht="25.5" hidden="false" customHeight="true" outlineLevel="0" collapsed="false">
      <c r="A61" s="3" t="s">
        <v>29</v>
      </c>
      <c r="B61" s="3" t="n">
        <v>60</v>
      </c>
      <c r="C61" s="3" t="s">
        <v>121</v>
      </c>
      <c r="D61" s="3" t="n">
        <v>241</v>
      </c>
      <c r="E61" s="4" t="n">
        <f aca="false">LONG!U241</f>
        <v>7.900913664E-005</v>
      </c>
      <c r="F61" s="4" t="n">
        <f aca="false">LONG!V241</f>
        <v>1.0077696E-005</v>
      </c>
      <c r="G61" s="4" t="n">
        <f aca="false">LONG!W241</f>
        <v>0.051018336</v>
      </c>
      <c r="H61" s="4" t="n">
        <f aca="false">LONG!X241</f>
        <v>0.241422228624735</v>
      </c>
      <c r="I61" s="3" t="str">
        <f aca="false">LONG!Y241</f>
        <v>Risk C</v>
      </c>
      <c r="J61" s="3" t="n">
        <f aca="false">LONG!Z241</f>
        <v>0</v>
      </c>
      <c r="K61" s="3" t="s">
        <v>189</v>
      </c>
      <c r="L61" s="3" t="s">
        <v>130</v>
      </c>
    </row>
    <row r="62" customFormat="false" ht="25.5" hidden="false" customHeight="true" outlineLevel="0" collapsed="false">
      <c r="A62" s="3" t="s">
        <v>29</v>
      </c>
      <c r="B62" s="3" t="n">
        <v>61</v>
      </c>
      <c r="C62" s="3" t="s">
        <v>122</v>
      </c>
      <c r="D62" s="3" t="n">
        <v>245</v>
      </c>
      <c r="E62" s="4" t="n">
        <f aca="false">LONG!U245</f>
        <v>0.000141087744</v>
      </c>
      <c r="F62" s="4" t="n">
        <f aca="false">LONG!V245</f>
        <v>5.038848E-005</v>
      </c>
      <c r="G62" s="4" t="n">
        <f aca="false">LONG!W245</f>
        <v>0.157464</v>
      </c>
      <c r="H62" s="4" t="n">
        <f aca="false">LONG!X245</f>
        <v>0.127947702639112</v>
      </c>
      <c r="I62" s="3" t="str">
        <f aca="false">LONG!Y245</f>
        <v>Risk C</v>
      </c>
      <c r="J62" s="3" t="n">
        <f aca="false">LONG!Z245</f>
        <v>0</v>
      </c>
      <c r="K62" s="3" t="s">
        <v>190</v>
      </c>
      <c r="L62" s="3" t="s">
        <v>130</v>
      </c>
    </row>
    <row r="63" customFormat="false" ht="25.5" hidden="false" customHeight="true" outlineLevel="0" collapsed="false">
      <c r="A63" s="3" t="s">
        <v>29</v>
      </c>
      <c r="B63" s="3" t="n">
        <v>62</v>
      </c>
      <c r="C63" s="3" t="s">
        <v>123</v>
      </c>
      <c r="D63" s="3" t="n">
        <v>249</v>
      </c>
      <c r="E63" s="4" t="n">
        <f aca="false">LONG!U249</f>
        <v>0.00031603654656</v>
      </c>
      <c r="F63" s="4" t="n">
        <f aca="false">LONG!V249</f>
        <v>4.0310784E-005</v>
      </c>
      <c r="G63" s="4" t="n">
        <f aca="false">LONG!W249</f>
        <v>0.157464</v>
      </c>
      <c r="H63" s="4" t="n">
        <f aca="false">LONG!X249</f>
        <v>0.248991038946756</v>
      </c>
      <c r="I63" s="3" t="str">
        <f aca="false">LONG!Y249</f>
        <v>Risk C</v>
      </c>
      <c r="J63" s="3" t="n">
        <f aca="false">LONG!Z249</f>
        <v>0</v>
      </c>
      <c r="K63" s="3" t="s">
        <v>191</v>
      </c>
      <c r="L63" s="3" t="s">
        <v>130</v>
      </c>
    </row>
    <row r="64" customFormat="false" ht="25.5" hidden="false" customHeight="true" outlineLevel="0" collapsed="false">
      <c r="A64" s="3" t="s">
        <v>29</v>
      </c>
      <c r="B64" s="3" t="n">
        <v>63</v>
      </c>
      <c r="C64" s="3" t="s">
        <v>124</v>
      </c>
      <c r="D64" s="3" t="n">
        <v>253</v>
      </c>
      <c r="E64" s="4" t="n">
        <f aca="false">LONG!U253</f>
        <v>7.900913664E-005</v>
      </c>
      <c r="F64" s="4" t="n">
        <f aca="false">LONG!V253</f>
        <v>1.0077696E-005</v>
      </c>
      <c r="G64" s="4" t="n">
        <f aca="false">LONG!W253</f>
        <v>0.051018336</v>
      </c>
      <c r="H64" s="4" t="n">
        <f aca="false">LONG!X253</f>
        <v>0.241422228624735</v>
      </c>
      <c r="I64" s="3" t="str">
        <f aca="false">LONG!Y253</f>
        <v>Risk C</v>
      </c>
      <c r="J64" s="3" t="n">
        <f aca="false">LONG!Z253</f>
        <v>0</v>
      </c>
      <c r="K64" s="3" t="s">
        <v>192</v>
      </c>
      <c r="L64" s="3" t="s">
        <v>130</v>
      </c>
    </row>
    <row r="65" customFormat="false" ht="25.5" hidden="false" customHeight="true" outlineLevel="0" collapsed="false">
      <c r="A65" s="3" t="s">
        <v>29</v>
      </c>
      <c r="B65" s="3" t="n">
        <v>64</v>
      </c>
      <c r="C65" s="3" t="s">
        <v>125</v>
      </c>
      <c r="D65" s="3" t="n">
        <v>257</v>
      </c>
      <c r="E65" s="4" t="n">
        <f aca="false">LONG!U257</f>
        <v>7.900913664E-005</v>
      </c>
      <c r="F65" s="4" t="n">
        <f aca="false">LONG!V257</f>
        <v>1.0077696E-005</v>
      </c>
      <c r="G65" s="4" t="n">
        <f aca="false">LONG!W257</f>
        <v>0.051018336</v>
      </c>
      <c r="H65" s="4" t="n">
        <f aca="false">LONG!X257</f>
        <v>0.241422228624735</v>
      </c>
      <c r="I65" s="3" t="str">
        <f aca="false">LONG!Y257</f>
        <v>Risk C</v>
      </c>
      <c r="J65" s="3" t="n">
        <f aca="false">LONG!Z257</f>
        <v>0</v>
      </c>
      <c r="K65" s="3" t="s">
        <v>193</v>
      </c>
      <c r="L65" s="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2.7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</cols>
  <sheetData>
    <row r="1" customFormat="false" ht="13.5" hidden="false" customHeight="true" outlineLevel="0" collapsed="false">
      <c r="A1" s="5" t="s">
        <v>0</v>
      </c>
      <c r="B1" s="5" t="s">
        <v>29</v>
      </c>
    </row>
    <row r="2" customFormat="false" ht="13.5" hidden="false" customHeight="true" outlineLevel="0" collapsed="false">
      <c r="A2" s="6" t="s">
        <v>194</v>
      </c>
      <c r="B2" s="1" t="n">
        <f aca="false">COUNTA(Tree_Summary!C2:C65)</f>
        <v>64</v>
      </c>
    </row>
    <row r="3" customFormat="false" ht="13.5" hidden="false" customHeight="true" outlineLevel="0" collapsed="false">
      <c r="A3" s="6" t="s">
        <v>195</v>
      </c>
      <c r="B3" s="1" t="n">
        <f aca="false">COUNTIF(Tree_Summary!I2:I65,"Risk A")</f>
        <v>0</v>
      </c>
    </row>
    <row r="4" customFormat="false" ht="13.5" hidden="false" customHeight="true" outlineLevel="0" collapsed="false">
      <c r="A4" s="6" t="s">
        <v>196</v>
      </c>
      <c r="B4" s="1" t="n">
        <f aca="false">COUNTIF(Tree_Summary!I2:I65,"Risk B")</f>
        <v>0</v>
      </c>
    </row>
    <row r="5" customFormat="false" ht="13.5" hidden="false" customHeight="true" outlineLevel="0" collapsed="false">
      <c r="A5" s="6" t="s">
        <v>197</v>
      </c>
      <c r="B5" s="1" t="n">
        <f aca="false">COUNTIF(Tree_Summary!I2:I65,"Risk C")</f>
        <v>64</v>
      </c>
    </row>
    <row r="6" customFormat="false" ht="13.5" hidden="false" customHeight="true" outlineLevel="0" collapsed="false">
      <c r="A6" s="6" t="s">
        <v>198</v>
      </c>
      <c r="B6" s="7" t="n">
        <f aca="false">IF(B2=0,0,B4/B2)</f>
        <v>0</v>
      </c>
    </row>
    <row r="7" customFormat="false" ht="13.5" hidden="false" customHeight="true" outlineLevel="0" collapsed="false">
      <c r="A7" s="6" t="s">
        <v>199</v>
      </c>
      <c r="B7" s="7" t="n">
        <f aca="false">MAX(Tree_Summary!E2:E65)</f>
        <v>0.00103840579584</v>
      </c>
    </row>
    <row r="8" customFormat="false" ht="13.5" hidden="false" customHeight="true" outlineLevel="0" collapsed="false">
      <c r="A8" s="6" t="s">
        <v>200</v>
      </c>
      <c r="B8" s="1" t="str">
        <f aca="false">INDEX(Tree_Summary!C2:C65,MATCH(B7,Tree_Summary!E2:E65,0))</f>
        <v>A-034</v>
      </c>
    </row>
    <row r="9" customFormat="false" ht="13.5" hidden="false" customHeight="true" outlineLevel="0" collapsed="false">
      <c r="A9" s="6" t="s">
        <v>201</v>
      </c>
      <c r="B9" s="7" t="n">
        <f aca="false">AVERAGE(Tree_Summary!E2:E65)</f>
        <v>0.0002196937728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2.7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76"/>
  </cols>
  <sheetData>
    <row r="1" customFormat="false" ht="14.25" hidden="false" customHeight="true" outlineLevel="0" collapsed="false">
      <c r="A1" s="3" t="s">
        <v>202</v>
      </c>
      <c r="B1" s="3" t="s">
        <v>203</v>
      </c>
      <c r="C1" s="3"/>
      <c r="D1" s="3"/>
    </row>
    <row r="2" customFormat="false" ht="51.75" hidden="false" customHeight="true" outlineLevel="0" collapsed="false">
      <c r="A2" s="3" t="s">
        <v>204</v>
      </c>
      <c r="B2" s="3" t="s">
        <v>205</v>
      </c>
      <c r="C2" s="3"/>
      <c r="D2" s="3"/>
    </row>
    <row r="3" customFormat="false" ht="14.25" hidden="false" customHeight="true" outlineLevel="0" collapsed="false">
      <c r="A3" s="3" t="s">
        <v>206</v>
      </c>
      <c r="B3" s="3" t="s">
        <v>207</v>
      </c>
      <c r="C3" s="3"/>
      <c r="D3" s="3"/>
    </row>
    <row r="4" customFormat="false" ht="25.5" hidden="false" customHeight="true" outlineLevel="0" collapsed="false">
      <c r="A4" s="3" t="s">
        <v>208</v>
      </c>
      <c r="B4" s="3" t="s">
        <v>209</v>
      </c>
      <c r="C4" s="3"/>
      <c r="D4" s="3"/>
    </row>
    <row r="5" customFormat="false" ht="25.5" hidden="false" customHeight="true" outlineLevel="0" collapsed="false">
      <c r="A5" s="3" t="s">
        <v>210</v>
      </c>
      <c r="B5" s="3" t="s">
        <v>211</v>
      </c>
      <c r="C5" s="3"/>
      <c r="D5" s="3"/>
    </row>
    <row r="6" customFormat="false" ht="14.25" hidden="false" customHeight="true" outlineLevel="0" collapsed="false">
      <c r="A6" s="3" t="s">
        <v>212</v>
      </c>
      <c r="B6" s="3" t="n">
        <v>0.333333333333333</v>
      </c>
      <c r="C6" s="3"/>
      <c r="D6" s="3"/>
    </row>
    <row r="7" customFormat="false" ht="14.25" hidden="false" customHeight="true" outlineLevel="0" collapsed="false">
      <c r="A7" s="3" t="s">
        <v>213</v>
      </c>
      <c r="B7" s="3" t="n">
        <v>0.666666666666667</v>
      </c>
      <c r="C7" s="3"/>
      <c r="D7" s="3"/>
    </row>
    <row r="8" customFormat="false" ht="14.25" hidden="false" customHeight="true" outlineLevel="0" collapsed="false">
      <c r="A8" s="3" t="s">
        <v>214</v>
      </c>
      <c r="B8" s="3" t="n">
        <v>0.1</v>
      </c>
      <c r="C8" s="3"/>
      <c r="D8" s="3"/>
    </row>
    <row r="9" customFormat="false" ht="14.25" hidden="false" customHeight="true" outlineLevel="0" collapsed="false">
      <c r="A9" s="3" t="s">
        <v>215</v>
      </c>
      <c r="B9" s="3" t="n">
        <v>0.9</v>
      </c>
      <c r="C9" s="3"/>
      <c r="D9" s="3"/>
    </row>
    <row r="10" customFormat="false" ht="14.25" hidden="false" customHeight="true" outlineLevel="0" collapsed="false">
      <c r="A10" s="3" t="s">
        <v>216</v>
      </c>
      <c r="B10" s="3" t="n">
        <v>0.28</v>
      </c>
      <c r="C10" s="3"/>
      <c r="D10" s="3"/>
    </row>
    <row r="11" customFormat="false" ht="14.25" hidden="false" customHeight="true" outlineLevel="0" collapsed="false">
      <c r="A11" s="3" t="s">
        <v>217</v>
      </c>
      <c r="B11" s="3" t="n">
        <v>0.4</v>
      </c>
      <c r="C11" s="3"/>
      <c r="D11" s="3"/>
    </row>
    <row r="12" customFormat="false" ht="13.5" hidden="false" customHeight="true" outlineLevel="0" collapsed="false">
      <c r="A12" s="3"/>
      <c r="B12" s="3"/>
      <c r="C12" s="3"/>
      <c r="D12" s="3"/>
    </row>
    <row r="13" customFormat="false" ht="14.25" hidden="false" customHeight="true" outlineLevel="0" collapsed="false">
      <c r="A13" s="8" t="s">
        <v>218</v>
      </c>
      <c r="B13" s="3"/>
      <c r="C13" s="3"/>
      <c r="D13" s="3"/>
    </row>
    <row r="14" customFormat="false" ht="14.25" hidden="false" customHeight="true" outlineLevel="0" collapsed="false">
      <c r="A14" s="9" t="s">
        <v>219</v>
      </c>
      <c r="B14" s="9" t="s">
        <v>220</v>
      </c>
      <c r="C14" s="9" t="s">
        <v>221</v>
      </c>
      <c r="D14" s="9" t="s">
        <v>222</v>
      </c>
    </row>
    <row r="15" customFormat="false" ht="14.25" hidden="false" customHeight="true" outlineLevel="0" collapsed="false">
      <c r="A15" s="3" t="n">
        <v>1</v>
      </c>
      <c r="B15" s="3" t="n">
        <v>1</v>
      </c>
      <c r="C15" s="3" t="s">
        <v>223</v>
      </c>
      <c r="D15" s="3" t="s">
        <v>224</v>
      </c>
    </row>
    <row r="16" customFormat="false" ht="14.25" hidden="false" customHeight="true" outlineLevel="0" collapsed="false">
      <c r="A16" s="3" t="n">
        <v>2</v>
      </c>
      <c r="B16" s="3" t="n">
        <v>1.2</v>
      </c>
      <c r="C16" s="3" t="s">
        <v>225</v>
      </c>
      <c r="D16" s="3" t="s">
        <v>226</v>
      </c>
    </row>
    <row r="17" customFormat="false" ht="14.25" hidden="false" customHeight="true" outlineLevel="0" collapsed="false">
      <c r="A17" s="3" t="n">
        <v>3</v>
      </c>
      <c r="B17" s="3" t="n">
        <v>1.35</v>
      </c>
      <c r="C17" s="3" t="s">
        <v>227</v>
      </c>
      <c r="D17" s="3" t="s">
        <v>228</v>
      </c>
    </row>
    <row r="18" customFormat="false" ht="14.25" hidden="false" customHeight="true" outlineLevel="0" collapsed="false">
      <c r="A18" s="3" t="n">
        <v>4</v>
      </c>
      <c r="B18" s="3" t="n">
        <v>1.5</v>
      </c>
      <c r="C18" s="3" t="s">
        <v>229</v>
      </c>
      <c r="D18" s="3" t="s">
        <v>230</v>
      </c>
    </row>
    <row r="19" customFormat="false" ht="14.25" hidden="false" customHeight="true" outlineLevel="0" collapsed="false">
      <c r="A19" s="3" t="n">
        <v>5</v>
      </c>
      <c r="B19" s="3" t="n">
        <v>2</v>
      </c>
      <c r="C19" s="3" t="s">
        <v>231</v>
      </c>
      <c r="D19" s="3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2.7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0"/>
  </cols>
  <sheetData>
    <row r="1" customFormat="false" ht="13.5" hidden="false" customHeight="true" outlineLevel="0" collapsed="false">
      <c r="A1" s="5" t="s">
        <v>233</v>
      </c>
      <c r="B1" s="5" t="s">
        <v>234</v>
      </c>
    </row>
    <row r="2" customFormat="false" ht="13.5" hidden="false" customHeight="true" outlineLevel="0" collapsed="false">
      <c r="A2" s="1" t="s">
        <v>8</v>
      </c>
      <c r="B2" s="1" t="s">
        <v>235</v>
      </c>
    </row>
    <row r="3" customFormat="false" ht="13.5" hidden="false" customHeight="true" outlineLevel="0" collapsed="false">
      <c r="A3" s="1" t="s">
        <v>9</v>
      </c>
      <c r="B3" s="1" t="s">
        <v>236</v>
      </c>
    </row>
    <row r="4" customFormat="false" ht="13.5" hidden="false" customHeight="true" outlineLevel="0" collapsed="false">
      <c r="A4" s="1" t="s">
        <v>10</v>
      </c>
      <c r="B4" s="1" t="s">
        <v>237</v>
      </c>
    </row>
    <row r="5" customFormat="false" ht="13.5" hidden="false" customHeight="true" outlineLevel="0" collapsed="false">
      <c r="A5" s="1" t="s">
        <v>11</v>
      </c>
      <c r="B5" s="1" t="s">
        <v>238</v>
      </c>
    </row>
    <row r="6" customFormat="false" ht="13.5" hidden="false" customHeight="true" outlineLevel="0" collapsed="false">
      <c r="A6" s="1" t="s">
        <v>12</v>
      </c>
      <c r="B6" s="1" t="s">
        <v>239</v>
      </c>
    </row>
    <row r="7" customFormat="false" ht="13.5" hidden="false" customHeight="true" outlineLevel="0" collapsed="false">
      <c r="A7" s="1" t="s">
        <v>13</v>
      </c>
      <c r="B7" s="1" t="s">
        <v>240</v>
      </c>
    </row>
    <row r="8" customFormat="false" ht="13.5" hidden="false" customHeight="true" outlineLevel="0" collapsed="false">
      <c r="A8" s="1" t="s">
        <v>20</v>
      </c>
      <c r="B8" s="1" t="s">
        <v>241</v>
      </c>
    </row>
    <row r="9" customFormat="false" ht="13.5" hidden="false" customHeight="true" outlineLevel="0" collapsed="false">
      <c r="A9" s="1" t="s">
        <v>21</v>
      </c>
      <c r="B9" s="1" t="s">
        <v>242</v>
      </c>
    </row>
    <row r="10" customFormat="false" ht="13.5" hidden="false" customHeight="true" outlineLevel="0" collapsed="false">
      <c r="A10" s="1" t="s">
        <v>22</v>
      </c>
      <c r="B10" s="1" t="s">
        <v>243</v>
      </c>
    </row>
    <row r="11" customFormat="false" ht="13.5" hidden="false" customHeight="true" outlineLevel="0" collapsed="false">
      <c r="A11" s="1" t="s">
        <v>23</v>
      </c>
      <c r="B11" s="1" t="s">
        <v>244</v>
      </c>
    </row>
    <row r="12" customFormat="false" ht="13.5" hidden="false" customHeight="true" outlineLevel="0" collapsed="false">
      <c r="A12" s="1" t="s">
        <v>24</v>
      </c>
      <c r="B12" s="1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2026-05-09T07:10:40Z</dcterms:created>
  <dc:creator>吉也 伊藤</dc:creator>
  <dc:description/>
  <dc:language>en-US</dc:language>
  <cp:lastModifiedBy>吉也 伊藤</cp:lastModifiedBy>
  <dcterms:modified xsi:type="dcterms:W3CDTF">2026-10-06T09:21:03Z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